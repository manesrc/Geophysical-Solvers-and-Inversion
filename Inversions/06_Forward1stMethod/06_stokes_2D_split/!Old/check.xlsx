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marianofernandez/Dropbox/SZ-Mariano/03_code/02_codigo2D/Nitsche_Stokes/Original/06_stokes_2D/"/>
    </mc:Choice>
  </mc:AlternateContent>
  <xr:revisionPtr revIDLastSave="0" documentId="13_ncr:1_{AD5A7997-3636-7443-9181-61A1484FFCCE}" xr6:coauthVersionLast="47" xr6:coauthVersionMax="47" xr10:uidLastSave="{00000000-0000-0000-0000-000000000000}"/>
  <bookViews>
    <workbookView xWindow="5940" yWindow="13040" windowWidth="32460" windowHeight="19900" xr2:uid="{99508B31-37ED-F04E-AC3E-CA2B16CC27D3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C32" i="2" l="1"/>
  <c r="C33" i="2"/>
  <c r="C34" i="2"/>
  <c r="C35" i="2"/>
  <c r="C36" i="2"/>
  <c r="C37" i="2"/>
  <c r="C38" i="2"/>
  <c r="C39" i="2"/>
  <c r="C40" i="2"/>
  <c r="C41" i="2"/>
  <c r="C42" i="2"/>
  <c r="C43" i="2"/>
  <c r="C44" i="2"/>
  <c r="C45" i="2"/>
  <c r="C46" i="2"/>
  <c r="C47" i="2"/>
  <c r="C48" i="2"/>
  <c r="C49" i="2"/>
  <c r="C50" i="2"/>
  <c r="C51" i="2"/>
  <c r="C52" i="2"/>
  <c r="C53" i="2"/>
  <c r="C54" i="2"/>
  <c r="C55" i="2"/>
  <c r="C56" i="2"/>
  <c r="C57" i="2"/>
  <c r="C58" i="2"/>
  <c r="C59" i="2"/>
  <c r="C60" i="2"/>
  <c r="C61" i="2"/>
  <c r="C62" i="2"/>
  <c r="C63" i="2"/>
  <c r="C64" i="2"/>
  <c r="C65" i="2"/>
  <c r="C66" i="2"/>
  <c r="C67" i="2"/>
  <c r="C68" i="2"/>
  <c r="C69" i="2"/>
  <c r="C70" i="2"/>
  <c r="C71" i="2"/>
  <c r="C72" i="2"/>
  <c r="C73" i="2"/>
  <c r="C74" i="2"/>
  <c r="C75" i="2"/>
  <c r="C76" i="2"/>
  <c r="C77" i="2"/>
  <c r="C78" i="2"/>
  <c r="C79" i="2"/>
  <c r="C80" i="2"/>
  <c r="C81" i="2"/>
  <c r="C82" i="2"/>
  <c r="C83" i="2"/>
  <c r="C84" i="2"/>
  <c r="C85" i="2"/>
  <c r="C86" i="2"/>
  <c r="C87" i="2"/>
  <c r="C88" i="2"/>
  <c r="C89" i="2"/>
  <c r="C90" i="2"/>
  <c r="C91" i="2"/>
  <c r="C92" i="2"/>
  <c r="C93" i="2"/>
  <c r="C94" i="2"/>
  <c r="C95" i="2"/>
  <c r="C96" i="2"/>
  <c r="C97" i="2"/>
  <c r="C98" i="2"/>
  <c r="C99" i="2"/>
  <c r="C100" i="2"/>
  <c r="C101" i="2"/>
  <c r="C102" i="2"/>
  <c r="C103" i="2"/>
  <c r="C104" i="2"/>
  <c r="C105" i="2"/>
  <c r="C106" i="2"/>
  <c r="C107" i="2"/>
  <c r="C108" i="2"/>
  <c r="C109" i="2"/>
  <c r="C110" i="2"/>
  <c r="C111" i="2"/>
  <c r="C112" i="2"/>
  <c r="C113" i="2"/>
  <c r="C114" i="2"/>
  <c r="C115" i="2"/>
  <c r="C116" i="2"/>
  <c r="C117" i="2"/>
  <c r="C118" i="2"/>
  <c r="C119" i="2"/>
  <c r="C120" i="2"/>
  <c r="C121" i="2"/>
  <c r="C122" i="2"/>
  <c r="C123" i="2"/>
  <c r="C124" i="2"/>
  <c r="C125" i="2"/>
  <c r="C126" i="2"/>
  <c r="C127" i="2"/>
  <c r="C128" i="2"/>
  <c r="C129" i="2"/>
  <c r="C130" i="2"/>
  <c r="C131" i="2"/>
  <c r="C132" i="2"/>
  <c r="C133" i="2"/>
  <c r="C134" i="2"/>
  <c r="C135" i="2"/>
  <c r="C136" i="2"/>
  <c r="C137" i="2"/>
  <c r="C138" i="2"/>
  <c r="C139" i="2"/>
  <c r="C140" i="2"/>
  <c r="C141" i="2"/>
  <c r="C142" i="2"/>
  <c r="C143" i="2"/>
  <c r="C144" i="2"/>
  <c r="C145" i="2"/>
  <c r="C146" i="2"/>
  <c r="C147" i="2"/>
  <c r="C148" i="2"/>
  <c r="C149" i="2"/>
  <c r="C150" i="2"/>
  <c r="C151" i="2"/>
  <c r="C152" i="2"/>
  <c r="C153" i="2"/>
  <c r="C154" i="2"/>
  <c r="C155" i="2"/>
  <c r="C156" i="2"/>
  <c r="C157" i="2"/>
  <c r="C158" i="2"/>
  <c r="C159" i="2"/>
  <c r="C160" i="2"/>
  <c r="C161" i="2"/>
  <c r="C162" i="2"/>
  <c r="C163" i="2"/>
  <c r="C164" i="2"/>
  <c r="C165" i="2"/>
  <c r="C166" i="2"/>
  <c r="C167" i="2"/>
  <c r="C168" i="2"/>
  <c r="C169" i="2"/>
  <c r="C170" i="2"/>
  <c r="C171" i="2"/>
  <c r="C172" i="2"/>
  <c r="C173" i="2"/>
  <c r="C174" i="2"/>
  <c r="C175" i="2"/>
  <c r="C176" i="2"/>
  <c r="C177" i="2"/>
  <c r="C178" i="2"/>
  <c r="C179" i="2"/>
  <c r="C180" i="2"/>
  <c r="C181" i="2"/>
  <c r="C182" i="2"/>
  <c r="C183" i="2"/>
  <c r="C184" i="2"/>
  <c r="C185" i="2"/>
  <c r="C186" i="2"/>
  <c r="C187" i="2"/>
  <c r="C188" i="2"/>
  <c r="C189" i="2"/>
  <c r="C190" i="2"/>
  <c r="C191" i="2"/>
  <c r="C192" i="2"/>
  <c r="C193" i="2"/>
  <c r="C194" i="2"/>
  <c r="C195" i="2"/>
  <c r="C196" i="2"/>
  <c r="C197" i="2"/>
  <c r="C198" i="2"/>
  <c r="C199" i="2"/>
  <c r="C200" i="2"/>
  <c r="C201" i="2"/>
  <c r="C202" i="2"/>
  <c r="C203" i="2"/>
  <c r="C204" i="2"/>
  <c r="C205" i="2"/>
  <c r="C206" i="2"/>
  <c r="C207" i="2"/>
  <c r="C208" i="2"/>
  <c r="C209" i="2"/>
  <c r="C210" i="2"/>
  <c r="C211" i="2"/>
  <c r="C212" i="2"/>
  <c r="C213" i="2"/>
  <c r="C214" i="2"/>
  <c r="C215" i="2"/>
  <c r="C216" i="2"/>
  <c r="C217" i="2"/>
  <c r="C218" i="2"/>
  <c r="C219" i="2"/>
  <c r="C220" i="2"/>
  <c r="C221" i="2"/>
  <c r="C222" i="2"/>
  <c r="C223" i="2"/>
  <c r="C224" i="2"/>
  <c r="C225" i="2"/>
  <c r="C226" i="2"/>
  <c r="C227" i="2"/>
  <c r="C228" i="2"/>
  <c r="C229" i="2"/>
  <c r="C230" i="2"/>
  <c r="C231" i="2"/>
  <c r="C232" i="2"/>
  <c r="C233" i="2"/>
  <c r="C234" i="2"/>
  <c r="C235" i="2"/>
  <c r="C236" i="2"/>
  <c r="C237" i="2"/>
  <c r="C238" i="2"/>
  <c r="C239" i="2"/>
  <c r="C240" i="2"/>
  <c r="C241" i="2"/>
  <c r="C242" i="2"/>
  <c r="C243" i="2"/>
  <c r="C244" i="2"/>
  <c r="C245" i="2"/>
  <c r="C246" i="2"/>
  <c r="C247" i="2"/>
  <c r="C248" i="2"/>
  <c r="C249" i="2"/>
  <c r="C250" i="2"/>
  <c r="C251" i="2"/>
  <c r="C252" i="2"/>
  <c r="C253" i="2"/>
  <c r="C254" i="2"/>
  <c r="C255" i="2"/>
  <c r="C256" i="2"/>
  <c r="C257" i="2"/>
  <c r="C258" i="2"/>
  <c r="C259" i="2"/>
  <c r="C260" i="2"/>
  <c r="C261" i="2"/>
  <c r="C262" i="2"/>
  <c r="C263" i="2"/>
  <c r="C264" i="2"/>
  <c r="C265" i="2"/>
  <c r="C266" i="2"/>
  <c r="C267" i="2"/>
  <c r="C268" i="2"/>
  <c r="C269" i="2"/>
  <c r="C270" i="2"/>
  <c r="C271" i="2"/>
  <c r="C272" i="2"/>
  <c r="C273" i="2"/>
  <c r="C274" i="2"/>
  <c r="C275" i="2"/>
  <c r="C276" i="2"/>
  <c r="C277" i="2"/>
  <c r="C278" i="2"/>
  <c r="C279" i="2"/>
  <c r="C280" i="2"/>
  <c r="C281" i="2"/>
  <c r="C282" i="2"/>
  <c r="C283" i="2"/>
  <c r="C284" i="2"/>
  <c r="C285" i="2"/>
  <c r="C286" i="2"/>
  <c r="C287" i="2"/>
  <c r="C288" i="2"/>
  <c r="C289" i="2"/>
  <c r="C290" i="2"/>
  <c r="C291" i="2"/>
  <c r="C292" i="2"/>
  <c r="C293" i="2"/>
  <c r="C294" i="2"/>
  <c r="C295" i="2"/>
  <c r="C296" i="2"/>
  <c r="C297" i="2"/>
  <c r="C298" i="2"/>
  <c r="C299" i="2"/>
  <c r="C300" i="2"/>
  <c r="C301" i="2"/>
  <c r="C302" i="2"/>
  <c r="C303" i="2"/>
  <c r="C304" i="2"/>
  <c r="C305" i="2"/>
  <c r="C306" i="2"/>
  <c r="C307" i="2"/>
  <c r="C308" i="2"/>
  <c r="C309" i="2"/>
  <c r="C310" i="2"/>
  <c r="C311" i="2"/>
  <c r="C312" i="2"/>
  <c r="C313" i="2"/>
  <c r="C314" i="2"/>
  <c r="C315" i="2"/>
  <c r="C316" i="2"/>
  <c r="C317" i="2"/>
  <c r="C318" i="2"/>
  <c r="C319" i="2"/>
  <c r="C320" i="2"/>
  <c r="C321" i="2"/>
  <c r="C322" i="2"/>
  <c r="C323" i="2"/>
  <c r="C324" i="2"/>
  <c r="C325" i="2"/>
  <c r="C326" i="2"/>
  <c r="C327" i="2"/>
  <c r="C328" i="2"/>
  <c r="C329" i="2"/>
  <c r="C330" i="2"/>
  <c r="C331" i="2"/>
  <c r="C332" i="2"/>
  <c r="C333" i="2"/>
  <c r="C334" i="2"/>
  <c r="C335" i="2"/>
  <c r="C336" i="2"/>
  <c r="C337" i="2"/>
  <c r="C338" i="2"/>
  <c r="C339" i="2"/>
  <c r="C340" i="2"/>
  <c r="C341" i="2"/>
  <c r="C342" i="2"/>
  <c r="C343" i="2"/>
  <c r="C344" i="2"/>
  <c r="C345" i="2"/>
  <c r="C346" i="2"/>
  <c r="C347" i="2"/>
  <c r="C348" i="2"/>
  <c r="C349" i="2"/>
  <c r="C350" i="2"/>
  <c r="C351" i="2"/>
  <c r="C352" i="2"/>
  <c r="C353" i="2"/>
  <c r="C354" i="2"/>
  <c r="C355" i="2"/>
  <c r="C356" i="2"/>
  <c r="C357" i="2"/>
  <c r="C358" i="2"/>
  <c r="C359" i="2"/>
  <c r="C360" i="2"/>
  <c r="C361" i="2"/>
  <c r="C362" i="2"/>
  <c r="C363" i="2"/>
  <c r="C364" i="2"/>
  <c r="C365" i="2"/>
  <c r="C366" i="2"/>
  <c r="C367" i="2"/>
  <c r="C368" i="2"/>
  <c r="C369" i="2"/>
  <c r="C370" i="2"/>
  <c r="C371" i="2"/>
  <c r="C372" i="2"/>
  <c r="C373" i="2"/>
  <c r="C374" i="2"/>
  <c r="C375" i="2"/>
  <c r="C376" i="2"/>
  <c r="C377" i="2"/>
  <c r="C378" i="2"/>
  <c r="C379" i="2"/>
  <c r="C380" i="2"/>
  <c r="C381" i="2"/>
  <c r="C382" i="2"/>
  <c r="C383" i="2"/>
  <c r="C384" i="2"/>
  <c r="C385" i="2"/>
  <c r="C386" i="2"/>
  <c r="C387" i="2"/>
  <c r="C388" i="2"/>
  <c r="C389" i="2"/>
  <c r="C390" i="2"/>
  <c r="C391" i="2"/>
  <c r="C392" i="2"/>
  <c r="C393" i="2"/>
  <c r="C394" i="2"/>
  <c r="C395" i="2"/>
  <c r="C396" i="2"/>
  <c r="C397" i="2"/>
  <c r="C398" i="2"/>
  <c r="C399" i="2"/>
  <c r="C400" i="2"/>
  <c r="C401" i="2"/>
  <c r="C402" i="2"/>
  <c r="C403" i="2"/>
  <c r="C404" i="2"/>
  <c r="C405" i="2"/>
  <c r="C406" i="2"/>
  <c r="C407" i="2"/>
  <c r="C408" i="2"/>
  <c r="C409" i="2"/>
  <c r="C410" i="2"/>
  <c r="C411" i="2"/>
  <c r="C412" i="2"/>
  <c r="C413" i="2"/>
  <c r="C414" i="2"/>
  <c r="C415" i="2"/>
  <c r="C416" i="2"/>
  <c r="C417" i="2"/>
  <c r="C418" i="2"/>
  <c r="C419" i="2"/>
  <c r="C420" i="2"/>
  <c r="C421" i="2"/>
  <c r="C422" i="2"/>
  <c r="C423" i="2"/>
  <c r="C424" i="2"/>
  <c r="C425" i="2"/>
  <c r="C426" i="2"/>
  <c r="C427" i="2"/>
  <c r="C428" i="2"/>
  <c r="C429" i="2"/>
  <c r="C430" i="2"/>
  <c r="C431" i="2"/>
  <c r="C432" i="2"/>
  <c r="C433" i="2"/>
  <c r="C434" i="2"/>
  <c r="C435" i="2"/>
  <c r="C436" i="2"/>
  <c r="C437" i="2"/>
  <c r="C438" i="2"/>
  <c r="C439" i="2"/>
  <c r="C440" i="2"/>
  <c r="C441" i="2"/>
  <c r="C442" i="2"/>
  <c r="C443" i="2"/>
  <c r="C444" i="2"/>
  <c r="C445" i="2"/>
  <c r="C446" i="2"/>
  <c r="C447" i="2"/>
  <c r="C448" i="2"/>
  <c r="C449" i="2"/>
  <c r="C450" i="2"/>
  <c r="C451" i="2"/>
  <c r="C452" i="2"/>
  <c r="C453" i="2"/>
  <c r="C454" i="2"/>
  <c r="C455" i="2"/>
  <c r="C456" i="2"/>
  <c r="C457" i="2"/>
  <c r="C458" i="2"/>
  <c r="C459" i="2"/>
  <c r="C460" i="2"/>
  <c r="C461" i="2"/>
  <c r="C462" i="2"/>
  <c r="C463" i="2"/>
  <c r="C464" i="2"/>
  <c r="C465" i="2"/>
  <c r="C466" i="2"/>
  <c r="C467" i="2"/>
  <c r="C468" i="2"/>
  <c r="C469" i="2"/>
  <c r="C470" i="2"/>
  <c r="C471" i="2"/>
  <c r="C472" i="2"/>
  <c r="C473" i="2"/>
  <c r="C474" i="2"/>
  <c r="C475" i="2"/>
  <c r="C476" i="2"/>
  <c r="C477" i="2"/>
  <c r="C478" i="2"/>
  <c r="C479" i="2"/>
  <c r="C480" i="2"/>
  <c r="C481" i="2"/>
  <c r="C482" i="2"/>
  <c r="C483" i="2"/>
  <c r="C484" i="2"/>
  <c r="C485" i="2"/>
  <c r="C486" i="2"/>
  <c r="C487" i="2"/>
  <c r="C488" i="2"/>
  <c r="C489" i="2"/>
  <c r="C490" i="2"/>
  <c r="C491" i="2"/>
  <c r="C492" i="2"/>
  <c r="C493" i="2"/>
  <c r="C494" i="2"/>
  <c r="C495" i="2"/>
  <c r="C496" i="2"/>
  <c r="C497" i="2"/>
  <c r="C498" i="2"/>
  <c r="C499" i="2"/>
  <c r="C500" i="2"/>
  <c r="C501" i="2"/>
  <c r="C502" i="2"/>
  <c r="C503" i="2"/>
  <c r="C504" i="2"/>
  <c r="C505" i="2"/>
  <c r="C506" i="2"/>
  <c r="C507" i="2"/>
  <c r="C508" i="2"/>
  <c r="C509" i="2"/>
  <c r="C510" i="2"/>
  <c r="C511" i="2"/>
  <c r="C512" i="2"/>
  <c r="C513" i="2"/>
  <c r="C514" i="2"/>
  <c r="C515" i="2"/>
  <c r="C516" i="2"/>
  <c r="C517" i="2"/>
  <c r="C518" i="2"/>
  <c r="C519" i="2"/>
  <c r="C520" i="2"/>
  <c r="C521" i="2"/>
  <c r="C522" i="2"/>
  <c r="C523" i="2"/>
  <c r="C524" i="2"/>
  <c r="C525" i="2"/>
  <c r="C526" i="2"/>
  <c r="C527" i="2"/>
  <c r="C528" i="2"/>
  <c r="C529" i="2"/>
  <c r="C530" i="2"/>
  <c r="C531" i="2"/>
  <c r="C532" i="2"/>
  <c r="C533" i="2"/>
  <c r="C534" i="2"/>
  <c r="C535" i="2"/>
  <c r="C536" i="2"/>
  <c r="C537" i="2"/>
  <c r="C538" i="2"/>
  <c r="C539" i="2"/>
  <c r="C540" i="2"/>
  <c r="C541" i="2"/>
  <c r="C542" i="2"/>
  <c r="C543" i="2"/>
  <c r="C544" i="2"/>
  <c r="C545" i="2"/>
  <c r="C546" i="2"/>
  <c r="C547" i="2"/>
  <c r="C548" i="2"/>
  <c r="C549" i="2"/>
  <c r="C550" i="2"/>
  <c r="C551" i="2"/>
  <c r="C552" i="2"/>
  <c r="C553" i="2"/>
  <c r="C554" i="2"/>
  <c r="C555" i="2"/>
  <c r="C556" i="2"/>
  <c r="C557" i="2"/>
  <c r="C558" i="2"/>
  <c r="C559" i="2"/>
  <c r="C560" i="2"/>
  <c r="C561" i="2"/>
  <c r="C562" i="2"/>
  <c r="C563" i="2"/>
  <c r="C564" i="2"/>
  <c r="C565" i="2"/>
  <c r="C566" i="2"/>
  <c r="C567" i="2"/>
  <c r="C568" i="2"/>
  <c r="C569" i="2"/>
  <c r="C570" i="2"/>
  <c r="C571" i="2"/>
  <c r="C572" i="2"/>
  <c r="C573" i="2"/>
  <c r="C574" i="2"/>
  <c r="C575" i="2"/>
  <c r="C576" i="2"/>
  <c r="C577" i="2"/>
  <c r="C578" i="2"/>
  <c r="C579" i="2"/>
  <c r="C580" i="2"/>
  <c r="C581" i="2"/>
  <c r="C582" i="2"/>
  <c r="C583" i="2"/>
  <c r="C584" i="2"/>
  <c r="C585" i="2"/>
  <c r="C586" i="2"/>
  <c r="C587" i="2"/>
  <c r="C588" i="2"/>
  <c r="C589" i="2"/>
  <c r="C590" i="2"/>
  <c r="C591" i="2"/>
  <c r="C592" i="2"/>
  <c r="C593" i="2"/>
  <c r="C594" i="2"/>
  <c r="C595" i="2"/>
  <c r="C596" i="2"/>
  <c r="C597" i="2"/>
  <c r="C598" i="2"/>
  <c r="C599" i="2"/>
  <c r="C600" i="2"/>
  <c r="C601" i="2"/>
  <c r="C602" i="2"/>
  <c r="C603" i="2"/>
  <c r="C604" i="2"/>
  <c r="C605" i="2"/>
  <c r="C606" i="2"/>
  <c r="C607" i="2"/>
  <c r="C608" i="2"/>
  <c r="C609" i="2"/>
  <c r="C610" i="2"/>
  <c r="C611" i="2"/>
  <c r="C612" i="2"/>
  <c r="C613" i="2"/>
  <c r="C614" i="2"/>
  <c r="C615" i="2"/>
  <c r="C616" i="2"/>
  <c r="C617" i="2"/>
  <c r="C618" i="2"/>
  <c r="C619" i="2"/>
  <c r="C620" i="2"/>
  <c r="C621" i="2"/>
  <c r="C622" i="2"/>
  <c r="C623" i="2"/>
  <c r="C624" i="2"/>
  <c r="C625" i="2"/>
  <c r="C626" i="2"/>
  <c r="C627" i="2"/>
  <c r="C628" i="2"/>
  <c r="C629" i="2"/>
  <c r="C630" i="2"/>
  <c r="C631" i="2"/>
  <c r="C632" i="2"/>
  <c r="C633" i="2"/>
  <c r="C634" i="2"/>
  <c r="C635" i="2"/>
  <c r="C636" i="2"/>
  <c r="C637" i="2"/>
  <c r="C638" i="2"/>
  <c r="C639" i="2"/>
  <c r="C640" i="2"/>
  <c r="C641" i="2"/>
  <c r="C642" i="2"/>
  <c r="C643" i="2"/>
  <c r="C644" i="2"/>
  <c r="C645" i="2"/>
  <c r="C646" i="2"/>
  <c r="C647" i="2"/>
  <c r="C648" i="2"/>
  <c r="C649" i="2"/>
  <c r="C650" i="2"/>
  <c r="C651" i="2"/>
  <c r="C652" i="2"/>
  <c r="C653" i="2"/>
  <c r="C654" i="2"/>
  <c r="C655" i="2"/>
  <c r="C656" i="2"/>
  <c r="C657" i="2"/>
  <c r="C658" i="2"/>
  <c r="C659" i="2"/>
  <c r="C660" i="2"/>
  <c r="C661" i="2"/>
  <c r="C662" i="2"/>
  <c r="C663" i="2"/>
  <c r="C664" i="2"/>
  <c r="C665" i="2"/>
  <c r="C666" i="2"/>
  <c r="C667" i="2"/>
  <c r="C668" i="2"/>
  <c r="C669" i="2"/>
  <c r="C670" i="2"/>
  <c r="C671" i="2"/>
  <c r="C672" i="2"/>
  <c r="C673" i="2"/>
  <c r="C674" i="2"/>
  <c r="C675" i="2"/>
  <c r="C676" i="2"/>
  <c r="C677" i="2"/>
  <c r="C678" i="2"/>
  <c r="C679" i="2"/>
  <c r="C680" i="2"/>
  <c r="C681" i="2"/>
  <c r="C682" i="2"/>
  <c r="C683" i="2"/>
  <c r="C684" i="2"/>
  <c r="C685" i="2"/>
  <c r="C686" i="2"/>
  <c r="C687" i="2"/>
  <c r="C688" i="2"/>
  <c r="C689" i="2"/>
  <c r="C690" i="2"/>
  <c r="C691" i="2"/>
  <c r="C692" i="2"/>
  <c r="C693" i="2"/>
  <c r="C694" i="2"/>
  <c r="C695" i="2"/>
  <c r="C696" i="2"/>
  <c r="C697" i="2"/>
  <c r="C698" i="2"/>
  <c r="C699" i="2"/>
  <c r="C700" i="2"/>
  <c r="C701" i="2"/>
  <c r="C702" i="2"/>
  <c r="C703" i="2"/>
  <c r="C704" i="2"/>
  <c r="C705" i="2"/>
  <c r="C706" i="2"/>
  <c r="C707" i="2"/>
  <c r="C708" i="2"/>
  <c r="C709" i="2"/>
  <c r="C710" i="2"/>
  <c r="C711" i="2"/>
  <c r="C712" i="2"/>
  <c r="C713" i="2"/>
  <c r="C714" i="2"/>
  <c r="C715" i="2"/>
  <c r="C716" i="2"/>
  <c r="C717" i="2"/>
  <c r="C718" i="2"/>
  <c r="C719" i="2"/>
  <c r="C720" i="2"/>
  <c r="C721" i="2"/>
  <c r="C722" i="2"/>
  <c r="C723" i="2"/>
  <c r="C724" i="2"/>
  <c r="C725" i="2"/>
  <c r="C726" i="2"/>
  <c r="C727" i="2"/>
  <c r="C728" i="2"/>
  <c r="C729" i="2"/>
  <c r="C730" i="2"/>
  <c r="C731" i="2"/>
  <c r="C732" i="2"/>
  <c r="C733" i="2"/>
  <c r="C734" i="2"/>
  <c r="C735" i="2"/>
  <c r="C736" i="2"/>
  <c r="C737" i="2"/>
  <c r="C738" i="2"/>
  <c r="C739" i="2"/>
  <c r="C740" i="2"/>
  <c r="C741" i="2"/>
  <c r="C742" i="2"/>
  <c r="C743" i="2"/>
  <c r="C744" i="2"/>
  <c r="C745" i="2"/>
  <c r="C746" i="2"/>
  <c r="C747" i="2"/>
  <c r="C748" i="2"/>
  <c r="C749" i="2"/>
  <c r="C750" i="2"/>
  <c r="C751" i="2"/>
  <c r="C752" i="2"/>
  <c r="C753" i="2"/>
  <c r="C754" i="2"/>
  <c r="C755" i="2"/>
  <c r="C756" i="2"/>
  <c r="C757" i="2"/>
  <c r="C758" i="2"/>
  <c r="C759" i="2"/>
  <c r="C760" i="2"/>
  <c r="C761" i="2"/>
  <c r="C762" i="2"/>
  <c r="C763" i="2"/>
  <c r="C764" i="2"/>
  <c r="C765" i="2"/>
  <c r="C766" i="2"/>
  <c r="C767" i="2"/>
  <c r="C768" i="2"/>
  <c r="C769" i="2"/>
  <c r="C770" i="2"/>
  <c r="C771" i="2"/>
  <c r="C772" i="2"/>
  <c r="C773" i="2"/>
  <c r="C774" i="2"/>
  <c r="C775" i="2"/>
  <c r="C776" i="2"/>
  <c r="C777" i="2"/>
  <c r="C778" i="2"/>
  <c r="C779" i="2"/>
  <c r="C780" i="2"/>
  <c r="C781" i="2"/>
  <c r="C782" i="2"/>
  <c r="C783" i="2"/>
  <c r="C784" i="2"/>
  <c r="C785" i="2"/>
  <c r="C786" i="2"/>
  <c r="C787" i="2"/>
  <c r="C788" i="2"/>
  <c r="C789" i="2"/>
  <c r="C790" i="2"/>
  <c r="C791" i="2"/>
  <c r="C792" i="2"/>
  <c r="C793" i="2"/>
  <c r="C794" i="2"/>
  <c r="C795" i="2"/>
  <c r="C796" i="2"/>
  <c r="C797" i="2"/>
  <c r="C798" i="2"/>
  <c r="C799" i="2"/>
  <c r="C800" i="2"/>
  <c r="C801" i="2"/>
  <c r="C802" i="2"/>
  <c r="C803" i="2"/>
  <c r="C804" i="2"/>
  <c r="C805" i="2"/>
  <c r="C806" i="2"/>
  <c r="C807" i="2"/>
  <c r="C808" i="2"/>
  <c r="C809" i="2"/>
  <c r="C810" i="2"/>
  <c r="C811" i="2"/>
  <c r="C812" i="2"/>
  <c r="C813" i="2"/>
  <c r="C814" i="2"/>
  <c r="C815" i="2"/>
  <c r="C816" i="2"/>
  <c r="C817" i="2"/>
  <c r="C818" i="2"/>
  <c r="C819" i="2"/>
  <c r="C820" i="2"/>
  <c r="C821" i="2"/>
  <c r="C822" i="2"/>
  <c r="C823" i="2"/>
  <c r="C824" i="2"/>
  <c r="C825" i="2"/>
  <c r="C826" i="2"/>
  <c r="C827" i="2"/>
  <c r="C828" i="2"/>
  <c r="C829" i="2"/>
  <c r="C830" i="2"/>
  <c r="C831" i="2"/>
  <c r="C832" i="2"/>
  <c r="C833" i="2"/>
  <c r="C834" i="2"/>
  <c r="C835" i="2"/>
  <c r="C836" i="2"/>
  <c r="C837" i="2"/>
  <c r="C838" i="2"/>
  <c r="C839" i="2"/>
  <c r="C840" i="2"/>
  <c r="C841" i="2"/>
  <c r="C842" i="2"/>
  <c r="C843" i="2"/>
  <c r="C844" i="2"/>
  <c r="C845" i="2"/>
  <c r="C846" i="2"/>
  <c r="C847" i="2"/>
  <c r="C848" i="2"/>
  <c r="C849" i="2"/>
  <c r="C850" i="2"/>
  <c r="C851" i="2"/>
  <c r="C852" i="2"/>
  <c r="C853" i="2"/>
  <c r="C854" i="2"/>
  <c r="C855" i="2"/>
  <c r="C856" i="2"/>
  <c r="C857" i="2"/>
  <c r="C858" i="2"/>
  <c r="C859" i="2"/>
  <c r="C860" i="2"/>
  <c r="C861" i="2"/>
  <c r="C862" i="2"/>
  <c r="C863" i="2"/>
  <c r="C864" i="2"/>
  <c r="C865" i="2"/>
  <c r="C866" i="2"/>
  <c r="C867" i="2"/>
  <c r="C868" i="2"/>
  <c r="C869" i="2"/>
  <c r="C870" i="2"/>
  <c r="C871" i="2"/>
  <c r="C872" i="2"/>
  <c r="C873" i="2"/>
  <c r="C874" i="2"/>
  <c r="C875" i="2"/>
  <c r="C876" i="2"/>
  <c r="C877" i="2"/>
  <c r="C878" i="2"/>
  <c r="C879" i="2"/>
  <c r="C880" i="2"/>
  <c r="C881" i="2"/>
  <c r="C882" i="2"/>
  <c r="C883" i="2"/>
  <c r="C884" i="2"/>
  <c r="C885" i="2"/>
  <c r="C886" i="2"/>
  <c r="C887" i="2"/>
  <c r="C888" i="2"/>
  <c r="C889" i="2"/>
  <c r="C890" i="2"/>
  <c r="C891" i="2"/>
  <c r="C892" i="2"/>
  <c r="C893" i="2"/>
  <c r="C894" i="2"/>
  <c r="C895" i="2"/>
  <c r="C896" i="2"/>
  <c r="C897" i="2"/>
  <c r="C898" i="2"/>
  <c r="C899" i="2"/>
  <c r="C900" i="2"/>
  <c r="C901" i="2"/>
  <c r="C902" i="2"/>
  <c r="C903" i="2"/>
  <c r="C904" i="2"/>
  <c r="C905" i="2"/>
  <c r="C906" i="2"/>
  <c r="C907" i="2"/>
  <c r="C908" i="2"/>
  <c r="C909" i="2"/>
  <c r="C910" i="2"/>
  <c r="C911" i="2"/>
  <c r="C912" i="2"/>
  <c r="C913" i="2"/>
  <c r="C914" i="2"/>
  <c r="C915" i="2"/>
  <c r="C916" i="2"/>
  <c r="C917" i="2"/>
  <c r="C918" i="2"/>
  <c r="C919" i="2"/>
  <c r="C920" i="2"/>
  <c r="C921" i="2"/>
  <c r="C922" i="2"/>
  <c r="C923" i="2"/>
  <c r="C924" i="2"/>
  <c r="C925" i="2"/>
  <c r="C926" i="2"/>
  <c r="C927" i="2"/>
  <c r="C928" i="2"/>
  <c r="C929" i="2"/>
  <c r="C930" i="2"/>
  <c r="C931" i="2"/>
  <c r="C932" i="2"/>
  <c r="C933" i="2"/>
  <c r="C934" i="2"/>
  <c r="C935" i="2"/>
  <c r="C936" i="2"/>
  <c r="C937" i="2"/>
  <c r="C938" i="2"/>
  <c r="C939" i="2"/>
  <c r="C940" i="2"/>
  <c r="C941" i="2"/>
  <c r="C942" i="2"/>
  <c r="C943" i="2"/>
  <c r="C944" i="2"/>
  <c r="C945" i="2"/>
  <c r="C946" i="2"/>
  <c r="C947" i="2"/>
  <c r="C948" i="2"/>
  <c r="C949" i="2"/>
  <c r="C950" i="2"/>
  <c r="C951" i="2"/>
  <c r="C952" i="2"/>
  <c r="C953" i="2"/>
  <c r="C954" i="2"/>
  <c r="C955" i="2"/>
  <c r="C956" i="2"/>
  <c r="C957" i="2"/>
  <c r="C958" i="2"/>
  <c r="C959" i="2"/>
  <c r="C960" i="2"/>
  <c r="C961" i="2"/>
  <c r="C962" i="2"/>
  <c r="C963" i="2"/>
  <c r="C964" i="2"/>
  <c r="C965" i="2"/>
  <c r="C966" i="2"/>
  <c r="C967" i="2"/>
  <c r="C968" i="2"/>
  <c r="C969" i="2"/>
  <c r="C970" i="2"/>
  <c r="C971" i="2"/>
  <c r="C972" i="2"/>
  <c r="C973" i="2"/>
  <c r="C974" i="2"/>
  <c r="C975" i="2"/>
  <c r="C976" i="2"/>
  <c r="C977" i="2"/>
  <c r="C978" i="2"/>
  <c r="C979" i="2"/>
  <c r="C980" i="2"/>
  <c r="C981" i="2"/>
  <c r="C982" i="2"/>
  <c r="C983" i="2"/>
  <c r="C984" i="2"/>
  <c r="C985" i="2"/>
  <c r="C986" i="2"/>
  <c r="C987" i="2"/>
  <c r="C988" i="2"/>
  <c r="C989" i="2"/>
  <c r="C990" i="2"/>
  <c r="C991" i="2"/>
  <c r="C992" i="2"/>
  <c r="C993" i="2"/>
  <c r="C994" i="2"/>
  <c r="C995" i="2"/>
  <c r="C996" i="2"/>
  <c r="C997" i="2"/>
  <c r="C998" i="2"/>
  <c r="C999" i="2"/>
  <c r="C1000" i="2"/>
  <c r="C1001" i="2"/>
  <c r="C1002" i="2"/>
  <c r="C1003" i="2"/>
  <c r="C1004" i="2"/>
  <c r="C1005" i="2"/>
  <c r="C1006" i="2"/>
  <c r="C1007" i="2"/>
  <c r="C1008" i="2"/>
  <c r="C1009" i="2"/>
  <c r="C1010" i="2"/>
  <c r="C1011" i="2"/>
  <c r="C1012" i="2"/>
  <c r="C1013" i="2"/>
  <c r="C1014" i="2"/>
  <c r="C1015" i="2"/>
  <c r="C1016" i="2"/>
  <c r="C1017" i="2"/>
  <c r="C1018" i="2"/>
  <c r="C1019" i="2"/>
  <c r="C1020" i="2"/>
  <c r="C1021" i="2"/>
  <c r="C1022" i="2"/>
  <c r="C1023" i="2"/>
  <c r="C1024" i="2"/>
  <c r="C1025" i="2"/>
  <c r="C1026" i="2"/>
  <c r="C1027" i="2"/>
  <c r="C1028" i="2"/>
  <c r="C1029" i="2"/>
  <c r="C1030" i="2"/>
  <c r="C1031" i="2"/>
  <c r="C1032" i="2"/>
  <c r="C1033" i="2"/>
  <c r="C1034" i="2"/>
  <c r="C1035" i="2"/>
  <c r="C1036" i="2"/>
  <c r="C1037" i="2"/>
  <c r="C1038" i="2"/>
  <c r="C1039" i="2"/>
  <c r="C1040" i="2"/>
  <c r="C1041" i="2"/>
  <c r="C1042" i="2"/>
  <c r="C1043" i="2"/>
  <c r="C1044" i="2"/>
  <c r="C1045" i="2"/>
  <c r="C1046" i="2"/>
  <c r="C1047" i="2"/>
  <c r="C1048" i="2"/>
  <c r="C1049" i="2"/>
  <c r="C1050" i="2"/>
  <c r="C1051" i="2"/>
  <c r="C1052" i="2"/>
  <c r="C1053" i="2"/>
  <c r="C1054" i="2"/>
  <c r="C1055" i="2"/>
  <c r="C1056" i="2"/>
  <c r="C1057" i="2"/>
  <c r="C1058" i="2"/>
  <c r="C1059" i="2"/>
  <c r="C1060" i="2"/>
  <c r="C1061" i="2"/>
  <c r="C1062" i="2"/>
  <c r="C1063" i="2"/>
  <c r="C1064" i="2"/>
  <c r="C1065" i="2"/>
  <c r="C1066" i="2"/>
  <c r="C1067" i="2"/>
  <c r="C1068" i="2"/>
  <c r="C1069" i="2"/>
  <c r="C1070" i="2"/>
  <c r="C1071" i="2"/>
  <c r="C1072" i="2"/>
  <c r="C1073" i="2"/>
  <c r="C1074" i="2"/>
  <c r="C1075" i="2"/>
  <c r="C1076" i="2"/>
  <c r="C1077" i="2"/>
  <c r="C1078" i="2"/>
  <c r="C1079" i="2"/>
  <c r="C1080" i="2"/>
  <c r="C1081" i="2"/>
  <c r="C1082" i="2"/>
  <c r="C1083" i="2"/>
  <c r="C1084" i="2"/>
  <c r="C1085" i="2"/>
  <c r="C1086" i="2"/>
  <c r="C1087" i="2"/>
  <c r="C1088" i="2"/>
  <c r="C1089" i="2"/>
  <c r="C1090" i="2"/>
  <c r="C1091" i="2"/>
  <c r="C31" i="2"/>
  <c r="E32" i="2"/>
  <c r="E33" i="2"/>
  <c r="E34" i="2"/>
  <c r="E35" i="2"/>
  <c r="E36" i="2"/>
  <c r="E37" i="2"/>
  <c r="E38" i="2"/>
  <c r="E39" i="2"/>
  <c r="E40" i="2"/>
  <c r="E41" i="2"/>
  <c r="E42" i="2"/>
  <c r="E43" i="2"/>
  <c r="E44" i="2"/>
  <c r="E45" i="2"/>
  <c r="E46" i="2"/>
  <c r="E47" i="2"/>
  <c r="E48" i="2"/>
  <c r="E49" i="2"/>
  <c r="E50" i="2"/>
  <c r="E51" i="2"/>
  <c r="E52" i="2"/>
  <c r="E53" i="2"/>
  <c r="E54" i="2"/>
  <c r="E55" i="2"/>
  <c r="E56" i="2"/>
  <c r="E57" i="2"/>
  <c r="E58" i="2"/>
  <c r="E59" i="2"/>
  <c r="E60" i="2"/>
  <c r="E61" i="2"/>
  <c r="E62" i="2"/>
  <c r="E63" i="2"/>
  <c r="E64" i="2"/>
  <c r="E65" i="2"/>
  <c r="E66" i="2"/>
  <c r="E67" i="2"/>
  <c r="E68" i="2"/>
  <c r="E69" i="2"/>
  <c r="E70" i="2"/>
  <c r="E71" i="2"/>
  <c r="E72" i="2"/>
  <c r="E73" i="2"/>
  <c r="E74" i="2"/>
  <c r="E75" i="2"/>
  <c r="E76" i="2"/>
  <c r="E77" i="2"/>
  <c r="E78" i="2"/>
  <c r="E79" i="2"/>
  <c r="E80" i="2"/>
  <c r="E81" i="2"/>
  <c r="E82" i="2"/>
  <c r="E83" i="2"/>
  <c r="E84" i="2"/>
  <c r="E85" i="2"/>
  <c r="E86" i="2"/>
  <c r="E87" i="2"/>
  <c r="E88" i="2"/>
  <c r="E89" i="2"/>
  <c r="E90" i="2"/>
  <c r="E91" i="2"/>
  <c r="E92" i="2"/>
  <c r="E93" i="2"/>
  <c r="E94" i="2"/>
  <c r="E95" i="2"/>
  <c r="E96" i="2"/>
  <c r="E97" i="2"/>
  <c r="E98" i="2"/>
  <c r="E99" i="2"/>
  <c r="E100" i="2"/>
  <c r="E101" i="2"/>
  <c r="E102" i="2"/>
  <c r="E103" i="2"/>
  <c r="E104" i="2"/>
  <c r="E105" i="2"/>
  <c r="E106" i="2"/>
  <c r="E107" i="2"/>
  <c r="E108" i="2"/>
  <c r="E109" i="2"/>
  <c r="E110" i="2"/>
  <c r="E111" i="2"/>
  <c r="E112" i="2"/>
  <c r="E113" i="2"/>
  <c r="E114" i="2"/>
  <c r="E115" i="2"/>
  <c r="E116" i="2"/>
  <c r="E117" i="2"/>
  <c r="E118" i="2"/>
  <c r="E119" i="2"/>
  <c r="E120" i="2"/>
  <c r="E121" i="2"/>
  <c r="E122" i="2"/>
  <c r="E123" i="2"/>
  <c r="E124" i="2"/>
  <c r="E125" i="2"/>
  <c r="E126" i="2"/>
  <c r="E127" i="2"/>
  <c r="E128" i="2"/>
  <c r="E129" i="2"/>
  <c r="E130" i="2"/>
  <c r="E131" i="2"/>
  <c r="E132" i="2"/>
  <c r="E133" i="2"/>
  <c r="E134" i="2"/>
  <c r="E135" i="2"/>
  <c r="E136" i="2"/>
  <c r="E137" i="2"/>
  <c r="E138" i="2"/>
  <c r="E139" i="2"/>
  <c r="E140" i="2"/>
  <c r="E141" i="2"/>
  <c r="E142" i="2"/>
  <c r="E143" i="2"/>
  <c r="E144" i="2"/>
  <c r="E145" i="2"/>
  <c r="E146" i="2"/>
  <c r="E147" i="2"/>
  <c r="E148" i="2"/>
  <c r="E149" i="2"/>
  <c r="E150" i="2"/>
  <c r="E151" i="2"/>
  <c r="E152" i="2"/>
  <c r="E153" i="2"/>
  <c r="E154" i="2"/>
  <c r="E155" i="2"/>
  <c r="E156" i="2"/>
  <c r="E157" i="2"/>
  <c r="E158" i="2"/>
  <c r="E159" i="2"/>
  <c r="E160" i="2"/>
  <c r="E161" i="2"/>
  <c r="E162" i="2"/>
  <c r="E163" i="2"/>
  <c r="E164" i="2"/>
  <c r="E165" i="2"/>
  <c r="E166" i="2"/>
  <c r="E167" i="2"/>
  <c r="E168" i="2"/>
  <c r="E169" i="2"/>
  <c r="E170" i="2"/>
  <c r="E171" i="2"/>
  <c r="E172" i="2"/>
  <c r="E173" i="2"/>
  <c r="E174" i="2"/>
  <c r="E175" i="2"/>
  <c r="E176" i="2"/>
  <c r="E177" i="2"/>
  <c r="E178" i="2"/>
  <c r="E179" i="2"/>
  <c r="E180" i="2"/>
  <c r="E181" i="2"/>
  <c r="E182" i="2"/>
  <c r="E183" i="2"/>
  <c r="E184" i="2"/>
  <c r="E185" i="2"/>
  <c r="E186" i="2"/>
  <c r="E187" i="2"/>
  <c r="E188" i="2"/>
  <c r="E189" i="2"/>
  <c r="E190" i="2"/>
  <c r="E191" i="2"/>
  <c r="E192" i="2"/>
  <c r="E193" i="2"/>
  <c r="E194" i="2"/>
  <c r="E195" i="2"/>
  <c r="E196" i="2"/>
  <c r="E197" i="2"/>
  <c r="E198" i="2"/>
  <c r="E199" i="2"/>
  <c r="E200" i="2"/>
  <c r="E201" i="2"/>
  <c r="E202" i="2"/>
  <c r="E203" i="2"/>
  <c r="E204" i="2"/>
  <c r="E205" i="2"/>
  <c r="E206" i="2"/>
  <c r="E207" i="2"/>
  <c r="E208" i="2"/>
  <c r="E209" i="2"/>
  <c r="E210" i="2"/>
  <c r="E211" i="2"/>
  <c r="E212" i="2"/>
  <c r="E213" i="2"/>
  <c r="E214" i="2"/>
  <c r="E215" i="2"/>
  <c r="E216" i="2"/>
  <c r="E217" i="2"/>
  <c r="E218" i="2"/>
  <c r="E219" i="2"/>
  <c r="E220" i="2"/>
  <c r="E221" i="2"/>
  <c r="E222" i="2"/>
  <c r="E223" i="2"/>
  <c r="E224" i="2"/>
  <c r="E225" i="2"/>
  <c r="E226" i="2"/>
  <c r="E227" i="2"/>
  <c r="E228" i="2"/>
  <c r="E229" i="2"/>
  <c r="E230" i="2"/>
  <c r="E231" i="2"/>
  <c r="E232" i="2"/>
  <c r="E233" i="2"/>
  <c r="E234" i="2"/>
  <c r="E235" i="2"/>
  <c r="E236" i="2"/>
  <c r="E237" i="2"/>
  <c r="E238" i="2"/>
  <c r="E239" i="2"/>
  <c r="E240" i="2"/>
  <c r="E241" i="2"/>
  <c r="E242" i="2"/>
  <c r="E243" i="2"/>
  <c r="E244" i="2"/>
  <c r="E245" i="2"/>
  <c r="E246" i="2"/>
  <c r="E247" i="2"/>
  <c r="E248" i="2"/>
  <c r="E249" i="2"/>
  <c r="E250" i="2"/>
  <c r="E251" i="2"/>
  <c r="E252" i="2"/>
  <c r="E253" i="2"/>
  <c r="E254" i="2"/>
  <c r="E255" i="2"/>
  <c r="E256" i="2"/>
  <c r="E257" i="2"/>
  <c r="E258" i="2"/>
  <c r="E259" i="2"/>
  <c r="E260" i="2"/>
  <c r="E261" i="2"/>
  <c r="E262" i="2"/>
  <c r="E263" i="2"/>
  <c r="E264" i="2"/>
  <c r="E265" i="2"/>
  <c r="E266" i="2"/>
  <c r="E267" i="2"/>
  <c r="E268" i="2"/>
  <c r="E269" i="2"/>
  <c r="E270" i="2"/>
  <c r="E271" i="2"/>
  <c r="E272" i="2"/>
  <c r="E273" i="2"/>
  <c r="E274" i="2"/>
  <c r="E275" i="2"/>
  <c r="E276" i="2"/>
  <c r="E277" i="2"/>
  <c r="E278" i="2"/>
  <c r="E279" i="2"/>
  <c r="E280" i="2"/>
  <c r="E281" i="2"/>
  <c r="E282" i="2"/>
  <c r="E283" i="2"/>
  <c r="E284" i="2"/>
  <c r="E285" i="2"/>
  <c r="E286" i="2"/>
  <c r="E287" i="2"/>
  <c r="E288" i="2"/>
  <c r="E289" i="2"/>
  <c r="E290" i="2"/>
  <c r="E291" i="2"/>
  <c r="E292" i="2"/>
  <c r="E293" i="2"/>
  <c r="E294" i="2"/>
  <c r="E295" i="2"/>
  <c r="E296" i="2"/>
  <c r="E297" i="2"/>
  <c r="E298" i="2"/>
  <c r="E299" i="2"/>
  <c r="E300" i="2"/>
  <c r="E301" i="2"/>
  <c r="E302" i="2"/>
  <c r="E303" i="2"/>
  <c r="E304" i="2"/>
  <c r="E305" i="2"/>
  <c r="E306" i="2"/>
  <c r="E307" i="2"/>
  <c r="E308" i="2"/>
  <c r="E309" i="2"/>
  <c r="E310" i="2"/>
  <c r="E311" i="2"/>
  <c r="E312" i="2"/>
  <c r="E313" i="2"/>
  <c r="E314" i="2"/>
  <c r="E315" i="2"/>
  <c r="E316" i="2"/>
  <c r="E317" i="2"/>
  <c r="E318" i="2"/>
  <c r="E319" i="2"/>
  <c r="E320" i="2"/>
  <c r="E321" i="2"/>
  <c r="E322" i="2"/>
  <c r="E323" i="2"/>
  <c r="E324" i="2"/>
  <c r="E325" i="2"/>
  <c r="E326" i="2"/>
  <c r="E327" i="2"/>
  <c r="E328" i="2"/>
  <c r="E329" i="2"/>
  <c r="E330" i="2"/>
  <c r="E331" i="2"/>
  <c r="E332" i="2"/>
  <c r="E333" i="2"/>
  <c r="E334" i="2"/>
  <c r="E335" i="2"/>
  <c r="E336" i="2"/>
  <c r="E337" i="2"/>
  <c r="E338" i="2"/>
  <c r="E339" i="2"/>
  <c r="E340" i="2"/>
  <c r="E341" i="2"/>
  <c r="E342" i="2"/>
  <c r="E343" i="2"/>
  <c r="E344" i="2"/>
  <c r="E345" i="2"/>
  <c r="E346" i="2"/>
  <c r="E347" i="2"/>
  <c r="E348" i="2"/>
  <c r="E349" i="2"/>
  <c r="E350" i="2"/>
  <c r="E351" i="2"/>
  <c r="E352" i="2"/>
  <c r="E353" i="2"/>
  <c r="E354" i="2"/>
  <c r="E355" i="2"/>
  <c r="E356" i="2"/>
  <c r="E357" i="2"/>
  <c r="E358" i="2"/>
  <c r="E359" i="2"/>
  <c r="E360" i="2"/>
  <c r="E361" i="2"/>
  <c r="E362" i="2"/>
  <c r="E363" i="2"/>
  <c r="E364" i="2"/>
  <c r="E365" i="2"/>
  <c r="E366" i="2"/>
  <c r="E367" i="2"/>
  <c r="E368" i="2"/>
  <c r="E369" i="2"/>
  <c r="E370" i="2"/>
  <c r="E371" i="2"/>
  <c r="E372" i="2"/>
  <c r="E373" i="2"/>
  <c r="E374" i="2"/>
  <c r="E375" i="2"/>
  <c r="E376" i="2"/>
  <c r="E377" i="2"/>
  <c r="E378" i="2"/>
  <c r="E379" i="2"/>
  <c r="E380" i="2"/>
  <c r="E381" i="2"/>
  <c r="E382" i="2"/>
  <c r="E383" i="2"/>
  <c r="E384" i="2"/>
  <c r="E385" i="2"/>
  <c r="E386" i="2"/>
  <c r="E387" i="2"/>
  <c r="E388" i="2"/>
  <c r="E389" i="2"/>
  <c r="E390" i="2"/>
  <c r="E391" i="2"/>
  <c r="E392" i="2"/>
  <c r="E393" i="2"/>
  <c r="E394" i="2"/>
  <c r="E395" i="2"/>
  <c r="E396" i="2"/>
  <c r="E397" i="2"/>
  <c r="E398" i="2"/>
  <c r="E399" i="2"/>
  <c r="E400" i="2"/>
  <c r="E401" i="2"/>
  <c r="E402" i="2"/>
  <c r="E403" i="2"/>
  <c r="E404" i="2"/>
  <c r="E405" i="2"/>
  <c r="E406" i="2"/>
  <c r="E407" i="2"/>
  <c r="E408" i="2"/>
  <c r="E409" i="2"/>
  <c r="E410" i="2"/>
  <c r="E411" i="2"/>
  <c r="E412" i="2"/>
  <c r="E413" i="2"/>
  <c r="E414" i="2"/>
  <c r="E415" i="2"/>
  <c r="E416" i="2"/>
  <c r="E417" i="2"/>
  <c r="E418" i="2"/>
  <c r="E419" i="2"/>
  <c r="E420" i="2"/>
  <c r="E421" i="2"/>
  <c r="E422" i="2"/>
  <c r="E423" i="2"/>
  <c r="E424" i="2"/>
  <c r="E425" i="2"/>
  <c r="E426" i="2"/>
  <c r="E427" i="2"/>
  <c r="E428" i="2"/>
  <c r="E429" i="2"/>
  <c r="E430" i="2"/>
  <c r="E431" i="2"/>
  <c r="E432" i="2"/>
  <c r="E433" i="2"/>
  <c r="E434" i="2"/>
  <c r="E435" i="2"/>
  <c r="E436" i="2"/>
  <c r="E437" i="2"/>
  <c r="E438" i="2"/>
  <c r="E439" i="2"/>
  <c r="E440" i="2"/>
  <c r="E441" i="2"/>
  <c r="E442" i="2"/>
  <c r="E443" i="2"/>
  <c r="E444" i="2"/>
  <c r="E445" i="2"/>
  <c r="E446" i="2"/>
  <c r="E447" i="2"/>
  <c r="E448" i="2"/>
  <c r="E449" i="2"/>
  <c r="E450" i="2"/>
  <c r="E451" i="2"/>
  <c r="E452" i="2"/>
  <c r="E453" i="2"/>
  <c r="E454" i="2"/>
  <c r="E455" i="2"/>
  <c r="E456" i="2"/>
  <c r="E457" i="2"/>
  <c r="E458" i="2"/>
  <c r="E459" i="2"/>
  <c r="E460" i="2"/>
  <c r="E461" i="2"/>
  <c r="E462" i="2"/>
  <c r="E463" i="2"/>
  <c r="E464" i="2"/>
  <c r="E465" i="2"/>
  <c r="E466" i="2"/>
  <c r="E467" i="2"/>
  <c r="E468" i="2"/>
  <c r="E469" i="2"/>
  <c r="E470" i="2"/>
  <c r="E471" i="2"/>
  <c r="E472" i="2"/>
  <c r="E473" i="2"/>
  <c r="E474" i="2"/>
  <c r="E475" i="2"/>
  <c r="E476" i="2"/>
  <c r="E477" i="2"/>
  <c r="E478" i="2"/>
  <c r="E479" i="2"/>
  <c r="E480" i="2"/>
  <c r="E481" i="2"/>
  <c r="E482" i="2"/>
  <c r="E483" i="2"/>
  <c r="E484" i="2"/>
  <c r="E485" i="2"/>
  <c r="E486" i="2"/>
  <c r="E487" i="2"/>
  <c r="E488" i="2"/>
  <c r="E489" i="2"/>
  <c r="E490" i="2"/>
  <c r="E491" i="2"/>
  <c r="E492" i="2"/>
  <c r="E493" i="2"/>
  <c r="E494" i="2"/>
  <c r="E495" i="2"/>
  <c r="E496" i="2"/>
  <c r="E497" i="2"/>
  <c r="E498" i="2"/>
  <c r="E499" i="2"/>
  <c r="E500" i="2"/>
  <c r="E501" i="2"/>
  <c r="E502" i="2"/>
  <c r="E503" i="2"/>
  <c r="E504" i="2"/>
  <c r="E505" i="2"/>
  <c r="E506" i="2"/>
  <c r="E507" i="2"/>
  <c r="E508" i="2"/>
  <c r="E509" i="2"/>
  <c r="E510" i="2"/>
  <c r="E511" i="2"/>
  <c r="E512" i="2"/>
  <c r="E513" i="2"/>
  <c r="E514" i="2"/>
  <c r="E515" i="2"/>
  <c r="E516" i="2"/>
  <c r="E517" i="2"/>
  <c r="E518" i="2"/>
  <c r="E519" i="2"/>
  <c r="E520" i="2"/>
  <c r="E521" i="2"/>
  <c r="E522" i="2"/>
  <c r="E523" i="2"/>
  <c r="E524" i="2"/>
  <c r="E525" i="2"/>
  <c r="E526" i="2"/>
  <c r="E527" i="2"/>
  <c r="E528" i="2"/>
  <c r="E529" i="2"/>
  <c r="E530" i="2"/>
  <c r="E531" i="2"/>
  <c r="E532" i="2"/>
  <c r="E533" i="2"/>
  <c r="E534" i="2"/>
  <c r="E535" i="2"/>
  <c r="E536" i="2"/>
  <c r="E537" i="2"/>
  <c r="E538" i="2"/>
  <c r="E539" i="2"/>
  <c r="E540" i="2"/>
  <c r="E541" i="2"/>
  <c r="E542" i="2"/>
  <c r="E543" i="2"/>
  <c r="E544" i="2"/>
  <c r="E545" i="2"/>
  <c r="E546" i="2"/>
  <c r="E547" i="2"/>
  <c r="E548" i="2"/>
  <c r="E549" i="2"/>
  <c r="E550" i="2"/>
  <c r="E551" i="2"/>
  <c r="E552" i="2"/>
  <c r="E553" i="2"/>
  <c r="E554" i="2"/>
  <c r="E555" i="2"/>
  <c r="E556" i="2"/>
  <c r="E557" i="2"/>
  <c r="E558" i="2"/>
  <c r="E559" i="2"/>
  <c r="E560" i="2"/>
  <c r="E561" i="2"/>
  <c r="E562" i="2"/>
  <c r="E563" i="2"/>
  <c r="E564" i="2"/>
  <c r="E565" i="2"/>
  <c r="E566" i="2"/>
  <c r="E567" i="2"/>
  <c r="E568" i="2"/>
  <c r="E569" i="2"/>
  <c r="E570" i="2"/>
  <c r="E571" i="2"/>
  <c r="E572" i="2"/>
  <c r="E573" i="2"/>
  <c r="E574" i="2"/>
  <c r="E575" i="2"/>
  <c r="E576" i="2"/>
  <c r="E577" i="2"/>
  <c r="E578" i="2"/>
  <c r="E579" i="2"/>
  <c r="E580" i="2"/>
  <c r="E581" i="2"/>
  <c r="E582" i="2"/>
  <c r="E583" i="2"/>
  <c r="E584" i="2"/>
  <c r="E585" i="2"/>
  <c r="E586" i="2"/>
  <c r="E587" i="2"/>
  <c r="E588" i="2"/>
  <c r="E589" i="2"/>
  <c r="E590" i="2"/>
  <c r="E591" i="2"/>
  <c r="E592" i="2"/>
  <c r="E593" i="2"/>
  <c r="E594" i="2"/>
  <c r="E595" i="2"/>
  <c r="E596" i="2"/>
  <c r="E597" i="2"/>
  <c r="E598" i="2"/>
  <c r="E599" i="2"/>
  <c r="E600" i="2"/>
  <c r="E601" i="2"/>
  <c r="E602" i="2"/>
  <c r="E603" i="2"/>
  <c r="E604" i="2"/>
  <c r="E605" i="2"/>
  <c r="E606" i="2"/>
  <c r="E607" i="2"/>
  <c r="E608" i="2"/>
  <c r="E609" i="2"/>
  <c r="E610" i="2"/>
  <c r="E611" i="2"/>
  <c r="E612" i="2"/>
  <c r="E613" i="2"/>
  <c r="E614" i="2"/>
  <c r="E615" i="2"/>
  <c r="E616" i="2"/>
  <c r="E617" i="2"/>
  <c r="E618" i="2"/>
  <c r="E619" i="2"/>
  <c r="E620" i="2"/>
  <c r="E621" i="2"/>
  <c r="E622" i="2"/>
  <c r="E623" i="2"/>
  <c r="E624" i="2"/>
  <c r="E625" i="2"/>
  <c r="E626" i="2"/>
  <c r="E627" i="2"/>
  <c r="E628" i="2"/>
  <c r="E629" i="2"/>
  <c r="E630" i="2"/>
  <c r="E631" i="2"/>
  <c r="E632" i="2"/>
  <c r="E633" i="2"/>
  <c r="E634" i="2"/>
  <c r="E635" i="2"/>
  <c r="E636" i="2"/>
  <c r="E637" i="2"/>
  <c r="E638" i="2"/>
  <c r="E639" i="2"/>
  <c r="E640" i="2"/>
  <c r="E641" i="2"/>
  <c r="E642" i="2"/>
  <c r="E643" i="2"/>
  <c r="E644" i="2"/>
  <c r="E645" i="2"/>
  <c r="E646" i="2"/>
  <c r="E647" i="2"/>
  <c r="E648" i="2"/>
  <c r="E649" i="2"/>
  <c r="E650" i="2"/>
  <c r="E651" i="2"/>
  <c r="E652" i="2"/>
  <c r="E653" i="2"/>
  <c r="E654" i="2"/>
  <c r="E655" i="2"/>
  <c r="E656" i="2"/>
  <c r="E657" i="2"/>
  <c r="E658" i="2"/>
  <c r="E659" i="2"/>
  <c r="E660" i="2"/>
  <c r="E661" i="2"/>
  <c r="E662" i="2"/>
  <c r="E663" i="2"/>
  <c r="E664" i="2"/>
  <c r="E665" i="2"/>
  <c r="E666" i="2"/>
  <c r="E667" i="2"/>
  <c r="E668" i="2"/>
  <c r="E669" i="2"/>
  <c r="E670" i="2"/>
  <c r="E671" i="2"/>
  <c r="E672" i="2"/>
  <c r="E673" i="2"/>
  <c r="E674" i="2"/>
  <c r="E675" i="2"/>
  <c r="E676" i="2"/>
  <c r="E677" i="2"/>
  <c r="E678" i="2"/>
  <c r="E679" i="2"/>
  <c r="E680" i="2"/>
  <c r="E681" i="2"/>
  <c r="E682" i="2"/>
  <c r="E683" i="2"/>
  <c r="E684" i="2"/>
  <c r="E685" i="2"/>
  <c r="E686" i="2"/>
  <c r="E687" i="2"/>
  <c r="E688" i="2"/>
  <c r="E689" i="2"/>
  <c r="E690" i="2"/>
  <c r="E691" i="2"/>
  <c r="E692" i="2"/>
  <c r="E693" i="2"/>
  <c r="E694" i="2"/>
  <c r="E695" i="2"/>
  <c r="E696" i="2"/>
  <c r="E697" i="2"/>
  <c r="E698" i="2"/>
  <c r="E699" i="2"/>
  <c r="E700" i="2"/>
  <c r="E701" i="2"/>
  <c r="E702" i="2"/>
  <c r="E703" i="2"/>
  <c r="E704" i="2"/>
  <c r="E705" i="2"/>
  <c r="E706" i="2"/>
  <c r="E707" i="2"/>
  <c r="E708" i="2"/>
  <c r="E709" i="2"/>
  <c r="E710" i="2"/>
  <c r="E711" i="2"/>
  <c r="E712" i="2"/>
  <c r="E713" i="2"/>
  <c r="E714" i="2"/>
  <c r="E715" i="2"/>
  <c r="E716" i="2"/>
  <c r="E717" i="2"/>
  <c r="E718" i="2"/>
  <c r="E719" i="2"/>
  <c r="E720" i="2"/>
  <c r="E721" i="2"/>
  <c r="E722" i="2"/>
  <c r="E723" i="2"/>
  <c r="E724" i="2"/>
  <c r="E725" i="2"/>
  <c r="E726" i="2"/>
  <c r="E727" i="2"/>
  <c r="E728" i="2"/>
  <c r="E729" i="2"/>
  <c r="E730" i="2"/>
  <c r="E731" i="2"/>
  <c r="E732" i="2"/>
  <c r="E733" i="2"/>
  <c r="E734" i="2"/>
  <c r="E735" i="2"/>
  <c r="E736" i="2"/>
  <c r="E737" i="2"/>
  <c r="E738" i="2"/>
  <c r="E739" i="2"/>
  <c r="E740" i="2"/>
  <c r="E741" i="2"/>
  <c r="E742" i="2"/>
  <c r="E743" i="2"/>
  <c r="E744" i="2"/>
  <c r="E745" i="2"/>
  <c r="E746" i="2"/>
  <c r="E747" i="2"/>
  <c r="E748" i="2"/>
  <c r="E749" i="2"/>
  <c r="E750" i="2"/>
  <c r="E751" i="2"/>
  <c r="E752" i="2"/>
  <c r="E753" i="2"/>
  <c r="E754" i="2"/>
  <c r="E755" i="2"/>
  <c r="E756" i="2"/>
  <c r="E757" i="2"/>
  <c r="E758" i="2"/>
  <c r="E759" i="2"/>
  <c r="E760" i="2"/>
  <c r="E761" i="2"/>
  <c r="E762" i="2"/>
  <c r="E763" i="2"/>
  <c r="E764" i="2"/>
  <c r="E765" i="2"/>
  <c r="E766" i="2"/>
  <c r="E767" i="2"/>
  <c r="E768" i="2"/>
  <c r="E769" i="2"/>
  <c r="E770" i="2"/>
  <c r="E771" i="2"/>
  <c r="E772" i="2"/>
  <c r="E773" i="2"/>
  <c r="E774" i="2"/>
  <c r="E775" i="2"/>
  <c r="E776" i="2"/>
  <c r="E777" i="2"/>
  <c r="E778" i="2"/>
  <c r="E779" i="2"/>
  <c r="E780" i="2"/>
  <c r="E781" i="2"/>
  <c r="E782" i="2"/>
  <c r="E783" i="2"/>
  <c r="E784" i="2"/>
  <c r="E785" i="2"/>
  <c r="E786" i="2"/>
  <c r="E787" i="2"/>
  <c r="E788" i="2"/>
  <c r="E789" i="2"/>
  <c r="E790" i="2"/>
  <c r="E791" i="2"/>
  <c r="E792" i="2"/>
  <c r="E793" i="2"/>
  <c r="E794" i="2"/>
  <c r="E795" i="2"/>
  <c r="E796" i="2"/>
  <c r="E797" i="2"/>
  <c r="E798" i="2"/>
  <c r="E799" i="2"/>
  <c r="E800" i="2"/>
  <c r="E801" i="2"/>
  <c r="E802" i="2"/>
  <c r="E803" i="2"/>
  <c r="E804" i="2"/>
  <c r="E805" i="2"/>
  <c r="E806" i="2"/>
  <c r="E807" i="2"/>
  <c r="E808" i="2"/>
  <c r="E809" i="2"/>
  <c r="E810" i="2"/>
  <c r="E811" i="2"/>
  <c r="E812" i="2"/>
  <c r="E813" i="2"/>
  <c r="E814" i="2"/>
  <c r="E815" i="2"/>
  <c r="E816" i="2"/>
  <c r="E817" i="2"/>
  <c r="E818" i="2"/>
  <c r="E819" i="2"/>
  <c r="E820" i="2"/>
  <c r="E821" i="2"/>
  <c r="E822" i="2"/>
  <c r="E823" i="2"/>
  <c r="E824" i="2"/>
  <c r="E825" i="2"/>
  <c r="E826" i="2"/>
  <c r="E827" i="2"/>
  <c r="E828" i="2"/>
  <c r="E829" i="2"/>
  <c r="E830" i="2"/>
  <c r="E831" i="2"/>
  <c r="E832" i="2"/>
  <c r="E833" i="2"/>
  <c r="E834" i="2"/>
  <c r="E835" i="2"/>
  <c r="E836" i="2"/>
  <c r="E837" i="2"/>
  <c r="E838" i="2"/>
  <c r="E839" i="2"/>
  <c r="E840" i="2"/>
  <c r="E841" i="2"/>
  <c r="E842" i="2"/>
  <c r="E843" i="2"/>
  <c r="E844" i="2"/>
  <c r="E845" i="2"/>
  <c r="E846" i="2"/>
  <c r="E847" i="2"/>
  <c r="E848" i="2"/>
  <c r="E849" i="2"/>
  <c r="E850" i="2"/>
  <c r="E851" i="2"/>
  <c r="E852" i="2"/>
  <c r="E853" i="2"/>
  <c r="E854" i="2"/>
  <c r="E855" i="2"/>
  <c r="E856" i="2"/>
  <c r="E857" i="2"/>
  <c r="E858" i="2"/>
  <c r="E859" i="2"/>
  <c r="E860" i="2"/>
  <c r="E861" i="2"/>
  <c r="E862" i="2"/>
  <c r="E863" i="2"/>
  <c r="E864" i="2"/>
  <c r="E865" i="2"/>
  <c r="E866" i="2"/>
  <c r="E867" i="2"/>
  <c r="E868" i="2"/>
  <c r="E869" i="2"/>
  <c r="E870" i="2"/>
  <c r="E871" i="2"/>
  <c r="E872" i="2"/>
  <c r="E873" i="2"/>
  <c r="E874" i="2"/>
  <c r="E875" i="2"/>
  <c r="E876" i="2"/>
  <c r="E877" i="2"/>
  <c r="E878" i="2"/>
  <c r="E879" i="2"/>
  <c r="E880" i="2"/>
  <c r="E881" i="2"/>
  <c r="E882" i="2"/>
  <c r="E883" i="2"/>
  <c r="E884" i="2"/>
  <c r="E885" i="2"/>
  <c r="E886" i="2"/>
  <c r="E887" i="2"/>
  <c r="E888" i="2"/>
  <c r="E889" i="2"/>
  <c r="E890" i="2"/>
  <c r="E891" i="2"/>
  <c r="E892" i="2"/>
  <c r="E893" i="2"/>
  <c r="E894" i="2"/>
  <c r="E895" i="2"/>
  <c r="E896" i="2"/>
  <c r="E897" i="2"/>
  <c r="E898" i="2"/>
  <c r="E899" i="2"/>
  <c r="E900" i="2"/>
  <c r="E901" i="2"/>
  <c r="E902" i="2"/>
  <c r="E903" i="2"/>
  <c r="E904" i="2"/>
  <c r="E905" i="2"/>
  <c r="E906" i="2"/>
  <c r="E907" i="2"/>
  <c r="E908" i="2"/>
  <c r="E909" i="2"/>
  <c r="E910" i="2"/>
  <c r="E911" i="2"/>
  <c r="E912" i="2"/>
  <c r="E913" i="2"/>
  <c r="E914" i="2"/>
  <c r="E915" i="2"/>
  <c r="E916" i="2"/>
  <c r="E917" i="2"/>
  <c r="E918" i="2"/>
  <c r="E919" i="2"/>
  <c r="E920" i="2"/>
  <c r="E921" i="2"/>
  <c r="E922" i="2"/>
  <c r="E923" i="2"/>
  <c r="E924" i="2"/>
  <c r="E925" i="2"/>
  <c r="E926" i="2"/>
  <c r="E927" i="2"/>
  <c r="E928" i="2"/>
  <c r="E929" i="2"/>
  <c r="E930" i="2"/>
  <c r="E931" i="2"/>
  <c r="E932" i="2"/>
  <c r="E933" i="2"/>
  <c r="E934" i="2"/>
  <c r="E935" i="2"/>
  <c r="E936" i="2"/>
  <c r="E937" i="2"/>
  <c r="E938" i="2"/>
  <c r="E939" i="2"/>
  <c r="E940" i="2"/>
  <c r="E941" i="2"/>
  <c r="E942" i="2"/>
  <c r="E943" i="2"/>
  <c r="E944" i="2"/>
  <c r="E945" i="2"/>
  <c r="E946" i="2"/>
  <c r="E947" i="2"/>
  <c r="E948" i="2"/>
  <c r="E949" i="2"/>
  <c r="E950" i="2"/>
  <c r="E951" i="2"/>
  <c r="E952" i="2"/>
  <c r="E953" i="2"/>
  <c r="E954" i="2"/>
  <c r="E955" i="2"/>
  <c r="E956" i="2"/>
  <c r="E957" i="2"/>
  <c r="E958" i="2"/>
  <c r="E959" i="2"/>
  <c r="E960" i="2"/>
  <c r="E961" i="2"/>
  <c r="E962" i="2"/>
  <c r="E963" i="2"/>
  <c r="E964" i="2"/>
  <c r="E965" i="2"/>
  <c r="E966" i="2"/>
  <c r="E967" i="2"/>
  <c r="E968" i="2"/>
  <c r="E969" i="2"/>
  <c r="E970" i="2"/>
  <c r="E971" i="2"/>
  <c r="E972" i="2"/>
  <c r="E973" i="2"/>
  <c r="E974" i="2"/>
  <c r="E975" i="2"/>
  <c r="E976" i="2"/>
  <c r="E977" i="2"/>
  <c r="E978" i="2"/>
  <c r="E979" i="2"/>
  <c r="E980" i="2"/>
  <c r="E981" i="2"/>
  <c r="E982" i="2"/>
  <c r="E983" i="2"/>
  <c r="E984" i="2"/>
  <c r="E985" i="2"/>
  <c r="E986" i="2"/>
  <c r="E987" i="2"/>
  <c r="E988" i="2"/>
  <c r="E989" i="2"/>
  <c r="E990" i="2"/>
  <c r="E991" i="2"/>
  <c r="E992" i="2"/>
  <c r="E993" i="2"/>
  <c r="E994" i="2"/>
  <c r="E995" i="2"/>
  <c r="E996" i="2"/>
  <c r="E997" i="2"/>
  <c r="E998" i="2"/>
  <c r="E999" i="2"/>
  <c r="E1000" i="2"/>
  <c r="E1001" i="2"/>
  <c r="E1002" i="2"/>
  <c r="E1003" i="2"/>
  <c r="E1004" i="2"/>
  <c r="E1005" i="2"/>
  <c r="E1006" i="2"/>
  <c r="E1007" i="2"/>
  <c r="E1008" i="2"/>
  <c r="E1009" i="2"/>
  <c r="E1010" i="2"/>
  <c r="E1011" i="2"/>
  <c r="E1012" i="2"/>
  <c r="E1013" i="2"/>
  <c r="E1014" i="2"/>
  <c r="E1015" i="2"/>
  <c r="E1016" i="2"/>
  <c r="E1017" i="2"/>
  <c r="E1018" i="2"/>
  <c r="E1019" i="2"/>
  <c r="E1020" i="2"/>
  <c r="E1021" i="2"/>
  <c r="E1022" i="2"/>
  <c r="E1023" i="2"/>
  <c r="E1024" i="2"/>
  <c r="E1025" i="2"/>
  <c r="E1026" i="2"/>
  <c r="E1027" i="2"/>
  <c r="E1028" i="2"/>
  <c r="E1029" i="2"/>
  <c r="E1030" i="2"/>
  <c r="E1031" i="2"/>
  <c r="E1032" i="2"/>
  <c r="E1033" i="2"/>
  <c r="E1034" i="2"/>
  <c r="E1035" i="2"/>
  <c r="E1036" i="2"/>
  <c r="E1037" i="2"/>
  <c r="E1038" i="2"/>
  <c r="E1039" i="2"/>
  <c r="E1040" i="2"/>
  <c r="E1041" i="2"/>
  <c r="E1042" i="2"/>
  <c r="E1043" i="2"/>
  <c r="E1044" i="2"/>
  <c r="E1045" i="2"/>
  <c r="E1046" i="2"/>
  <c r="E1047" i="2"/>
  <c r="E1048" i="2"/>
  <c r="E1049" i="2"/>
  <c r="E1050" i="2"/>
  <c r="E1051" i="2"/>
  <c r="E1052" i="2"/>
  <c r="E1053" i="2"/>
  <c r="E1054" i="2"/>
  <c r="E1055" i="2"/>
  <c r="E1056" i="2"/>
  <c r="E1057" i="2"/>
  <c r="E1058" i="2"/>
  <c r="E1059" i="2"/>
  <c r="E1060" i="2"/>
  <c r="E1061" i="2"/>
  <c r="E1062" i="2"/>
  <c r="E1063" i="2"/>
  <c r="E1064" i="2"/>
  <c r="E1065" i="2"/>
  <c r="E1066" i="2"/>
  <c r="E1067" i="2"/>
  <c r="E1068" i="2"/>
  <c r="E1069" i="2"/>
  <c r="E1070" i="2"/>
  <c r="E1071" i="2"/>
  <c r="E1072" i="2"/>
  <c r="E1073" i="2"/>
  <c r="E1074" i="2"/>
  <c r="E1075" i="2"/>
  <c r="E1076" i="2"/>
  <c r="E1077" i="2"/>
  <c r="E1078" i="2"/>
  <c r="E1079" i="2"/>
  <c r="E1080" i="2"/>
  <c r="E1081" i="2"/>
  <c r="E1082" i="2"/>
  <c r="E1083" i="2"/>
  <c r="E1084" i="2"/>
  <c r="E1085" i="2"/>
  <c r="E1086" i="2"/>
  <c r="E1087" i="2"/>
  <c r="E1088" i="2"/>
  <c r="E1089" i="2"/>
  <c r="E1090" i="2"/>
  <c r="E1091" i="2"/>
  <c r="E31" i="2"/>
  <c r="Q32" i="2"/>
  <c r="Q33" i="2"/>
  <c r="Q34" i="2"/>
  <c r="Q35" i="2"/>
  <c r="Q36" i="2"/>
  <c r="Q37" i="2"/>
  <c r="Q38" i="2"/>
  <c r="Q39" i="2"/>
  <c r="Q40" i="2"/>
  <c r="Q41" i="2"/>
  <c r="Q42" i="2"/>
  <c r="Q43" i="2"/>
  <c r="Q44" i="2"/>
  <c r="Q45" i="2"/>
  <c r="Q46" i="2"/>
  <c r="Q47" i="2"/>
  <c r="Q48" i="2"/>
  <c r="Q49" i="2"/>
  <c r="Q50" i="2"/>
  <c r="Q51" i="2"/>
  <c r="Q52" i="2"/>
  <c r="Q53" i="2"/>
  <c r="Q54" i="2"/>
  <c r="Q55" i="2"/>
  <c r="Q56" i="2"/>
  <c r="Q57" i="2"/>
  <c r="Q58" i="2"/>
  <c r="Q59" i="2"/>
  <c r="Q60" i="2"/>
  <c r="Q61" i="2"/>
  <c r="Q62" i="2"/>
  <c r="Q63" i="2"/>
  <c r="Q64" i="2"/>
  <c r="Q65" i="2"/>
  <c r="Q66" i="2"/>
  <c r="Q67" i="2"/>
  <c r="Q68" i="2"/>
  <c r="Q69" i="2"/>
  <c r="Q70" i="2"/>
  <c r="Q71" i="2"/>
  <c r="Q72" i="2"/>
  <c r="Q73" i="2"/>
  <c r="Q74" i="2"/>
  <c r="Q75" i="2"/>
  <c r="Q76" i="2"/>
  <c r="Q77" i="2"/>
  <c r="Q78" i="2"/>
  <c r="Q79" i="2"/>
  <c r="Q80" i="2"/>
  <c r="Q81" i="2"/>
  <c r="Q82" i="2"/>
  <c r="Q83" i="2"/>
  <c r="Q84" i="2"/>
  <c r="Q85" i="2"/>
  <c r="Q86" i="2"/>
  <c r="Q87" i="2"/>
  <c r="Q88" i="2"/>
  <c r="Q89" i="2"/>
  <c r="Q90" i="2"/>
  <c r="Q91" i="2"/>
  <c r="Q92" i="2"/>
  <c r="Q93" i="2"/>
  <c r="Q94" i="2"/>
  <c r="Q95" i="2"/>
  <c r="Q96" i="2"/>
  <c r="Q97" i="2"/>
  <c r="Q98" i="2"/>
  <c r="Q99" i="2"/>
  <c r="Q100" i="2"/>
  <c r="Q101" i="2"/>
  <c r="Q102" i="2"/>
  <c r="Q103" i="2"/>
  <c r="Q104" i="2"/>
  <c r="Q105" i="2"/>
  <c r="Q106" i="2"/>
  <c r="Q107" i="2"/>
  <c r="Q108" i="2"/>
  <c r="Q109" i="2"/>
  <c r="Q110" i="2"/>
  <c r="Q111" i="2"/>
  <c r="Q112" i="2"/>
  <c r="Q113" i="2"/>
  <c r="Q114" i="2"/>
  <c r="Q115" i="2"/>
  <c r="Q116" i="2"/>
  <c r="Q117" i="2"/>
  <c r="Q118" i="2"/>
  <c r="Q119" i="2"/>
  <c r="Q120" i="2"/>
  <c r="Q121" i="2"/>
  <c r="Q122" i="2"/>
  <c r="Q123" i="2"/>
  <c r="Q124" i="2"/>
  <c r="Q125" i="2"/>
  <c r="Q126" i="2"/>
  <c r="Q127" i="2"/>
  <c r="Q128" i="2"/>
  <c r="Q129" i="2"/>
  <c r="Q130" i="2"/>
  <c r="Q131" i="2"/>
  <c r="Q132" i="2"/>
  <c r="Q133" i="2"/>
  <c r="Q134" i="2"/>
  <c r="Q135" i="2"/>
  <c r="Q136" i="2"/>
  <c r="Q137" i="2"/>
  <c r="Q138" i="2"/>
  <c r="Q139" i="2"/>
  <c r="Q140" i="2"/>
  <c r="Q141" i="2"/>
  <c r="Q142" i="2"/>
  <c r="Q143" i="2"/>
  <c r="Q144" i="2"/>
  <c r="Q145" i="2"/>
  <c r="Q146" i="2"/>
  <c r="Q147" i="2"/>
  <c r="Q148" i="2"/>
  <c r="Q149" i="2"/>
  <c r="Q150" i="2"/>
  <c r="Q151" i="2"/>
  <c r="Q152" i="2"/>
  <c r="Q153" i="2"/>
  <c r="Q154" i="2"/>
  <c r="Q155" i="2"/>
  <c r="Q156" i="2"/>
  <c r="Q157" i="2"/>
  <c r="Q158" i="2"/>
  <c r="Q159" i="2"/>
  <c r="Q160" i="2"/>
  <c r="Q161" i="2"/>
  <c r="Q162" i="2"/>
  <c r="Q163" i="2"/>
  <c r="Q164" i="2"/>
  <c r="Q165" i="2"/>
  <c r="Q166" i="2"/>
  <c r="Q167" i="2"/>
  <c r="Q168" i="2"/>
  <c r="Q169" i="2"/>
  <c r="Q170" i="2"/>
  <c r="Q171" i="2"/>
  <c r="Q172" i="2"/>
  <c r="Q173" i="2"/>
  <c r="Q174" i="2"/>
  <c r="Q175" i="2"/>
  <c r="Q176" i="2"/>
  <c r="Q177" i="2"/>
  <c r="Q178" i="2"/>
  <c r="Q179" i="2"/>
  <c r="Q180" i="2"/>
  <c r="Q181" i="2"/>
  <c r="Q182" i="2"/>
  <c r="Q183" i="2"/>
  <c r="Q184" i="2"/>
  <c r="Q185" i="2"/>
  <c r="Q186" i="2"/>
  <c r="Q187" i="2"/>
  <c r="Q188" i="2"/>
  <c r="Q189" i="2"/>
  <c r="Q190" i="2"/>
  <c r="Q191" i="2"/>
  <c r="Q192" i="2"/>
  <c r="Q193" i="2"/>
  <c r="Q194" i="2"/>
  <c r="Q195" i="2"/>
  <c r="Q196" i="2"/>
  <c r="Q197" i="2"/>
  <c r="Q198" i="2"/>
  <c r="Q199" i="2"/>
  <c r="Q200" i="2"/>
  <c r="Q201" i="2"/>
  <c r="Q202" i="2"/>
  <c r="Q203" i="2"/>
  <c r="Q204" i="2"/>
  <c r="Q205" i="2"/>
  <c r="Q206" i="2"/>
  <c r="Q207" i="2"/>
  <c r="Q208" i="2"/>
  <c r="Q209" i="2"/>
  <c r="Q210" i="2"/>
  <c r="Q211" i="2"/>
  <c r="Q212" i="2"/>
  <c r="Q213" i="2"/>
  <c r="Q214" i="2"/>
  <c r="Q215" i="2"/>
  <c r="Q216" i="2"/>
  <c r="Q217" i="2"/>
  <c r="Q218" i="2"/>
  <c r="Q219" i="2"/>
  <c r="Q220" i="2"/>
  <c r="Q221" i="2"/>
  <c r="Q222" i="2"/>
  <c r="Q223" i="2"/>
  <c r="Q224" i="2"/>
  <c r="Q225" i="2"/>
  <c r="Q226" i="2"/>
  <c r="Q227" i="2"/>
  <c r="Q228" i="2"/>
  <c r="Q229" i="2"/>
  <c r="Q230" i="2"/>
  <c r="Q231" i="2"/>
  <c r="Q232" i="2"/>
  <c r="Q233" i="2"/>
  <c r="Q234" i="2"/>
  <c r="Q235" i="2"/>
  <c r="Q236" i="2"/>
  <c r="Q237" i="2"/>
  <c r="Q238" i="2"/>
  <c r="Q239" i="2"/>
  <c r="Q240" i="2"/>
  <c r="Q241" i="2"/>
  <c r="Q242" i="2"/>
  <c r="Q243" i="2"/>
  <c r="Q244" i="2"/>
  <c r="Q245" i="2"/>
  <c r="Q246" i="2"/>
  <c r="Q247" i="2"/>
  <c r="Q248" i="2"/>
  <c r="Q249" i="2"/>
  <c r="Q250" i="2"/>
  <c r="Q251" i="2"/>
  <c r="Q252" i="2"/>
  <c r="Q253" i="2"/>
  <c r="Q254" i="2"/>
  <c r="Q255" i="2"/>
  <c r="Q256" i="2"/>
  <c r="Q257" i="2"/>
  <c r="Q258" i="2"/>
  <c r="Q259" i="2"/>
  <c r="Q260" i="2"/>
  <c r="Q261" i="2"/>
  <c r="Q262" i="2"/>
  <c r="Q263" i="2"/>
  <c r="Q264" i="2"/>
  <c r="Q265" i="2"/>
  <c r="Q266" i="2"/>
  <c r="Q267" i="2"/>
  <c r="Q268" i="2"/>
  <c r="Q269" i="2"/>
  <c r="Q270" i="2"/>
  <c r="Q271" i="2"/>
  <c r="Q272" i="2"/>
  <c r="Q273" i="2"/>
  <c r="Q274" i="2"/>
  <c r="Q275" i="2"/>
  <c r="Q276" i="2"/>
  <c r="Q277" i="2"/>
  <c r="Q278" i="2"/>
  <c r="Q279" i="2"/>
  <c r="Q280" i="2"/>
  <c r="Q281" i="2"/>
  <c r="Q282" i="2"/>
  <c r="Q283" i="2"/>
  <c r="Q284" i="2"/>
  <c r="Q285" i="2"/>
  <c r="Q286" i="2"/>
  <c r="Q287" i="2"/>
  <c r="Q288" i="2"/>
  <c r="Q289" i="2"/>
  <c r="Q290" i="2"/>
  <c r="Q291" i="2"/>
  <c r="Q292" i="2"/>
  <c r="Q293" i="2"/>
  <c r="Q294" i="2"/>
  <c r="Q295" i="2"/>
  <c r="Q296" i="2"/>
  <c r="Q297" i="2"/>
  <c r="Q298" i="2"/>
  <c r="Q299" i="2"/>
  <c r="Q300" i="2"/>
  <c r="Q301" i="2"/>
  <c r="Q302" i="2"/>
  <c r="Q303" i="2"/>
  <c r="Q304" i="2"/>
  <c r="Q305" i="2"/>
  <c r="Q306" i="2"/>
  <c r="Q307" i="2"/>
  <c r="Q308" i="2"/>
  <c r="Q309" i="2"/>
  <c r="Q310" i="2"/>
  <c r="Q311" i="2"/>
  <c r="Q312" i="2"/>
  <c r="Q313" i="2"/>
  <c r="Q314" i="2"/>
  <c r="Q315" i="2"/>
  <c r="Q316" i="2"/>
  <c r="Q317" i="2"/>
  <c r="Q318" i="2"/>
  <c r="Q319" i="2"/>
  <c r="Q320" i="2"/>
  <c r="Q321" i="2"/>
  <c r="Q322" i="2"/>
  <c r="Q323" i="2"/>
  <c r="Q324" i="2"/>
  <c r="Q325" i="2"/>
  <c r="Q326" i="2"/>
  <c r="Q327" i="2"/>
  <c r="Q328" i="2"/>
  <c r="Q329" i="2"/>
  <c r="Q330" i="2"/>
  <c r="Q331" i="2"/>
  <c r="Q332" i="2"/>
  <c r="Q333" i="2"/>
  <c r="Q334" i="2"/>
  <c r="Q335" i="2"/>
  <c r="Q336" i="2"/>
  <c r="Q337" i="2"/>
  <c r="Q338" i="2"/>
  <c r="Q339" i="2"/>
  <c r="Q340" i="2"/>
  <c r="Q341" i="2"/>
  <c r="Q342" i="2"/>
  <c r="Q343" i="2"/>
  <c r="Q344" i="2"/>
  <c r="Q345" i="2"/>
  <c r="Q346" i="2"/>
  <c r="Q347" i="2"/>
  <c r="Q348" i="2"/>
  <c r="Q349" i="2"/>
  <c r="Q350" i="2"/>
  <c r="Q351" i="2"/>
  <c r="Q352" i="2"/>
  <c r="Q353" i="2"/>
  <c r="Q354" i="2"/>
  <c r="Q355" i="2"/>
  <c r="Q356" i="2"/>
  <c r="Q357" i="2"/>
  <c r="Q358" i="2"/>
  <c r="Q359" i="2"/>
  <c r="Q360" i="2"/>
  <c r="Q361" i="2"/>
  <c r="Q362" i="2"/>
  <c r="Q363" i="2"/>
  <c r="Q364" i="2"/>
  <c r="Q365" i="2"/>
  <c r="Q366" i="2"/>
  <c r="Q367" i="2"/>
  <c r="Q368" i="2"/>
  <c r="Q369" i="2"/>
  <c r="Q370" i="2"/>
  <c r="Q371" i="2"/>
  <c r="Q372" i="2"/>
  <c r="Q373" i="2"/>
  <c r="Q374" i="2"/>
  <c r="Q375" i="2"/>
  <c r="Q376" i="2"/>
  <c r="Q377" i="2"/>
  <c r="Q378" i="2"/>
  <c r="Q379" i="2"/>
  <c r="Q380" i="2"/>
  <c r="Q381" i="2"/>
  <c r="Q382" i="2"/>
  <c r="Q383" i="2"/>
  <c r="Q384" i="2"/>
  <c r="Q385" i="2"/>
  <c r="Q386" i="2"/>
  <c r="Q387" i="2"/>
  <c r="Q388" i="2"/>
  <c r="Q389" i="2"/>
  <c r="Q390" i="2"/>
  <c r="Q391" i="2"/>
  <c r="Q392" i="2"/>
  <c r="Q393" i="2"/>
  <c r="Q394" i="2"/>
  <c r="Q395" i="2"/>
  <c r="Q396" i="2"/>
  <c r="Q397" i="2"/>
  <c r="Q398" i="2"/>
  <c r="Q399" i="2"/>
  <c r="Q400" i="2"/>
  <c r="Q401" i="2"/>
  <c r="Q402" i="2"/>
  <c r="Q403" i="2"/>
  <c r="Q404" i="2"/>
  <c r="Q405" i="2"/>
  <c r="Q406" i="2"/>
  <c r="Q407" i="2"/>
  <c r="Q408" i="2"/>
  <c r="Q409" i="2"/>
  <c r="Q410" i="2"/>
  <c r="Q411" i="2"/>
  <c r="Q412" i="2"/>
  <c r="Q413" i="2"/>
  <c r="Q414" i="2"/>
  <c r="Q415" i="2"/>
  <c r="Q416" i="2"/>
  <c r="Q417" i="2"/>
  <c r="Q418" i="2"/>
  <c r="Q419" i="2"/>
  <c r="Q420" i="2"/>
  <c r="Q421" i="2"/>
  <c r="Q422" i="2"/>
  <c r="Q423" i="2"/>
  <c r="Q424" i="2"/>
  <c r="Q425" i="2"/>
  <c r="Q426" i="2"/>
  <c r="Q427" i="2"/>
  <c r="Q428" i="2"/>
  <c r="Q429" i="2"/>
  <c r="Q430" i="2"/>
  <c r="Q431" i="2"/>
  <c r="Q432" i="2"/>
  <c r="Q433" i="2"/>
  <c r="Q434" i="2"/>
  <c r="Q435" i="2"/>
  <c r="Q436" i="2"/>
  <c r="Q437" i="2"/>
  <c r="Q438" i="2"/>
  <c r="Q439" i="2"/>
  <c r="Q440" i="2"/>
  <c r="Q441" i="2"/>
  <c r="Q442" i="2"/>
  <c r="Q443" i="2"/>
  <c r="Q444" i="2"/>
  <c r="Q445" i="2"/>
  <c r="Q446" i="2"/>
  <c r="Q447" i="2"/>
  <c r="Q448" i="2"/>
  <c r="Q449" i="2"/>
  <c r="Q450" i="2"/>
  <c r="Q451" i="2"/>
  <c r="Q452" i="2"/>
  <c r="Q453" i="2"/>
  <c r="Q454" i="2"/>
  <c r="Q455" i="2"/>
  <c r="Q456" i="2"/>
  <c r="Q457" i="2"/>
  <c r="Q458" i="2"/>
  <c r="Q459" i="2"/>
  <c r="Q460" i="2"/>
  <c r="Q461" i="2"/>
  <c r="Q462" i="2"/>
  <c r="Q463" i="2"/>
  <c r="Q464" i="2"/>
  <c r="Q465" i="2"/>
  <c r="Q466" i="2"/>
  <c r="Q467" i="2"/>
  <c r="Q468" i="2"/>
  <c r="Q469" i="2"/>
  <c r="Q470" i="2"/>
  <c r="Q471" i="2"/>
  <c r="Q472" i="2"/>
  <c r="Q473" i="2"/>
  <c r="Q474" i="2"/>
  <c r="Q475" i="2"/>
  <c r="Q476" i="2"/>
  <c r="Q477" i="2"/>
  <c r="Q478" i="2"/>
  <c r="Q479" i="2"/>
  <c r="Q480" i="2"/>
  <c r="Q481" i="2"/>
  <c r="Q482" i="2"/>
  <c r="Q483" i="2"/>
  <c r="Q484" i="2"/>
  <c r="Q485" i="2"/>
  <c r="Q486" i="2"/>
  <c r="Q487" i="2"/>
  <c r="Q488" i="2"/>
  <c r="Q489" i="2"/>
  <c r="Q490" i="2"/>
  <c r="Q491" i="2"/>
  <c r="Q492" i="2"/>
  <c r="Q493" i="2"/>
  <c r="Q494" i="2"/>
  <c r="Q495" i="2"/>
  <c r="Q496" i="2"/>
  <c r="Q497" i="2"/>
  <c r="Q498" i="2"/>
  <c r="Q499" i="2"/>
  <c r="Q500" i="2"/>
  <c r="Q501" i="2"/>
  <c r="Q502" i="2"/>
  <c r="Q503" i="2"/>
  <c r="Q504" i="2"/>
  <c r="Q505" i="2"/>
  <c r="Q506" i="2"/>
  <c r="Q507" i="2"/>
  <c r="Q508" i="2"/>
  <c r="Q509" i="2"/>
  <c r="Q510" i="2"/>
  <c r="Q511" i="2"/>
  <c r="Q512" i="2"/>
  <c r="Q513" i="2"/>
  <c r="Q514" i="2"/>
  <c r="Q515" i="2"/>
  <c r="Q516" i="2"/>
  <c r="Q517" i="2"/>
  <c r="Q518" i="2"/>
  <c r="Q519" i="2"/>
  <c r="Q520" i="2"/>
  <c r="Q521" i="2"/>
  <c r="Q522" i="2"/>
  <c r="Q523" i="2"/>
  <c r="Q524" i="2"/>
  <c r="Q525" i="2"/>
  <c r="Q526" i="2"/>
  <c r="Q527" i="2"/>
  <c r="Q528" i="2"/>
  <c r="Q529" i="2"/>
  <c r="Q530" i="2"/>
  <c r="Q531" i="2"/>
  <c r="Q532" i="2"/>
  <c r="Q533" i="2"/>
  <c r="Q534" i="2"/>
  <c r="Q535" i="2"/>
  <c r="Q536" i="2"/>
  <c r="Q537" i="2"/>
  <c r="Q538" i="2"/>
  <c r="Q539" i="2"/>
  <c r="Q540" i="2"/>
  <c r="Q541" i="2"/>
  <c r="Q542" i="2"/>
  <c r="Q543" i="2"/>
  <c r="Q544" i="2"/>
  <c r="Q545" i="2"/>
  <c r="Q546" i="2"/>
  <c r="Q547" i="2"/>
  <c r="Q548" i="2"/>
  <c r="Q549" i="2"/>
  <c r="Q550" i="2"/>
  <c r="Q551" i="2"/>
  <c r="Q552" i="2"/>
  <c r="Q553" i="2"/>
  <c r="Q554" i="2"/>
  <c r="Q555" i="2"/>
  <c r="Q556" i="2"/>
  <c r="Q557" i="2"/>
  <c r="Q558" i="2"/>
  <c r="Q559" i="2"/>
  <c r="Q560" i="2"/>
  <c r="Q561" i="2"/>
  <c r="Q562" i="2"/>
  <c r="Q563" i="2"/>
  <c r="Q564" i="2"/>
  <c r="Q565" i="2"/>
  <c r="Q566" i="2"/>
  <c r="Q567" i="2"/>
  <c r="Q568" i="2"/>
  <c r="Q569" i="2"/>
  <c r="Q570" i="2"/>
  <c r="Q571" i="2"/>
  <c r="Q572" i="2"/>
  <c r="Q573" i="2"/>
  <c r="Q574" i="2"/>
  <c r="Q575" i="2"/>
  <c r="Q576" i="2"/>
  <c r="Q577" i="2"/>
  <c r="Q578" i="2"/>
  <c r="Q579" i="2"/>
  <c r="Q580" i="2"/>
  <c r="Q581" i="2"/>
  <c r="Q582" i="2"/>
  <c r="Q583" i="2"/>
  <c r="Q584" i="2"/>
  <c r="Q585" i="2"/>
  <c r="Q586" i="2"/>
  <c r="Q587" i="2"/>
  <c r="Q588" i="2"/>
  <c r="Q589" i="2"/>
  <c r="Q590" i="2"/>
  <c r="Q591" i="2"/>
  <c r="Q592" i="2"/>
  <c r="Q593" i="2"/>
  <c r="Q594" i="2"/>
  <c r="Q595" i="2"/>
  <c r="Q596" i="2"/>
  <c r="Q597" i="2"/>
  <c r="Q598" i="2"/>
  <c r="Q599" i="2"/>
  <c r="Q600" i="2"/>
  <c r="Q601" i="2"/>
  <c r="Q602" i="2"/>
  <c r="Q603" i="2"/>
  <c r="Q604" i="2"/>
  <c r="Q605" i="2"/>
  <c r="Q606" i="2"/>
  <c r="Q607" i="2"/>
  <c r="Q608" i="2"/>
  <c r="Q609" i="2"/>
  <c r="Q610" i="2"/>
  <c r="Q611" i="2"/>
  <c r="Q612" i="2"/>
  <c r="Q613" i="2"/>
  <c r="Q614" i="2"/>
  <c r="Q615" i="2"/>
  <c r="Q616" i="2"/>
  <c r="Q617" i="2"/>
  <c r="Q618" i="2"/>
  <c r="Q619" i="2"/>
  <c r="Q620" i="2"/>
  <c r="Q621" i="2"/>
  <c r="Q622" i="2"/>
  <c r="Q623" i="2"/>
  <c r="Q624" i="2"/>
  <c r="Q625" i="2"/>
  <c r="Q626" i="2"/>
  <c r="Q627" i="2"/>
  <c r="Q628" i="2"/>
  <c r="Q629" i="2"/>
  <c r="Q630" i="2"/>
  <c r="Q631" i="2"/>
  <c r="Q632" i="2"/>
  <c r="Q633" i="2"/>
  <c r="Q634" i="2"/>
  <c r="Q635" i="2"/>
  <c r="Q636" i="2"/>
  <c r="Q637" i="2"/>
  <c r="Q638" i="2"/>
  <c r="Q639" i="2"/>
  <c r="Q640" i="2"/>
  <c r="Q641" i="2"/>
  <c r="Q642" i="2"/>
  <c r="Q643" i="2"/>
  <c r="Q644" i="2"/>
  <c r="Q645" i="2"/>
  <c r="Q646" i="2"/>
  <c r="Q647" i="2"/>
  <c r="Q648" i="2"/>
  <c r="Q649" i="2"/>
  <c r="Q650" i="2"/>
  <c r="Q651" i="2"/>
  <c r="Q652" i="2"/>
  <c r="Q653" i="2"/>
  <c r="Q654" i="2"/>
  <c r="Q655" i="2"/>
  <c r="Q656" i="2"/>
  <c r="Q657" i="2"/>
  <c r="Q658" i="2"/>
  <c r="Q659" i="2"/>
  <c r="Q660" i="2"/>
  <c r="Q661" i="2"/>
  <c r="Q662" i="2"/>
  <c r="Q663" i="2"/>
  <c r="Q664" i="2"/>
  <c r="Q665" i="2"/>
  <c r="Q666" i="2"/>
  <c r="Q667" i="2"/>
  <c r="Q668" i="2"/>
  <c r="Q669" i="2"/>
  <c r="Q670" i="2"/>
  <c r="Q671" i="2"/>
  <c r="Q672" i="2"/>
  <c r="Q673" i="2"/>
  <c r="Q674" i="2"/>
  <c r="Q675" i="2"/>
  <c r="Q676" i="2"/>
  <c r="Q677" i="2"/>
  <c r="Q678" i="2"/>
  <c r="Q679" i="2"/>
  <c r="Q680" i="2"/>
  <c r="Q681" i="2"/>
  <c r="Q682" i="2"/>
  <c r="Q683" i="2"/>
  <c r="Q684" i="2"/>
  <c r="Q685" i="2"/>
  <c r="Q686" i="2"/>
  <c r="Q687" i="2"/>
  <c r="Q688" i="2"/>
  <c r="Q689" i="2"/>
  <c r="Q690" i="2"/>
  <c r="Q691" i="2"/>
  <c r="Q692" i="2"/>
  <c r="Q693" i="2"/>
  <c r="Q694" i="2"/>
  <c r="Q695" i="2"/>
  <c r="Q696" i="2"/>
  <c r="Q697" i="2"/>
  <c r="Q698" i="2"/>
  <c r="Q699" i="2"/>
  <c r="Q700" i="2"/>
  <c r="Q701" i="2"/>
  <c r="Q702" i="2"/>
  <c r="Q703" i="2"/>
  <c r="Q704" i="2"/>
  <c r="Q705" i="2"/>
  <c r="Q706" i="2"/>
  <c r="Q707" i="2"/>
  <c r="Q708" i="2"/>
  <c r="Q709" i="2"/>
  <c r="Q710" i="2"/>
  <c r="Q711" i="2"/>
  <c r="Q712" i="2"/>
  <c r="Q713" i="2"/>
  <c r="Q714" i="2"/>
  <c r="Q715" i="2"/>
  <c r="Q716" i="2"/>
  <c r="Q717" i="2"/>
  <c r="Q718" i="2"/>
  <c r="Q719" i="2"/>
  <c r="Q720" i="2"/>
  <c r="Q721" i="2"/>
  <c r="Q722" i="2"/>
  <c r="Q723" i="2"/>
  <c r="Q724" i="2"/>
  <c r="Q725" i="2"/>
  <c r="Q726" i="2"/>
  <c r="Q727" i="2"/>
  <c r="Q728" i="2"/>
  <c r="Q729" i="2"/>
  <c r="Q730" i="2"/>
  <c r="Q731" i="2"/>
  <c r="Q732" i="2"/>
  <c r="Q733" i="2"/>
  <c r="Q734" i="2"/>
  <c r="Q735" i="2"/>
  <c r="Q736" i="2"/>
  <c r="Q737" i="2"/>
  <c r="Q738" i="2"/>
  <c r="Q739" i="2"/>
  <c r="Q740" i="2"/>
  <c r="Q741" i="2"/>
  <c r="Q742" i="2"/>
  <c r="Q743" i="2"/>
  <c r="Q744" i="2"/>
  <c r="Q745" i="2"/>
  <c r="Q746" i="2"/>
  <c r="Q747" i="2"/>
  <c r="Q748" i="2"/>
  <c r="Q749" i="2"/>
  <c r="Q750" i="2"/>
  <c r="Q751" i="2"/>
  <c r="Q752" i="2"/>
  <c r="Q753" i="2"/>
  <c r="Q754" i="2"/>
  <c r="Q755" i="2"/>
  <c r="Q756" i="2"/>
  <c r="Q757" i="2"/>
  <c r="Q758" i="2"/>
  <c r="Q759" i="2"/>
  <c r="Q760" i="2"/>
  <c r="Q761" i="2"/>
  <c r="Q762" i="2"/>
  <c r="Q763" i="2"/>
  <c r="Q764" i="2"/>
  <c r="Q765" i="2"/>
  <c r="Q766" i="2"/>
  <c r="Q767" i="2"/>
  <c r="Q768" i="2"/>
  <c r="Q769" i="2"/>
  <c r="Q770" i="2"/>
  <c r="Q771" i="2"/>
  <c r="Q772" i="2"/>
  <c r="Q773" i="2"/>
  <c r="Q774" i="2"/>
  <c r="Q775" i="2"/>
  <c r="Q776" i="2"/>
  <c r="Q777" i="2"/>
  <c r="Q778" i="2"/>
  <c r="Q779" i="2"/>
  <c r="Q780" i="2"/>
  <c r="Q781" i="2"/>
  <c r="Q782" i="2"/>
  <c r="Q783" i="2"/>
  <c r="Q784" i="2"/>
  <c r="Q785" i="2"/>
  <c r="Q786" i="2"/>
  <c r="Q787" i="2"/>
  <c r="Q788" i="2"/>
  <c r="Q789" i="2"/>
  <c r="Q790" i="2"/>
  <c r="Q791" i="2"/>
  <c r="Q792" i="2"/>
  <c r="Q793" i="2"/>
  <c r="Q794" i="2"/>
  <c r="Q795" i="2"/>
  <c r="Q796" i="2"/>
  <c r="Q797" i="2"/>
  <c r="Q798" i="2"/>
  <c r="Q799" i="2"/>
  <c r="Q800" i="2"/>
  <c r="Q801" i="2"/>
  <c r="Q802" i="2"/>
  <c r="Q803" i="2"/>
  <c r="Q804" i="2"/>
  <c r="Q805" i="2"/>
  <c r="Q806" i="2"/>
  <c r="Q807" i="2"/>
  <c r="Q808" i="2"/>
  <c r="Q809" i="2"/>
  <c r="Q810" i="2"/>
  <c r="Q811" i="2"/>
  <c r="Q812" i="2"/>
  <c r="Q813" i="2"/>
  <c r="Q814" i="2"/>
  <c r="Q815" i="2"/>
  <c r="Q816" i="2"/>
  <c r="Q817" i="2"/>
  <c r="Q818" i="2"/>
  <c r="Q819" i="2"/>
  <c r="Q820" i="2"/>
  <c r="Q821" i="2"/>
  <c r="Q822" i="2"/>
  <c r="Q823" i="2"/>
  <c r="Q824" i="2"/>
  <c r="Q825" i="2"/>
  <c r="Q826" i="2"/>
  <c r="Q827" i="2"/>
  <c r="Q828" i="2"/>
  <c r="Q829" i="2"/>
  <c r="Q830" i="2"/>
  <c r="Q831" i="2"/>
  <c r="Q832" i="2"/>
  <c r="Q833" i="2"/>
  <c r="Q834" i="2"/>
  <c r="Q835" i="2"/>
  <c r="Q836" i="2"/>
  <c r="Q837" i="2"/>
  <c r="Q838" i="2"/>
  <c r="Q839" i="2"/>
  <c r="Q840" i="2"/>
  <c r="Q841" i="2"/>
  <c r="Q842" i="2"/>
  <c r="Q843" i="2"/>
  <c r="Q844" i="2"/>
  <c r="Q845" i="2"/>
  <c r="Q846" i="2"/>
  <c r="Q847" i="2"/>
  <c r="Q848" i="2"/>
  <c r="Q849" i="2"/>
  <c r="Q850" i="2"/>
  <c r="Q851" i="2"/>
  <c r="Q852" i="2"/>
  <c r="Q853" i="2"/>
  <c r="Q854" i="2"/>
  <c r="Q855" i="2"/>
  <c r="Q856" i="2"/>
  <c r="Q857" i="2"/>
  <c r="Q858" i="2"/>
  <c r="Q859" i="2"/>
  <c r="Q860" i="2"/>
  <c r="Q861" i="2"/>
  <c r="Q862" i="2"/>
  <c r="Q863" i="2"/>
  <c r="Q864" i="2"/>
  <c r="Q865" i="2"/>
  <c r="Q866" i="2"/>
  <c r="Q867" i="2"/>
  <c r="Q868" i="2"/>
  <c r="Q869" i="2"/>
  <c r="Q870" i="2"/>
  <c r="Q871" i="2"/>
  <c r="Q872" i="2"/>
  <c r="Q873" i="2"/>
  <c r="Q874" i="2"/>
  <c r="Q875" i="2"/>
  <c r="Q876" i="2"/>
  <c r="Q877" i="2"/>
  <c r="Q878" i="2"/>
  <c r="Q879" i="2"/>
  <c r="Q880" i="2"/>
  <c r="Q881" i="2"/>
  <c r="Q882" i="2"/>
  <c r="Q883" i="2"/>
  <c r="Q884" i="2"/>
  <c r="Q885" i="2"/>
  <c r="Q886" i="2"/>
  <c r="Q887" i="2"/>
  <c r="Q888" i="2"/>
  <c r="Q889" i="2"/>
  <c r="Q890" i="2"/>
  <c r="Q891" i="2"/>
  <c r="Q892" i="2"/>
  <c r="Q893" i="2"/>
  <c r="Q894" i="2"/>
  <c r="Q895" i="2"/>
  <c r="Q896" i="2"/>
  <c r="Q897" i="2"/>
  <c r="Q898" i="2"/>
  <c r="Q899" i="2"/>
  <c r="Q900" i="2"/>
  <c r="Q901" i="2"/>
  <c r="Q902" i="2"/>
  <c r="Q903" i="2"/>
  <c r="Q904" i="2"/>
  <c r="Q905" i="2"/>
  <c r="Q906" i="2"/>
  <c r="Q907" i="2"/>
  <c r="Q908" i="2"/>
  <c r="Q909" i="2"/>
  <c r="Q910" i="2"/>
  <c r="Q911" i="2"/>
  <c r="Q912" i="2"/>
  <c r="Q913" i="2"/>
  <c r="Q914" i="2"/>
  <c r="Q915" i="2"/>
  <c r="Q916" i="2"/>
  <c r="Q917" i="2"/>
  <c r="Q918" i="2"/>
  <c r="Q919" i="2"/>
  <c r="Q920" i="2"/>
  <c r="Q921" i="2"/>
  <c r="Q922" i="2"/>
  <c r="Q923" i="2"/>
  <c r="Q924" i="2"/>
  <c r="Q925" i="2"/>
  <c r="Q926" i="2"/>
  <c r="Q927" i="2"/>
  <c r="Q928" i="2"/>
  <c r="Q929" i="2"/>
  <c r="Q930" i="2"/>
  <c r="Q931" i="2"/>
  <c r="Q932" i="2"/>
  <c r="Q933" i="2"/>
  <c r="Q934" i="2"/>
  <c r="Q935" i="2"/>
  <c r="Q936" i="2"/>
  <c r="Q937" i="2"/>
  <c r="Q938" i="2"/>
  <c r="Q939" i="2"/>
  <c r="Q940" i="2"/>
  <c r="Q941" i="2"/>
  <c r="Q942" i="2"/>
  <c r="Q943" i="2"/>
  <c r="Q944" i="2"/>
  <c r="Q945" i="2"/>
  <c r="Q946" i="2"/>
  <c r="Q947" i="2"/>
  <c r="Q948" i="2"/>
  <c r="Q949" i="2"/>
  <c r="Q950" i="2"/>
  <c r="Q951" i="2"/>
  <c r="Q952" i="2"/>
  <c r="Q953" i="2"/>
  <c r="Q954" i="2"/>
  <c r="Q955" i="2"/>
  <c r="Q956" i="2"/>
  <c r="Q957" i="2"/>
  <c r="Q958" i="2"/>
  <c r="Q959" i="2"/>
  <c r="Q960" i="2"/>
  <c r="Q961" i="2"/>
  <c r="Q962" i="2"/>
  <c r="Q963" i="2"/>
  <c r="Q964" i="2"/>
  <c r="Q965" i="2"/>
  <c r="Q966" i="2"/>
  <c r="Q967" i="2"/>
  <c r="Q968" i="2"/>
  <c r="Q969" i="2"/>
  <c r="Q970" i="2"/>
  <c r="Q971" i="2"/>
  <c r="Q972" i="2"/>
  <c r="Q973" i="2"/>
  <c r="Q974" i="2"/>
  <c r="Q975" i="2"/>
  <c r="Q976" i="2"/>
  <c r="Q977" i="2"/>
  <c r="Q978" i="2"/>
  <c r="Q979" i="2"/>
  <c r="Q980" i="2"/>
  <c r="Q981" i="2"/>
  <c r="Q982" i="2"/>
  <c r="Q983" i="2"/>
  <c r="Q984" i="2"/>
  <c r="Q985" i="2"/>
  <c r="Q986" i="2"/>
  <c r="Q987" i="2"/>
  <c r="Q988" i="2"/>
  <c r="Q989" i="2"/>
  <c r="Q990" i="2"/>
  <c r="Q991" i="2"/>
  <c r="Q992" i="2"/>
  <c r="Q993" i="2"/>
  <c r="Q994" i="2"/>
  <c r="Q995" i="2"/>
  <c r="Q996" i="2"/>
  <c r="Q997" i="2"/>
  <c r="Q998" i="2"/>
  <c r="Q999" i="2"/>
  <c r="Q1000" i="2"/>
  <c r="Q1001" i="2"/>
  <c r="Q1002" i="2"/>
  <c r="Q1003" i="2"/>
  <c r="Q1004" i="2"/>
  <c r="Q1005" i="2"/>
  <c r="Q1006" i="2"/>
  <c r="Q1007" i="2"/>
  <c r="Q1008" i="2"/>
  <c r="Q1009" i="2"/>
  <c r="Q1010" i="2"/>
  <c r="Q1011" i="2"/>
  <c r="Q1012" i="2"/>
  <c r="Q1013" i="2"/>
  <c r="Q1014" i="2"/>
  <c r="Q1015" i="2"/>
  <c r="Q1016" i="2"/>
  <c r="Q1017" i="2"/>
  <c r="Q1018" i="2"/>
  <c r="Q1019" i="2"/>
  <c r="Q1020" i="2"/>
  <c r="Q1021" i="2"/>
  <c r="Q1022" i="2"/>
  <c r="Q1023" i="2"/>
  <c r="Q1024" i="2"/>
  <c r="Q1025" i="2"/>
  <c r="Q1026" i="2"/>
  <c r="Q1027" i="2"/>
  <c r="Q1028" i="2"/>
  <c r="Q1029" i="2"/>
  <c r="Q1030" i="2"/>
  <c r="Q1031" i="2"/>
  <c r="Q1032" i="2"/>
  <c r="Q1033" i="2"/>
  <c r="Q1034" i="2"/>
  <c r="Q1035" i="2"/>
  <c r="Q1036" i="2"/>
  <c r="Q1037" i="2"/>
  <c r="Q31" i="2"/>
  <c r="L32" i="2"/>
  <c r="L33" i="2"/>
  <c r="L34" i="2"/>
  <c r="L35" i="2"/>
  <c r="L36" i="2"/>
  <c r="L37" i="2"/>
  <c r="L38" i="2"/>
  <c r="L39" i="2"/>
  <c r="L40" i="2"/>
  <c r="L41" i="2"/>
  <c r="L42" i="2"/>
  <c r="L43" i="2"/>
  <c r="L44" i="2"/>
  <c r="L45" i="2"/>
  <c r="L46" i="2"/>
  <c r="L47" i="2"/>
  <c r="L48" i="2"/>
  <c r="L49" i="2"/>
  <c r="L50" i="2"/>
  <c r="L51" i="2"/>
  <c r="L52" i="2"/>
  <c r="L53" i="2"/>
  <c r="L54" i="2"/>
  <c r="L55" i="2"/>
  <c r="L56" i="2"/>
  <c r="L57" i="2"/>
  <c r="L58" i="2"/>
  <c r="L59" i="2"/>
  <c r="L60" i="2"/>
  <c r="L61" i="2"/>
  <c r="L62" i="2"/>
  <c r="L63" i="2"/>
  <c r="L64" i="2"/>
  <c r="L65" i="2"/>
  <c r="L66" i="2"/>
  <c r="L67" i="2"/>
  <c r="L68" i="2"/>
  <c r="L69" i="2"/>
  <c r="L70" i="2"/>
  <c r="L71" i="2"/>
  <c r="L72" i="2"/>
  <c r="L73" i="2"/>
  <c r="L74" i="2"/>
  <c r="L75" i="2"/>
  <c r="L76" i="2"/>
  <c r="L77" i="2"/>
  <c r="L78" i="2"/>
  <c r="L79" i="2"/>
  <c r="L80" i="2"/>
  <c r="L81" i="2"/>
  <c r="L82" i="2"/>
  <c r="L83" i="2"/>
  <c r="L84" i="2"/>
  <c r="L85" i="2"/>
  <c r="L86" i="2"/>
  <c r="L87" i="2"/>
  <c r="L88" i="2"/>
  <c r="L89" i="2"/>
  <c r="L90" i="2"/>
  <c r="L91" i="2"/>
  <c r="L92" i="2"/>
  <c r="L93" i="2"/>
  <c r="L94" i="2"/>
  <c r="L95" i="2"/>
  <c r="L96" i="2"/>
  <c r="L97" i="2"/>
  <c r="L98" i="2"/>
  <c r="L99" i="2"/>
  <c r="L100" i="2"/>
  <c r="L101" i="2"/>
  <c r="L102" i="2"/>
  <c r="L103" i="2"/>
  <c r="L104" i="2"/>
  <c r="L105" i="2"/>
  <c r="L106" i="2"/>
  <c r="L107" i="2"/>
  <c r="L108" i="2"/>
  <c r="L109" i="2"/>
  <c r="L110" i="2"/>
  <c r="L111" i="2"/>
  <c r="L112" i="2"/>
  <c r="L113" i="2"/>
  <c r="L114" i="2"/>
  <c r="L115" i="2"/>
  <c r="L116" i="2"/>
  <c r="L117" i="2"/>
  <c r="L118" i="2"/>
  <c r="L119" i="2"/>
  <c r="L120" i="2"/>
  <c r="L121" i="2"/>
  <c r="L122" i="2"/>
  <c r="L123" i="2"/>
  <c r="L124" i="2"/>
  <c r="L125" i="2"/>
  <c r="L126" i="2"/>
  <c r="L127" i="2"/>
  <c r="L128" i="2"/>
  <c r="L129" i="2"/>
  <c r="L130" i="2"/>
  <c r="L131" i="2"/>
  <c r="L132" i="2"/>
  <c r="L133" i="2"/>
  <c r="L134" i="2"/>
  <c r="L135" i="2"/>
  <c r="L136" i="2"/>
  <c r="L137" i="2"/>
  <c r="L138" i="2"/>
  <c r="L139" i="2"/>
  <c r="L140" i="2"/>
  <c r="L141" i="2"/>
  <c r="L142" i="2"/>
  <c r="L143" i="2"/>
  <c r="L144" i="2"/>
  <c r="L145" i="2"/>
  <c r="L146" i="2"/>
  <c r="L147" i="2"/>
  <c r="L148" i="2"/>
  <c r="L149" i="2"/>
  <c r="L150" i="2"/>
  <c r="L151" i="2"/>
  <c r="L152" i="2"/>
  <c r="L153" i="2"/>
  <c r="L154" i="2"/>
  <c r="L155" i="2"/>
  <c r="L156" i="2"/>
  <c r="L157" i="2"/>
  <c r="L158" i="2"/>
  <c r="L159" i="2"/>
  <c r="L160" i="2"/>
  <c r="L161" i="2"/>
  <c r="L162" i="2"/>
  <c r="L163" i="2"/>
  <c r="L164" i="2"/>
  <c r="L165" i="2"/>
  <c r="L166" i="2"/>
  <c r="L167" i="2"/>
  <c r="L168" i="2"/>
  <c r="L169" i="2"/>
  <c r="L170" i="2"/>
  <c r="L171" i="2"/>
  <c r="L172" i="2"/>
  <c r="L173" i="2"/>
  <c r="L174" i="2"/>
  <c r="L175" i="2"/>
  <c r="L176" i="2"/>
  <c r="L177" i="2"/>
  <c r="L178" i="2"/>
  <c r="L179" i="2"/>
  <c r="L180" i="2"/>
  <c r="L181" i="2"/>
  <c r="L182" i="2"/>
  <c r="L183" i="2"/>
  <c r="L184" i="2"/>
  <c r="L185" i="2"/>
  <c r="L186" i="2"/>
  <c r="L187" i="2"/>
  <c r="L188" i="2"/>
  <c r="L189" i="2"/>
  <c r="L190" i="2"/>
  <c r="L191" i="2"/>
  <c r="L192" i="2"/>
  <c r="L193" i="2"/>
  <c r="L194" i="2"/>
  <c r="L195" i="2"/>
  <c r="L196" i="2"/>
  <c r="L197" i="2"/>
  <c r="L198" i="2"/>
  <c r="L199" i="2"/>
  <c r="L200" i="2"/>
  <c r="L201" i="2"/>
  <c r="L202" i="2"/>
  <c r="L203" i="2"/>
  <c r="L204" i="2"/>
  <c r="L205" i="2"/>
  <c r="L206" i="2"/>
  <c r="L207" i="2"/>
  <c r="L208" i="2"/>
  <c r="L209" i="2"/>
  <c r="L210" i="2"/>
  <c r="L211" i="2"/>
  <c r="L212" i="2"/>
  <c r="L213" i="2"/>
  <c r="L214" i="2"/>
  <c r="L215" i="2"/>
  <c r="L216" i="2"/>
  <c r="L217" i="2"/>
  <c r="L218" i="2"/>
  <c r="L219" i="2"/>
  <c r="L220" i="2"/>
  <c r="L221" i="2"/>
  <c r="L222" i="2"/>
  <c r="L223" i="2"/>
  <c r="L224" i="2"/>
  <c r="L225" i="2"/>
  <c r="L226" i="2"/>
  <c r="L227" i="2"/>
  <c r="L228" i="2"/>
  <c r="L229" i="2"/>
  <c r="L230" i="2"/>
  <c r="L231" i="2"/>
  <c r="L232" i="2"/>
  <c r="L233" i="2"/>
  <c r="L234" i="2"/>
  <c r="L235" i="2"/>
  <c r="L236" i="2"/>
  <c r="L237" i="2"/>
  <c r="L238" i="2"/>
  <c r="L239" i="2"/>
  <c r="L240" i="2"/>
  <c r="L241" i="2"/>
  <c r="L242" i="2"/>
  <c r="L243" i="2"/>
  <c r="L244" i="2"/>
  <c r="L245" i="2"/>
  <c r="L246" i="2"/>
  <c r="L247" i="2"/>
  <c r="L248" i="2"/>
  <c r="L249" i="2"/>
  <c r="L250" i="2"/>
  <c r="L251" i="2"/>
  <c r="L252" i="2"/>
  <c r="L253" i="2"/>
  <c r="L254" i="2"/>
  <c r="L255" i="2"/>
  <c r="L256" i="2"/>
  <c r="L257" i="2"/>
  <c r="L258" i="2"/>
  <c r="L259" i="2"/>
  <c r="L260" i="2"/>
  <c r="L261" i="2"/>
  <c r="L262" i="2"/>
  <c r="L263" i="2"/>
  <c r="L264" i="2"/>
  <c r="L265" i="2"/>
  <c r="L266" i="2"/>
  <c r="L267" i="2"/>
  <c r="L268" i="2"/>
  <c r="L269" i="2"/>
  <c r="L270" i="2"/>
  <c r="L271" i="2"/>
  <c r="L272" i="2"/>
  <c r="L273" i="2"/>
  <c r="L274" i="2"/>
  <c r="L275" i="2"/>
  <c r="L276" i="2"/>
  <c r="L277" i="2"/>
  <c r="L278" i="2"/>
  <c r="L279" i="2"/>
  <c r="L280" i="2"/>
  <c r="L281" i="2"/>
  <c r="L282" i="2"/>
  <c r="L283" i="2"/>
  <c r="L284" i="2"/>
  <c r="L285" i="2"/>
  <c r="L286" i="2"/>
  <c r="L287" i="2"/>
  <c r="L288" i="2"/>
  <c r="L289" i="2"/>
  <c r="L290" i="2"/>
  <c r="L291" i="2"/>
  <c r="L292" i="2"/>
  <c r="L293" i="2"/>
  <c r="L294" i="2"/>
  <c r="L295" i="2"/>
  <c r="L296" i="2"/>
  <c r="L297" i="2"/>
  <c r="L298" i="2"/>
  <c r="L299" i="2"/>
  <c r="L300" i="2"/>
  <c r="L301" i="2"/>
  <c r="L302" i="2"/>
  <c r="L303" i="2"/>
  <c r="L304" i="2"/>
  <c r="L305" i="2"/>
  <c r="L306" i="2"/>
  <c r="L307" i="2"/>
  <c r="L308" i="2"/>
  <c r="L309" i="2"/>
  <c r="L310" i="2"/>
  <c r="L311" i="2"/>
  <c r="L312" i="2"/>
  <c r="L313" i="2"/>
  <c r="L314" i="2"/>
  <c r="L315" i="2"/>
  <c r="L316" i="2"/>
  <c r="L317" i="2"/>
  <c r="L318" i="2"/>
  <c r="L319" i="2"/>
  <c r="L320" i="2"/>
  <c r="L321" i="2"/>
  <c r="L322" i="2"/>
  <c r="L323" i="2"/>
  <c r="L324" i="2"/>
  <c r="L325" i="2"/>
  <c r="L326" i="2"/>
  <c r="L327" i="2"/>
  <c r="L328" i="2"/>
  <c r="L329" i="2"/>
  <c r="L330" i="2"/>
  <c r="L331" i="2"/>
  <c r="L332" i="2"/>
  <c r="L333" i="2"/>
  <c r="L334" i="2"/>
  <c r="L335" i="2"/>
  <c r="L336" i="2"/>
  <c r="L337" i="2"/>
  <c r="L338" i="2"/>
  <c r="L339" i="2"/>
  <c r="L340" i="2"/>
  <c r="L341" i="2"/>
  <c r="L342" i="2"/>
  <c r="L343" i="2"/>
  <c r="L344" i="2"/>
  <c r="L345" i="2"/>
  <c r="L346" i="2"/>
  <c r="L347" i="2"/>
  <c r="L348" i="2"/>
  <c r="L349" i="2"/>
  <c r="L350" i="2"/>
  <c r="L351" i="2"/>
  <c r="L352" i="2"/>
  <c r="L353" i="2"/>
  <c r="L354" i="2"/>
  <c r="L355" i="2"/>
  <c r="L356" i="2"/>
  <c r="L357" i="2"/>
  <c r="L358" i="2"/>
  <c r="L359" i="2"/>
  <c r="L360" i="2"/>
  <c r="L361" i="2"/>
  <c r="L362" i="2"/>
  <c r="L363" i="2"/>
  <c r="L364" i="2"/>
  <c r="L365" i="2"/>
  <c r="L366" i="2"/>
  <c r="L367" i="2"/>
  <c r="L368" i="2"/>
  <c r="L369" i="2"/>
  <c r="L370" i="2"/>
  <c r="L371" i="2"/>
  <c r="L372" i="2"/>
  <c r="L373" i="2"/>
  <c r="L374" i="2"/>
  <c r="L375" i="2"/>
  <c r="L376" i="2"/>
  <c r="L377" i="2"/>
  <c r="L378" i="2"/>
  <c r="L379" i="2"/>
  <c r="L380" i="2"/>
  <c r="L381" i="2"/>
  <c r="L382" i="2"/>
  <c r="L383" i="2"/>
  <c r="L384" i="2"/>
  <c r="L385" i="2"/>
  <c r="L386" i="2"/>
  <c r="L387" i="2"/>
  <c r="L388" i="2"/>
  <c r="L389" i="2"/>
  <c r="L390" i="2"/>
  <c r="L391" i="2"/>
  <c r="L392" i="2"/>
  <c r="L393" i="2"/>
  <c r="L394" i="2"/>
  <c r="L395" i="2"/>
  <c r="L396" i="2"/>
  <c r="L397" i="2"/>
  <c r="L398" i="2"/>
  <c r="L399" i="2"/>
  <c r="L400" i="2"/>
  <c r="L401" i="2"/>
  <c r="L402" i="2"/>
  <c r="L403" i="2"/>
  <c r="L404" i="2"/>
  <c r="L405" i="2"/>
  <c r="L406" i="2"/>
  <c r="L407" i="2"/>
  <c r="L408" i="2"/>
  <c r="L409" i="2"/>
  <c r="L410" i="2"/>
  <c r="L411" i="2"/>
  <c r="L412" i="2"/>
  <c r="L413" i="2"/>
  <c r="L414" i="2"/>
  <c r="L415" i="2"/>
  <c r="L416" i="2"/>
  <c r="L417" i="2"/>
  <c r="L418" i="2"/>
  <c r="L419" i="2"/>
  <c r="L420" i="2"/>
  <c r="L421" i="2"/>
  <c r="L422" i="2"/>
  <c r="L423" i="2"/>
  <c r="L424" i="2"/>
  <c r="L425" i="2"/>
  <c r="L426" i="2"/>
  <c r="L427" i="2"/>
  <c r="L428" i="2"/>
  <c r="L429" i="2"/>
  <c r="L430" i="2"/>
  <c r="L431" i="2"/>
  <c r="L432" i="2"/>
  <c r="L433" i="2"/>
  <c r="L434" i="2"/>
  <c r="L435" i="2"/>
  <c r="L436" i="2"/>
  <c r="L437" i="2"/>
  <c r="L438" i="2"/>
  <c r="L439" i="2"/>
  <c r="L440" i="2"/>
  <c r="L441" i="2"/>
  <c r="L442" i="2"/>
  <c r="L443" i="2"/>
  <c r="L444" i="2"/>
  <c r="L445" i="2"/>
  <c r="L446" i="2"/>
  <c r="L447" i="2"/>
  <c r="L448" i="2"/>
  <c r="L449" i="2"/>
  <c r="L450" i="2"/>
  <c r="L451" i="2"/>
  <c r="L452" i="2"/>
  <c r="L453" i="2"/>
  <c r="L454" i="2"/>
  <c r="L455" i="2"/>
  <c r="L456" i="2"/>
  <c r="L457" i="2"/>
  <c r="L458" i="2"/>
  <c r="L459" i="2"/>
  <c r="L460" i="2"/>
  <c r="L461" i="2"/>
  <c r="L462" i="2"/>
  <c r="L463" i="2"/>
  <c r="L464" i="2"/>
  <c r="L465" i="2"/>
  <c r="L466" i="2"/>
  <c r="L467" i="2"/>
  <c r="L468" i="2"/>
  <c r="L469" i="2"/>
  <c r="L470" i="2"/>
  <c r="L471" i="2"/>
  <c r="L472" i="2"/>
  <c r="L473" i="2"/>
  <c r="L474" i="2"/>
  <c r="L475" i="2"/>
  <c r="L476" i="2"/>
  <c r="L477" i="2"/>
  <c r="L478" i="2"/>
  <c r="L479" i="2"/>
  <c r="L480" i="2"/>
  <c r="L481" i="2"/>
  <c r="L482" i="2"/>
  <c r="L483" i="2"/>
  <c r="L484" i="2"/>
  <c r="L485" i="2"/>
  <c r="L486" i="2"/>
  <c r="L487" i="2"/>
  <c r="L488" i="2"/>
  <c r="L489" i="2"/>
  <c r="L490" i="2"/>
  <c r="L491" i="2"/>
  <c r="L492" i="2"/>
  <c r="L493" i="2"/>
  <c r="L494" i="2"/>
  <c r="L495" i="2"/>
  <c r="L496" i="2"/>
  <c r="L497" i="2"/>
  <c r="L498" i="2"/>
  <c r="L499" i="2"/>
  <c r="L500" i="2"/>
  <c r="L501" i="2"/>
  <c r="L502" i="2"/>
  <c r="L503" i="2"/>
  <c r="L504" i="2"/>
  <c r="L505" i="2"/>
  <c r="L506" i="2"/>
  <c r="L507" i="2"/>
  <c r="L508" i="2"/>
  <c r="L509" i="2"/>
  <c r="L510" i="2"/>
  <c r="L511" i="2"/>
  <c r="L512" i="2"/>
  <c r="L513" i="2"/>
  <c r="L514" i="2"/>
  <c r="L515" i="2"/>
  <c r="L516" i="2"/>
  <c r="L517" i="2"/>
  <c r="L518" i="2"/>
  <c r="L519" i="2"/>
  <c r="L520" i="2"/>
  <c r="L521" i="2"/>
  <c r="L522" i="2"/>
  <c r="L523" i="2"/>
  <c r="L524" i="2"/>
  <c r="L525" i="2"/>
  <c r="L526" i="2"/>
  <c r="L527" i="2"/>
  <c r="L528" i="2"/>
  <c r="L529" i="2"/>
  <c r="L530" i="2"/>
  <c r="L531" i="2"/>
  <c r="L532" i="2"/>
  <c r="L533" i="2"/>
  <c r="L534" i="2"/>
  <c r="L535" i="2"/>
  <c r="L536" i="2"/>
  <c r="L537" i="2"/>
  <c r="L538" i="2"/>
  <c r="L539" i="2"/>
  <c r="L540" i="2"/>
  <c r="L541" i="2"/>
  <c r="L542" i="2"/>
  <c r="L543" i="2"/>
  <c r="L544" i="2"/>
  <c r="L545" i="2"/>
  <c r="L546" i="2"/>
  <c r="L547" i="2"/>
  <c r="L548" i="2"/>
  <c r="L549" i="2"/>
  <c r="L550" i="2"/>
  <c r="L551" i="2"/>
  <c r="L552" i="2"/>
  <c r="L553" i="2"/>
  <c r="L554" i="2"/>
  <c r="L555" i="2"/>
  <c r="L556" i="2"/>
  <c r="L557" i="2"/>
  <c r="L558" i="2"/>
  <c r="L559" i="2"/>
  <c r="L560" i="2"/>
  <c r="L561" i="2"/>
  <c r="L562" i="2"/>
  <c r="L563" i="2"/>
  <c r="L564" i="2"/>
  <c r="L565" i="2"/>
  <c r="L566" i="2"/>
  <c r="L567" i="2"/>
  <c r="L568" i="2"/>
  <c r="L569" i="2"/>
  <c r="L570" i="2"/>
  <c r="L571" i="2"/>
  <c r="L572" i="2"/>
  <c r="L573" i="2"/>
  <c r="L574" i="2"/>
  <c r="L575" i="2"/>
  <c r="L576" i="2"/>
  <c r="L577" i="2"/>
  <c r="L578" i="2"/>
  <c r="L579" i="2"/>
  <c r="L580" i="2"/>
  <c r="L581" i="2"/>
  <c r="L582" i="2"/>
  <c r="L583" i="2"/>
  <c r="L584" i="2"/>
  <c r="L585" i="2"/>
  <c r="L586" i="2"/>
  <c r="L587" i="2"/>
  <c r="L588" i="2"/>
  <c r="L589" i="2"/>
  <c r="L590" i="2"/>
  <c r="L591" i="2"/>
  <c r="L592" i="2"/>
  <c r="L593" i="2"/>
  <c r="L594" i="2"/>
  <c r="L595" i="2"/>
  <c r="L596" i="2"/>
  <c r="L597" i="2"/>
  <c r="L598" i="2"/>
  <c r="L599" i="2"/>
  <c r="L600" i="2"/>
  <c r="L601" i="2"/>
  <c r="L602" i="2"/>
  <c r="L603" i="2"/>
  <c r="L604" i="2"/>
  <c r="L605" i="2"/>
  <c r="L606" i="2"/>
  <c r="L607" i="2"/>
  <c r="L608" i="2"/>
  <c r="L609" i="2"/>
  <c r="L610" i="2"/>
  <c r="L611" i="2"/>
  <c r="L612" i="2"/>
  <c r="L613" i="2"/>
  <c r="L614" i="2"/>
  <c r="L615" i="2"/>
  <c r="L616" i="2"/>
  <c r="L617" i="2"/>
  <c r="L618" i="2"/>
  <c r="L619" i="2"/>
  <c r="L620" i="2"/>
  <c r="L621" i="2"/>
  <c r="L622" i="2"/>
  <c r="L623" i="2"/>
  <c r="L624" i="2"/>
  <c r="L625" i="2"/>
  <c r="L626" i="2"/>
  <c r="L627" i="2"/>
  <c r="L628" i="2"/>
  <c r="L629" i="2"/>
  <c r="L630" i="2"/>
  <c r="L631" i="2"/>
  <c r="L632" i="2"/>
  <c r="L633" i="2"/>
  <c r="L634" i="2"/>
  <c r="L635" i="2"/>
  <c r="L636" i="2"/>
  <c r="L637" i="2"/>
  <c r="L638" i="2"/>
  <c r="L639" i="2"/>
  <c r="L640" i="2"/>
  <c r="L641" i="2"/>
  <c r="L642" i="2"/>
  <c r="L643" i="2"/>
  <c r="L644" i="2"/>
  <c r="L645" i="2"/>
  <c r="L646" i="2"/>
  <c r="L647" i="2"/>
  <c r="L648" i="2"/>
  <c r="L649" i="2"/>
  <c r="L650" i="2"/>
  <c r="L651" i="2"/>
  <c r="L652" i="2"/>
  <c r="L653" i="2"/>
  <c r="L654" i="2"/>
  <c r="L655" i="2"/>
  <c r="L656" i="2"/>
  <c r="L657" i="2"/>
  <c r="L658" i="2"/>
  <c r="L659" i="2"/>
  <c r="L660" i="2"/>
  <c r="L661" i="2"/>
  <c r="L662" i="2"/>
  <c r="L663" i="2"/>
  <c r="L664" i="2"/>
  <c r="L665" i="2"/>
  <c r="L666" i="2"/>
  <c r="L667" i="2"/>
  <c r="L668" i="2"/>
  <c r="L669" i="2"/>
  <c r="L670" i="2"/>
  <c r="L671" i="2"/>
  <c r="L672" i="2"/>
  <c r="L673" i="2"/>
  <c r="L674" i="2"/>
  <c r="L675" i="2"/>
  <c r="L676" i="2"/>
  <c r="L677" i="2"/>
  <c r="L678" i="2"/>
  <c r="L679" i="2"/>
  <c r="L680" i="2"/>
  <c r="L681" i="2"/>
  <c r="L682" i="2"/>
  <c r="L683" i="2"/>
  <c r="L684" i="2"/>
  <c r="L685" i="2"/>
  <c r="L686" i="2"/>
  <c r="L687" i="2"/>
  <c r="L688" i="2"/>
  <c r="L689" i="2"/>
  <c r="L690" i="2"/>
  <c r="L691" i="2"/>
  <c r="L692" i="2"/>
  <c r="L693" i="2"/>
  <c r="L694" i="2"/>
  <c r="L695" i="2"/>
  <c r="L696" i="2"/>
  <c r="L697" i="2"/>
  <c r="L698" i="2"/>
  <c r="L699" i="2"/>
  <c r="L700" i="2"/>
  <c r="L701" i="2"/>
  <c r="L702" i="2"/>
  <c r="L703" i="2"/>
  <c r="L704" i="2"/>
  <c r="L705" i="2"/>
  <c r="L706" i="2"/>
  <c r="L707" i="2"/>
  <c r="L708" i="2"/>
  <c r="L709" i="2"/>
  <c r="L710" i="2"/>
  <c r="L711" i="2"/>
  <c r="L712" i="2"/>
  <c r="L713" i="2"/>
  <c r="L714" i="2"/>
  <c r="L715" i="2"/>
  <c r="L716" i="2"/>
  <c r="L717" i="2"/>
  <c r="L718" i="2"/>
  <c r="L719" i="2"/>
  <c r="L720" i="2"/>
  <c r="L721" i="2"/>
  <c r="L722" i="2"/>
  <c r="L723" i="2"/>
  <c r="L724" i="2"/>
  <c r="L725" i="2"/>
  <c r="L726" i="2"/>
  <c r="L727" i="2"/>
  <c r="L728" i="2"/>
  <c r="L729" i="2"/>
  <c r="L730" i="2"/>
  <c r="L731" i="2"/>
  <c r="L732" i="2"/>
  <c r="L733" i="2"/>
  <c r="L734" i="2"/>
  <c r="L735" i="2"/>
  <c r="L736" i="2"/>
  <c r="L737" i="2"/>
  <c r="L738" i="2"/>
  <c r="L739" i="2"/>
  <c r="L740" i="2"/>
  <c r="L741" i="2"/>
  <c r="L742" i="2"/>
  <c r="L743" i="2"/>
  <c r="L744" i="2"/>
  <c r="L745" i="2"/>
  <c r="L746" i="2"/>
  <c r="L747" i="2"/>
  <c r="L748" i="2"/>
  <c r="L749" i="2"/>
  <c r="L750" i="2"/>
  <c r="L751" i="2"/>
  <c r="L752" i="2"/>
  <c r="L753" i="2"/>
  <c r="L754" i="2"/>
  <c r="L755" i="2"/>
  <c r="L756" i="2"/>
  <c r="L757" i="2"/>
  <c r="L758" i="2"/>
  <c r="L759" i="2"/>
  <c r="L760" i="2"/>
  <c r="L761" i="2"/>
  <c r="L762" i="2"/>
  <c r="L763" i="2"/>
  <c r="L764" i="2"/>
  <c r="L765" i="2"/>
  <c r="L766" i="2"/>
  <c r="L767" i="2"/>
  <c r="L768" i="2"/>
  <c r="L769" i="2"/>
  <c r="L770" i="2"/>
  <c r="L771" i="2"/>
  <c r="L772" i="2"/>
  <c r="L773" i="2"/>
  <c r="L774" i="2"/>
  <c r="L775" i="2"/>
  <c r="L776" i="2"/>
  <c r="L777" i="2"/>
  <c r="L778" i="2"/>
  <c r="L779" i="2"/>
  <c r="L780" i="2"/>
  <c r="L781" i="2"/>
  <c r="L782" i="2"/>
  <c r="L783" i="2"/>
  <c r="L784" i="2"/>
  <c r="L785" i="2"/>
  <c r="L786" i="2"/>
  <c r="L787" i="2"/>
  <c r="L788" i="2"/>
  <c r="L789" i="2"/>
  <c r="L790" i="2"/>
  <c r="L791" i="2"/>
  <c r="L792" i="2"/>
  <c r="L793" i="2"/>
  <c r="L794" i="2"/>
  <c r="L795" i="2"/>
  <c r="L796" i="2"/>
  <c r="L797" i="2"/>
  <c r="L798" i="2"/>
  <c r="L799" i="2"/>
  <c r="L800" i="2"/>
  <c r="L801" i="2"/>
  <c r="L802" i="2"/>
  <c r="L803" i="2"/>
  <c r="L804" i="2"/>
  <c r="L805" i="2"/>
  <c r="L806" i="2"/>
  <c r="L807" i="2"/>
  <c r="L808" i="2"/>
  <c r="L809" i="2"/>
  <c r="L810" i="2"/>
  <c r="L811" i="2"/>
  <c r="L812" i="2"/>
  <c r="L813" i="2"/>
  <c r="L814" i="2"/>
  <c r="L815" i="2"/>
  <c r="L816" i="2"/>
  <c r="L817" i="2"/>
  <c r="L818" i="2"/>
  <c r="L819" i="2"/>
  <c r="L820" i="2"/>
  <c r="L821" i="2"/>
  <c r="L822" i="2"/>
  <c r="L823" i="2"/>
  <c r="L824" i="2"/>
  <c r="L825" i="2"/>
  <c r="L826" i="2"/>
  <c r="L827" i="2"/>
  <c r="L828" i="2"/>
  <c r="L829" i="2"/>
  <c r="L830" i="2"/>
  <c r="L831" i="2"/>
  <c r="L832" i="2"/>
  <c r="L833" i="2"/>
  <c r="L834" i="2"/>
  <c r="L835" i="2"/>
  <c r="L836" i="2"/>
  <c r="L837" i="2"/>
  <c r="L838" i="2"/>
  <c r="L839" i="2"/>
  <c r="L840" i="2"/>
  <c r="L841" i="2"/>
  <c r="L842" i="2"/>
  <c r="L843" i="2"/>
  <c r="L844" i="2"/>
  <c r="L845" i="2"/>
  <c r="L846" i="2"/>
  <c r="L847" i="2"/>
  <c r="L848" i="2"/>
  <c r="L849" i="2"/>
  <c r="L850" i="2"/>
  <c r="L851" i="2"/>
  <c r="L852" i="2"/>
  <c r="L853" i="2"/>
  <c r="L854" i="2"/>
  <c r="L855" i="2"/>
  <c r="L856" i="2"/>
  <c r="L857" i="2"/>
  <c r="L858" i="2"/>
  <c r="L859" i="2"/>
  <c r="L860" i="2"/>
  <c r="L861" i="2"/>
  <c r="L862" i="2"/>
  <c r="L863" i="2"/>
  <c r="L864" i="2"/>
  <c r="L865" i="2"/>
  <c r="L866" i="2"/>
  <c r="L867" i="2"/>
  <c r="L868" i="2"/>
  <c r="L869" i="2"/>
  <c r="L870" i="2"/>
  <c r="L871" i="2"/>
  <c r="L872" i="2"/>
  <c r="L873" i="2"/>
  <c r="L874" i="2"/>
  <c r="L875" i="2"/>
  <c r="L876" i="2"/>
  <c r="L877" i="2"/>
  <c r="L878" i="2"/>
  <c r="L879" i="2"/>
  <c r="L880" i="2"/>
  <c r="L881" i="2"/>
  <c r="L882" i="2"/>
  <c r="L883" i="2"/>
  <c r="L884" i="2"/>
  <c r="L885" i="2"/>
  <c r="L886" i="2"/>
  <c r="L887" i="2"/>
  <c r="L888" i="2"/>
  <c r="L889" i="2"/>
  <c r="L890" i="2"/>
  <c r="L891" i="2"/>
  <c r="L892" i="2"/>
  <c r="L893" i="2"/>
  <c r="L894" i="2"/>
  <c r="L895" i="2"/>
  <c r="L896" i="2"/>
  <c r="L897" i="2"/>
  <c r="L898" i="2"/>
  <c r="L899" i="2"/>
  <c r="L900" i="2"/>
  <c r="L901" i="2"/>
  <c r="L902" i="2"/>
  <c r="L903" i="2"/>
  <c r="L904" i="2"/>
  <c r="L905" i="2"/>
  <c r="L906" i="2"/>
  <c r="L907" i="2"/>
  <c r="L908" i="2"/>
  <c r="L909" i="2"/>
  <c r="L910" i="2"/>
  <c r="L911" i="2"/>
  <c r="L912" i="2"/>
  <c r="L913" i="2"/>
  <c r="L914" i="2"/>
  <c r="L915" i="2"/>
  <c r="L916" i="2"/>
  <c r="L917" i="2"/>
  <c r="L918" i="2"/>
  <c r="L919" i="2"/>
  <c r="L920" i="2"/>
  <c r="L921" i="2"/>
  <c r="L922" i="2"/>
  <c r="L923" i="2"/>
  <c r="L924" i="2"/>
  <c r="L925" i="2"/>
  <c r="L926" i="2"/>
  <c r="L927" i="2"/>
  <c r="L928" i="2"/>
  <c r="L929" i="2"/>
  <c r="L930" i="2"/>
  <c r="L931" i="2"/>
  <c r="L932" i="2"/>
  <c r="L933" i="2"/>
  <c r="L934" i="2"/>
  <c r="L935" i="2"/>
  <c r="L936" i="2"/>
  <c r="L937" i="2"/>
  <c r="L938" i="2"/>
  <c r="L939" i="2"/>
  <c r="L940" i="2"/>
  <c r="L941" i="2"/>
  <c r="L942" i="2"/>
  <c r="L943" i="2"/>
  <c r="L944" i="2"/>
  <c r="L945" i="2"/>
  <c r="L946" i="2"/>
  <c r="L947" i="2"/>
  <c r="L948" i="2"/>
  <c r="L949" i="2"/>
  <c r="L950" i="2"/>
  <c r="L951" i="2"/>
  <c r="L952" i="2"/>
  <c r="L953" i="2"/>
  <c r="L954" i="2"/>
  <c r="L955" i="2"/>
  <c r="L956" i="2"/>
  <c r="L957" i="2"/>
  <c r="L958" i="2"/>
  <c r="L959" i="2"/>
  <c r="L960" i="2"/>
  <c r="L961" i="2"/>
  <c r="L962" i="2"/>
  <c r="L963" i="2"/>
  <c r="L964" i="2"/>
  <c r="L965" i="2"/>
  <c r="L966" i="2"/>
  <c r="L967" i="2"/>
  <c r="L968" i="2"/>
  <c r="L969" i="2"/>
  <c r="L970" i="2"/>
  <c r="L971" i="2"/>
  <c r="L972" i="2"/>
  <c r="L973" i="2"/>
  <c r="L974" i="2"/>
  <c r="L975" i="2"/>
  <c r="L976" i="2"/>
  <c r="L977" i="2"/>
  <c r="L978" i="2"/>
  <c r="L979" i="2"/>
  <c r="L980" i="2"/>
  <c r="L981" i="2"/>
  <c r="L982" i="2"/>
  <c r="L983" i="2"/>
  <c r="L984" i="2"/>
  <c r="L985" i="2"/>
  <c r="L986" i="2"/>
  <c r="L987" i="2"/>
  <c r="L988" i="2"/>
  <c r="L989" i="2"/>
  <c r="L990" i="2"/>
  <c r="L991" i="2"/>
  <c r="L992" i="2"/>
  <c r="L993" i="2"/>
  <c r="L994" i="2"/>
  <c r="L995" i="2"/>
  <c r="L996" i="2"/>
  <c r="L997" i="2"/>
  <c r="L998" i="2"/>
  <c r="L999" i="2"/>
  <c r="L1000" i="2"/>
  <c r="L1001" i="2"/>
  <c r="L1002" i="2"/>
  <c r="L1003" i="2"/>
  <c r="L1004" i="2"/>
  <c r="L1005" i="2"/>
  <c r="L1006" i="2"/>
  <c r="L1007" i="2"/>
  <c r="L1008" i="2"/>
  <c r="L1009" i="2"/>
  <c r="L1010" i="2"/>
  <c r="L1011" i="2"/>
  <c r="L1012" i="2"/>
  <c r="L1013" i="2"/>
  <c r="L1014" i="2"/>
  <c r="L1015" i="2"/>
  <c r="L1016" i="2"/>
  <c r="L1017" i="2"/>
  <c r="L1018" i="2"/>
  <c r="L1019" i="2"/>
  <c r="L1020" i="2"/>
  <c r="L1021" i="2"/>
  <c r="L1022" i="2"/>
  <c r="L1023" i="2"/>
  <c r="L1024" i="2"/>
  <c r="L1025" i="2"/>
  <c r="L1026" i="2"/>
  <c r="L1027" i="2"/>
  <c r="L1028" i="2"/>
  <c r="L1029" i="2"/>
  <c r="L1030" i="2"/>
  <c r="L1031" i="2"/>
  <c r="L1032" i="2"/>
  <c r="L1033" i="2"/>
  <c r="L1034" i="2"/>
  <c r="L1035" i="2"/>
  <c r="L1036" i="2"/>
  <c r="L1037" i="2"/>
  <c r="L1038" i="2"/>
  <c r="L1039" i="2"/>
  <c r="L1040" i="2"/>
  <c r="L1041" i="2"/>
  <c r="L1042" i="2"/>
  <c r="L1043" i="2"/>
  <c r="L1044" i="2"/>
  <c r="L1045" i="2"/>
  <c r="L1046" i="2"/>
  <c r="L1047" i="2"/>
  <c r="L1048" i="2"/>
  <c r="L1049" i="2"/>
  <c r="L1050" i="2"/>
  <c r="L1051" i="2"/>
  <c r="L1052" i="2"/>
  <c r="L1053" i="2"/>
  <c r="L1054" i="2"/>
  <c r="L1055" i="2"/>
  <c r="L1056" i="2"/>
  <c r="L1057" i="2"/>
  <c r="L1058" i="2"/>
  <c r="L1059" i="2"/>
  <c r="L1060" i="2"/>
  <c r="L1061" i="2"/>
  <c r="L1062" i="2"/>
  <c r="L1063" i="2"/>
  <c r="L1064" i="2"/>
  <c r="L1065" i="2"/>
  <c r="L1066" i="2"/>
  <c r="L1067" i="2"/>
  <c r="L1068" i="2"/>
  <c r="L1069" i="2"/>
  <c r="L1070" i="2"/>
  <c r="L1071" i="2"/>
  <c r="L1072" i="2"/>
  <c r="L1073" i="2"/>
  <c r="L1074" i="2"/>
  <c r="L1075" i="2"/>
  <c r="L1076" i="2"/>
  <c r="L1077" i="2"/>
  <c r="L1078" i="2"/>
  <c r="L1079" i="2"/>
  <c r="L1080" i="2"/>
  <c r="L1081" i="2"/>
  <c r="L1082" i="2"/>
  <c r="L1083" i="2"/>
  <c r="L1084" i="2"/>
  <c r="L1085" i="2"/>
  <c r="L1086" i="2"/>
  <c r="L1087" i="2"/>
  <c r="L1088" i="2"/>
  <c r="L1089" i="2"/>
  <c r="L1090" i="2"/>
  <c r="L1091" i="2"/>
  <c r="L31" i="2"/>
  <c r="A32" i="2"/>
  <c r="F31" i="2"/>
  <c r="D31" i="2"/>
  <c r="G31" i="2" s="1"/>
  <c r="B31" i="2"/>
  <c r="B192" i="2"/>
  <c r="A192" i="2"/>
  <c r="A193" i="2" s="1"/>
  <c r="D191" i="2"/>
  <c r="G191" i="2" s="1"/>
  <c r="B191" i="2"/>
  <c r="C4" i="1"/>
  <c r="E9" i="1"/>
  <c r="B19" i="2"/>
  <c r="D9" i="1"/>
  <c r="C9" i="1"/>
  <c r="B10" i="1"/>
  <c r="B11" i="1" s="1"/>
  <c r="G9" i="1" l="1"/>
  <c r="F32" i="2"/>
  <c r="F34" i="2"/>
  <c r="F33" i="2"/>
  <c r="F35" i="2"/>
  <c r="D192" i="2"/>
  <c r="H192" i="2" s="1"/>
  <c r="A33" i="2"/>
  <c r="D32" i="2"/>
  <c r="B32" i="2"/>
  <c r="I31" i="2"/>
  <c r="K31" i="2" s="1"/>
  <c r="H31" i="2"/>
  <c r="J31" i="2" s="1"/>
  <c r="M31" i="2" s="1"/>
  <c r="P31" i="2" s="1"/>
  <c r="A194" i="2"/>
  <c r="B193" i="2"/>
  <c r="D193" i="2"/>
  <c r="G193" i="2" s="1"/>
  <c r="H191" i="2"/>
  <c r="B12" i="1"/>
  <c r="E11" i="1"/>
  <c r="F9" i="1"/>
  <c r="E10" i="1"/>
  <c r="C11" i="1"/>
  <c r="D11" i="1" s="1"/>
  <c r="C10" i="1"/>
  <c r="D10" i="1" s="1"/>
  <c r="C12" i="1"/>
  <c r="D12" i="1" s="1"/>
  <c r="G10" i="1" l="1"/>
  <c r="G11" i="1"/>
  <c r="F36" i="2"/>
  <c r="G192" i="2"/>
  <c r="I192" i="2" s="1"/>
  <c r="K192" i="2" s="1"/>
  <c r="I193" i="2"/>
  <c r="K193" i="2" s="1"/>
  <c r="O192" i="2"/>
  <c r="G32" i="2"/>
  <c r="I32" i="2" s="1"/>
  <c r="K32" i="2" s="1"/>
  <c r="H32" i="2"/>
  <c r="J32" i="2" s="1"/>
  <c r="M32" i="2" s="1"/>
  <c r="P32" i="2" s="1"/>
  <c r="A34" i="2"/>
  <c r="B33" i="2"/>
  <c r="D33" i="2"/>
  <c r="H193" i="2"/>
  <c r="O31" i="2"/>
  <c r="N31" i="2"/>
  <c r="B194" i="2"/>
  <c r="A195" i="2"/>
  <c r="D194" i="2"/>
  <c r="F10" i="1"/>
  <c r="F11" i="1"/>
  <c r="B13" i="1"/>
  <c r="E12" i="1"/>
  <c r="F12" i="1" s="1"/>
  <c r="N192" i="2" l="1"/>
  <c r="N193" i="2"/>
  <c r="O193" i="2"/>
  <c r="F37" i="2"/>
  <c r="A35" i="2"/>
  <c r="D34" i="2"/>
  <c r="B34" i="2"/>
  <c r="O32" i="2"/>
  <c r="N32" i="2"/>
  <c r="G33" i="2"/>
  <c r="I33" i="2" s="1"/>
  <c r="K33" i="2" s="1"/>
  <c r="H33" i="2"/>
  <c r="J33" i="2" s="1"/>
  <c r="M33" i="2" s="1"/>
  <c r="P33" i="2" s="1"/>
  <c r="H194" i="2"/>
  <c r="G194" i="2"/>
  <c r="I194" i="2" s="1"/>
  <c r="K194" i="2" s="1"/>
  <c r="A196" i="2"/>
  <c r="D195" i="2"/>
  <c r="B195" i="2"/>
  <c r="G12" i="1"/>
  <c r="B14" i="1"/>
  <c r="E13" i="1"/>
  <c r="C13" i="1"/>
  <c r="D13" i="1" s="1"/>
  <c r="G13" i="1" s="1"/>
  <c r="F38" i="2" l="1"/>
  <c r="N33" i="2"/>
  <c r="O33" i="2"/>
  <c r="G34" i="2"/>
  <c r="I34" i="2" s="1"/>
  <c r="K34" i="2" s="1"/>
  <c r="H34" i="2"/>
  <c r="J34" i="2" s="1"/>
  <c r="M34" i="2" s="1"/>
  <c r="P34" i="2" s="1"/>
  <c r="A36" i="2"/>
  <c r="D35" i="2"/>
  <c r="B35" i="2"/>
  <c r="H195" i="2"/>
  <c r="G195" i="2"/>
  <c r="I195" i="2" s="1"/>
  <c r="K195" i="2" s="1"/>
  <c r="B196" i="2"/>
  <c r="D196" i="2"/>
  <c r="A197" i="2"/>
  <c r="N194" i="2"/>
  <c r="O194" i="2"/>
  <c r="F13" i="1"/>
  <c r="B15" i="1"/>
  <c r="E14" i="1"/>
  <c r="C14" i="1"/>
  <c r="D14" i="1" s="1"/>
  <c r="G14" i="1" s="1"/>
  <c r="F39" i="2" l="1"/>
  <c r="A37" i="2"/>
  <c r="B36" i="2"/>
  <c r="D36" i="2"/>
  <c r="G35" i="2"/>
  <c r="I35" i="2" s="1"/>
  <c r="K35" i="2" s="1"/>
  <c r="H35" i="2"/>
  <c r="J35" i="2" s="1"/>
  <c r="M35" i="2" s="1"/>
  <c r="P35" i="2" s="1"/>
  <c r="O34" i="2"/>
  <c r="N34" i="2"/>
  <c r="A198" i="2"/>
  <c r="D197" i="2"/>
  <c r="B197" i="2"/>
  <c r="G196" i="2"/>
  <c r="I196" i="2" s="1"/>
  <c r="K196" i="2" s="1"/>
  <c r="H196" i="2"/>
  <c r="N195" i="2"/>
  <c r="O195" i="2"/>
  <c r="F14" i="1"/>
  <c r="B16" i="1"/>
  <c r="E15" i="1"/>
  <c r="C15" i="1"/>
  <c r="D15" i="1" s="1"/>
  <c r="G15" i="1" s="1"/>
  <c r="F40" i="2" l="1"/>
  <c r="O35" i="2"/>
  <c r="N35" i="2"/>
  <c r="G36" i="2"/>
  <c r="I36" i="2" s="1"/>
  <c r="K36" i="2" s="1"/>
  <c r="H36" i="2"/>
  <c r="J36" i="2" s="1"/>
  <c r="M36" i="2" s="1"/>
  <c r="P36" i="2" s="1"/>
  <c r="A38" i="2"/>
  <c r="B37" i="2"/>
  <c r="D37" i="2"/>
  <c r="H197" i="2"/>
  <c r="G197" i="2"/>
  <c r="I197" i="2" s="1"/>
  <c r="K197" i="2" s="1"/>
  <c r="N196" i="2"/>
  <c r="O196" i="2"/>
  <c r="A199" i="2"/>
  <c r="D198" i="2"/>
  <c r="B198" i="2"/>
  <c r="F15" i="1"/>
  <c r="B17" i="1"/>
  <c r="C16" i="1"/>
  <c r="D16" i="1" s="1"/>
  <c r="E16" i="1"/>
  <c r="F16" i="1" s="1"/>
  <c r="F41" i="2" l="1"/>
  <c r="H37" i="2"/>
  <c r="J37" i="2" s="1"/>
  <c r="M37" i="2" s="1"/>
  <c r="P37" i="2" s="1"/>
  <c r="G37" i="2"/>
  <c r="I37" i="2" s="1"/>
  <c r="K37" i="2" s="1"/>
  <c r="A39" i="2"/>
  <c r="B38" i="2"/>
  <c r="D38" i="2"/>
  <c r="N36" i="2"/>
  <c r="O36" i="2"/>
  <c r="A200" i="2"/>
  <c r="B199" i="2"/>
  <c r="D199" i="2"/>
  <c r="O197" i="2"/>
  <c r="N197" i="2"/>
  <c r="G198" i="2"/>
  <c r="I198" i="2" s="1"/>
  <c r="K198" i="2" s="1"/>
  <c r="H198" i="2"/>
  <c r="G16" i="1"/>
  <c r="B18" i="1"/>
  <c r="E17" i="1"/>
  <c r="C17" i="1"/>
  <c r="D17" i="1" s="1"/>
  <c r="G17" i="1" s="1"/>
  <c r="F42" i="2" l="1"/>
  <c r="O37" i="2"/>
  <c r="N37" i="2"/>
  <c r="H38" i="2"/>
  <c r="J38" i="2" s="1"/>
  <c r="M38" i="2" s="1"/>
  <c r="P38" i="2" s="1"/>
  <c r="G38" i="2"/>
  <c r="I38" i="2" s="1"/>
  <c r="K38" i="2" s="1"/>
  <c r="A40" i="2"/>
  <c r="B39" i="2"/>
  <c r="D39" i="2"/>
  <c r="N198" i="2"/>
  <c r="O198" i="2"/>
  <c r="H199" i="2"/>
  <c r="G199" i="2"/>
  <c r="I199" i="2" s="1"/>
  <c r="K199" i="2" s="1"/>
  <c r="A201" i="2"/>
  <c r="B200" i="2"/>
  <c r="D200" i="2"/>
  <c r="F17" i="1"/>
  <c r="B19" i="1"/>
  <c r="E18" i="1"/>
  <c r="C18" i="1"/>
  <c r="D18" i="1" s="1"/>
  <c r="G18" i="1" s="1"/>
  <c r="F43" i="2" l="1"/>
  <c r="N38" i="2"/>
  <c r="O38" i="2"/>
  <c r="G39" i="2"/>
  <c r="I39" i="2" s="1"/>
  <c r="K39" i="2" s="1"/>
  <c r="H39" i="2"/>
  <c r="J39" i="2" s="1"/>
  <c r="M39" i="2" s="1"/>
  <c r="P39" i="2" s="1"/>
  <c r="A41" i="2"/>
  <c r="B40" i="2"/>
  <c r="D40" i="2"/>
  <c r="G200" i="2"/>
  <c r="I200" i="2" s="1"/>
  <c r="K200" i="2" s="1"/>
  <c r="H200" i="2"/>
  <c r="A202" i="2"/>
  <c r="D201" i="2"/>
  <c r="B201" i="2"/>
  <c r="O199" i="2"/>
  <c r="N199" i="2"/>
  <c r="F18" i="1"/>
  <c r="B20" i="1"/>
  <c r="E19" i="1"/>
  <c r="C19" i="1"/>
  <c r="D19" i="1" s="1"/>
  <c r="F44" i="2" l="1"/>
  <c r="H40" i="2"/>
  <c r="J40" i="2" s="1"/>
  <c r="M40" i="2" s="1"/>
  <c r="P40" i="2" s="1"/>
  <c r="G40" i="2"/>
  <c r="I40" i="2" s="1"/>
  <c r="K40" i="2" s="1"/>
  <c r="A42" i="2"/>
  <c r="D41" i="2"/>
  <c r="B41" i="2"/>
  <c r="N39" i="2"/>
  <c r="O39" i="2"/>
  <c r="G201" i="2"/>
  <c r="I201" i="2" s="1"/>
  <c r="K201" i="2" s="1"/>
  <c r="H201" i="2"/>
  <c r="B202" i="2"/>
  <c r="A203" i="2"/>
  <c r="D202" i="2"/>
  <c r="N200" i="2"/>
  <c r="O200" i="2"/>
  <c r="G19" i="1"/>
  <c r="F19" i="1"/>
  <c r="B21" i="1"/>
  <c r="E20" i="1"/>
  <c r="C20" i="1"/>
  <c r="D20" i="1" s="1"/>
  <c r="F45" i="2" l="1"/>
  <c r="H41" i="2"/>
  <c r="J41" i="2" s="1"/>
  <c r="M41" i="2" s="1"/>
  <c r="P41" i="2" s="1"/>
  <c r="G41" i="2"/>
  <c r="I41" i="2" s="1"/>
  <c r="K41" i="2" s="1"/>
  <c r="A43" i="2"/>
  <c r="B42" i="2"/>
  <c r="D42" i="2"/>
  <c r="O40" i="2"/>
  <c r="N40" i="2"/>
  <c r="H202" i="2"/>
  <c r="G202" i="2"/>
  <c r="I202" i="2" s="1"/>
  <c r="K202" i="2" s="1"/>
  <c r="A204" i="2"/>
  <c r="D203" i="2"/>
  <c r="B203" i="2"/>
  <c r="N201" i="2"/>
  <c r="O201" i="2"/>
  <c r="G20" i="1"/>
  <c r="F20" i="1"/>
  <c r="B22" i="1"/>
  <c r="E21" i="1"/>
  <c r="C21" i="1"/>
  <c r="D21" i="1" s="1"/>
  <c r="F46" i="2" l="1"/>
  <c r="G42" i="2"/>
  <c r="I42" i="2" s="1"/>
  <c r="K42" i="2" s="1"/>
  <c r="H42" i="2"/>
  <c r="J42" i="2" s="1"/>
  <c r="M42" i="2" s="1"/>
  <c r="P42" i="2" s="1"/>
  <c r="A44" i="2"/>
  <c r="B43" i="2"/>
  <c r="D43" i="2"/>
  <c r="O41" i="2"/>
  <c r="N41" i="2"/>
  <c r="G203" i="2"/>
  <c r="I203" i="2" s="1"/>
  <c r="K203" i="2" s="1"/>
  <c r="H203" i="2"/>
  <c r="A205" i="2"/>
  <c r="B204" i="2"/>
  <c r="D204" i="2"/>
  <c r="O202" i="2"/>
  <c r="N202" i="2"/>
  <c r="G21" i="1"/>
  <c r="F21" i="1"/>
  <c r="B23" i="1"/>
  <c r="E22" i="1"/>
  <c r="C22" i="1"/>
  <c r="D22" i="1" s="1"/>
  <c r="G22" i="1" s="1"/>
  <c r="F47" i="2" l="1"/>
  <c r="G43" i="2"/>
  <c r="I43" i="2" s="1"/>
  <c r="K43" i="2" s="1"/>
  <c r="H43" i="2"/>
  <c r="J43" i="2" s="1"/>
  <c r="M43" i="2" s="1"/>
  <c r="P43" i="2" s="1"/>
  <c r="A45" i="2"/>
  <c r="D44" i="2"/>
  <c r="B44" i="2"/>
  <c r="O42" i="2"/>
  <c r="N42" i="2"/>
  <c r="G204" i="2"/>
  <c r="I204" i="2" s="1"/>
  <c r="K204" i="2" s="1"/>
  <c r="H204" i="2"/>
  <c r="A206" i="2"/>
  <c r="D205" i="2"/>
  <c r="B205" i="2"/>
  <c r="O203" i="2"/>
  <c r="N203" i="2"/>
  <c r="F22" i="1"/>
  <c r="B24" i="1"/>
  <c r="E23" i="1"/>
  <c r="C23" i="1"/>
  <c r="D23" i="1" s="1"/>
  <c r="G23" i="1" s="1"/>
  <c r="F48" i="2" l="1"/>
  <c r="G44" i="2"/>
  <c r="I44" i="2" s="1"/>
  <c r="K44" i="2" s="1"/>
  <c r="H44" i="2"/>
  <c r="J44" i="2" s="1"/>
  <c r="M44" i="2" s="1"/>
  <c r="P44" i="2" s="1"/>
  <c r="A46" i="2"/>
  <c r="D45" i="2"/>
  <c r="B45" i="2"/>
  <c r="N43" i="2"/>
  <c r="O43" i="2"/>
  <c r="H205" i="2"/>
  <c r="G205" i="2"/>
  <c r="I205" i="2" s="1"/>
  <c r="K205" i="2" s="1"/>
  <c r="A207" i="2"/>
  <c r="D206" i="2"/>
  <c r="B206" i="2"/>
  <c r="N204" i="2"/>
  <c r="O204" i="2"/>
  <c r="F23" i="1"/>
  <c r="B25" i="1"/>
  <c r="C24" i="1"/>
  <c r="D24" i="1" s="1"/>
  <c r="E24" i="1"/>
  <c r="F24" i="1" l="1"/>
  <c r="F49" i="2"/>
  <c r="G45" i="2"/>
  <c r="I45" i="2" s="1"/>
  <c r="K45" i="2" s="1"/>
  <c r="H45" i="2"/>
  <c r="J45" i="2" s="1"/>
  <c r="M45" i="2" s="1"/>
  <c r="P45" i="2" s="1"/>
  <c r="A47" i="2"/>
  <c r="B46" i="2"/>
  <c r="D46" i="2"/>
  <c r="N44" i="2"/>
  <c r="O44" i="2"/>
  <c r="G206" i="2"/>
  <c r="I206" i="2" s="1"/>
  <c r="K206" i="2" s="1"/>
  <c r="H206" i="2"/>
  <c r="A208" i="2"/>
  <c r="B207" i="2"/>
  <c r="D207" i="2"/>
  <c r="O205" i="2"/>
  <c r="N205" i="2"/>
  <c r="G24" i="1"/>
  <c r="B26" i="1"/>
  <c r="E25" i="1"/>
  <c r="C25" i="1"/>
  <c r="D25" i="1" s="1"/>
  <c r="G25" i="1" s="1"/>
  <c r="F50" i="2" l="1"/>
  <c r="H46" i="2"/>
  <c r="J46" i="2" s="1"/>
  <c r="M46" i="2" s="1"/>
  <c r="P46" i="2" s="1"/>
  <c r="G46" i="2"/>
  <c r="I46" i="2" s="1"/>
  <c r="K46" i="2" s="1"/>
  <c r="A48" i="2"/>
  <c r="B47" i="2"/>
  <c r="D47" i="2"/>
  <c r="O45" i="2"/>
  <c r="N45" i="2"/>
  <c r="H207" i="2"/>
  <c r="G207" i="2"/>
  <c r="I207" i="2" s="1"/>
  <c r="K207" i="2" s="1"/>
  <c r="A209" i="2"/>
  <c r="D208" i="2"/>
  <c r="B208" i="2"/>
  <c r="N206" i="2"/>
  <c r="O206" i="2"/>
  <c r="F25" i="1"/>
  <c r="B27" i="1"/>
  <c r="E26" i="1"/>
  <c r="C26" i="1"/>
  <c r="D26" i="1" s="1"/>
  <c r="G26" i="1" s="1"/>
  <c r="F51" i="2" l="1"/>
  <c r="G47" i="2"/>
  <c r="I47" i="2" s="1"/>
  <c r="K47" i="2" s="1"/>
  <c r="H47" i="2"/>
  <c r="J47" i="2" s="1"/>
  <c r="M47" i="2" s="1"/>
  <c r="P47" i="2" s="1"/>
  <c r="A49" i="2"/>
  <c r="B48" i="2"/>
  <c r="D48" i="2"/>
  <c r="N46" i="2"/>
  <c r="O46" i="2"/>
  <c r="G208" i="2"/>
  <c r="I208" i="2" s="1"/>
  <c r="K208" i="2" s="1"/>
  <c r="H208" i="2"/>
  <c r="A210" i="2"/>
  <c r="D209" i="2"/>
  <c r="B209" i="2"/>
  <c r="O207" i="2"/>
  <c r="N207" i="2"/>
  <c r="F26" i="1"/>
  <c r="B28" i="1"/>
  <c r="E27" i="1"/>
  <c r="C27" i="1"/>
  <c r="D27" i="1" s="1"/>
  <c r="F52" i="2" l="1"/>
  <c r="G48" i="2"/>
  <c r="I48" i="2" s="1"/>
  <c r="K48" i="2" s="1"/>
  <c r="H48" i="2"/>
  <c r="J48" i="2" s="1"/>
  <c r="M48" i="2" s="1"/>
  <c r="P48" i="2" s="1"/>
  <c r="A50" i="2"/>
  <c r="D49" i="2"/>
  <c r="B49" i="2"/>
  <c r="N47" i="2"/>
  <c r="O47" i="2"/>
  <c r="G209" i="2"/>
  <c r="I209" i="2" s="1"/>
  <c r="K209" i="2" s="1"/>
  <c r="H209" i="2"/>
  <c r="A211" i="2"/>
  <c r="B210" i="2"/>
  <c r="D210" i="2"/>
  <c r="O208" i="2"/>
  <c r="N208" i="2"/>
  <c r="G27" i="1"/>
  <c r="F27" i="1"/>
  <c r="B29" i="1"/>
  <c r="E28" i="1"/>
  <c r="C28" i="1"/>
  <c r="D28" i="1" s="1"/>
  <c r="G28" i="1" s="1"/>
  <c r="F53" i="2" l="1"/>
  <c r="H49" i="2"/>
  <c r="J49" i="2" s="1"/>
  <c r="M49" i="2" s="1"/>
  <c r="P49" i="2" s="1"/>
  <c r="G49" i="2"/>
  <c r="I49" i="2" s="1"/>
  <c r="K49" i="2" s="1"/>
  <c r="A51" i="2"/>
  <c r="D50" i="2"/>
  <c r="B50" i="2"/>
  <c r="N48" i="2"/>
  <c r="O48" i="2"/>
  <c r="H210" i="2"/>
  <c r="G210" i="2"/>
  <c r="I210" i="2" s="1"/>
  <c r="K210" i="2" s="1"/>
  <c r="A212" i="2"/>
  <c r="B211" i="2"/>
  <c r="D211" i="2"/>
  <c r="O209" i="2"/>
  <c r="N209" i="2"/>
  <c r="F28" i="1"/>
  <c r="B30" i="1"/>
  <c r="E29" i="1"/>
  <c r="C29" i="1"/>
  <c r="D29" i="1" s="1"/>
  <c r="G29" i="1" l="1"/>
  <c r="F54" i="2"/>
  <c r="G50" i="2"/>
  <c r="I50" i="2" s="1"/>
  <c r="K50" i="2" s="1"/>
  <c r="H50" i="2"/>
  <c r="J50" i="2" s="1"/>
  <c r="M50" i="2" s="1"/>
  <c r="P50" i="2" s="1"/>
  <c r="A52" i="2"/>
  <c r="B51" i="2"/>
  <c r="D51" i="2"/>
  <c r="O49" i="2"/>
  <c r="N49" i="2"/>
  <c r="G211" i="2"/>
  <c r="I211" i="2" s="1"/>
  <c r="K211" i="2" s="1"/>
  <c r="H211" i="2"/>
  <c r="A213" i="2"/>
  <c r="D212" i="2"/>
  <c r="B212" i="2"/>
  <c r="N210" i="2"/>
  <c r="O210" i="2"/>
  <c r="F29" i="1"/>
  <c r="B31" i="1"/>
  <c r="E30" i="1"/>
  <c r="C30" i="1"/>
  <c r="D30" i="1" s="1"/>
  <c r="G30" i="1" s="1"/>
  <c r="F55" i="2" l="1"/>
  <c r="G51" i="2"/>
  <c r="I51" i="2" s="1"/>
  <c r="K51" i="2" s="1"/>
  <c r="H51" i="2"/>
  <c r="J51" i="2" s="1"/>
  <c r="M51" i="2" s="1"/>
  <c r="P51" i="2" s="1"/>
  <c r="A53" i="2"/>
  <c r="B52" i="2"/>
  <c r="D52" i="2"/>
  <c r="O50" i="2"/>
  <c r="N50" i="2"/>
  <c r="G212" i="2"/>
  <c r="I212" i="2" s="1"/>
  <c r="K212" i="2" s="1"/>
  <c r="H212" i="2"/>
  <c r="A214" i="2"/>
  <c r="B213" i="2"/>
  <c r="D213" i="2"/>
  <c r="N211" i="2"/>
  <c r="O211" i="2"/>
  <c r="F30" i="1"/>
  <c r="B32" i="1"/>
  <c r="E31" i="1"/>
  <c r="C31" i="1"/>
  <c r="D31" i="1" s="1"/>
  <c r="G31" i="1" s="1"/>
  <c r="F56" i="2" l="1"/>
  <c r="A54" i="2"/>
  <c r="B53" i="2"/>
  <c r="D53" i="2"/>
  <c r="H52" i="2"/>
  <c r="J52" i="2" s="1"/>
  <c r="M52" i="2" s="1"/>
  <c r="P52" i="2" s="1"/>
  <c r="G52" i="2"/>
  <c r="I52" i="2" s="1"/>
  <c r="K52" i="2" s="1"/>
  <c r="O51" i="2"/>
  <c r="N51" i="2"/>
  <c r="D214" i="2"/>
  <c r="A215" i="2"/>
  <c r="B214" i="2"/>
  <c r="H213" i="2"/>
  <c r="G213" i="2"/>
  <c r="I213" i="2" s="1"/>
  <c r="K213" i="2" s="1"/>
  <c r="N212" i="2"/>
  <c r="O212" i="2"/>
  <c r="F31" i="1"/>
  <c r="B33" i="1"/>
  <c r="E32" i="1"/>
  <c r="C32" i="1"/>
  <c r="D32" i="1" s="1"/>
  <c r="G32" i="1" s="1"/>
  <c r="F57" i="2" l="1"/>
  <c r="N52" i="2"/>
  <c r="O52" i="2"/>
  <c r="H53" i="2"/>
  <c r="J53" i="2" s="1"/>
  <c r="M53" i="2" s="1"/>
  <c r="P53" i="2" s="1"/>
  <c r="G53" i="2"/>
  <c r="I53" i="2" s="1"/>
  <c r="K53" i="2" s="1"/>
  <c r="A55" i="2"/>
  <c r="B54" i="2"/>
  <c r="D54" i="2"/>
  <c r="N213" i="2"/>
  <c r="O213" i="2"/>
  <c r="A216" i="2"/>
  <c r="B215" i="2"/>
  <c r="D215" i="2"/>
  <c r="G214" i="2"/>
  <c r="I214" i="2" s="1"/>
  <c r="K214" i="2" s="1"/>
  <c r="H214" i="2"/>
  <c r="F32" i="1"/>
  <c r="B34" i="1"/>
  <c r="E33" i="1"/>
  <c r="C33" i="1"/>
  <c r="D33" i="1" s="1"/>
  <c r="G33" i="1" s="1"/>
  <c r="F58" i="2" l="1"/>
  <c r="H54" i="2"/>
  <c r="J54" i="2" s="1"/>
  <c r="M54" i="2" s="1"/>
  <c r="P54" i="2" s="1"/>
  <c r="G54" i="2"/>
  <c r="I54" i="2" s="1"/>
  <c r="K54" i="2" s="1"/>
  <c r="A56" i="2"/>
  <c r="B55" i="2"/>
  <c r="D55" i="2"/>
  <c r="N53" i="2"/>
  <c r="O53" i="2"/>
  <c r="N214" i="2"/>
  <c r="O214" i="2"/>
  <c r="H215" i="2"/>
  <c r="G215" i="2"/>
  <c r="I215" i="2" s="1"/>
  <c r="K215" i="2" s="1"/>
  <c r="A217" i="2"/>
  <c r="B216" i="2"/>
  <c r="D216" i="2"/>
  <c r="F33" i="1"/>
  <c r="B35" i="1"/>
  <c r="E34" i="1"/>
  <c r="C34" i="1"/>
  <c r="D34" i="1" s="1"/>
  <c r="F59" i="2" l="1"/>
  <c r="G55" i="2"/>
  <c r="I55" i="2" s="1"/>
  <c r="K55" i="2" s="1"/>
  <c r="H55" i="2"/>
  <c r="J55" i="2" s="1"/>
  <c r="M55" i="2" s="1"/>
  <c r="P55" i="2" s="1"/>
  <c r="A57" i="2"/>
  <c r="B56" i="2"/>
  <c r="D56" i="2"/>
  <c r="N54" i="2"/>
  <c r="O54" i="2"/>
  <c r="H216" i="2"/>
  <c r="G216" i="2"/>
  <c r="I216" i="2" s="1"/>
  <c r="K216" i="2" s="1"/>
  <c r="A218" i="2"/>
  <c r="D217" i="2"/>
  <c r="B217" i="2"/>
  <c r="N215" i="2"/>
  <c r="O215" i="2"/>
  <c r="G34" i="1"/>
  <c r="F34" i="1"/>
  <c r="B36" i="1"/>
  <c r="E35" i="1"/>
  <c r="C35" i="1"/>
  <c r="D35" i="1" s="1"/>
  <c r="F60" i="2" l="1"/>
  <c r="H56" i="2"/>
  <c r="J56" i="2" s="1"/>
  <c r="M56" i="2" s="1"/>
  <c r="P56" i="2" s="1"/>
  <c r="G56" i="2"/>
  <c r="I56" i="2" s="1"/>
  <c r="K56" i="2" s="1"/>
  <c r="A58" i="2"/>
  <c r="D57" i="2"/>
  <c r="B57" i="2"/>
  <c r="O55" i="2"/>
  <c r="N55" i="2"/>
  <c r="A219" i="2"/>
  <c r="D218" i="2"/>
  <c r="B218" i="2"/>
  <c r="O216" i="2"/>
  <c r="N216" i="2"/>
  <c r="G217" i="2"/>
  <c r="I217" i="2" s="1"/>
  <c r="K217" i="2" s="1"/>
  <c r="H217" i="2"/>
  <c r="G35" i="1"/>
  <c r="F35" i="1"/>
  <c r="B37" i="1"/>
  <c r="E36" i="1"/>
  <c r="C36" i="1"/>
  <c r="D36" i="1" s="1"/>
  <c r="F61" i="2" l="1"/>
  <c r="H57" i="2"/>
  <c r="J57" i="2" s="1"/>
  <c r="M57" i="2" s="1"/>
  <c r="P57" i="2" s="1"/>
  <c r="G57" i="2"/>
  <c r="I57" i="2" s="1"/>
  <c r="K57" i="2" s="1"/>
  <c r="A59" i="2"/>
  <c r="D58" i="2"/>
  <c r="B58" i="2"/>
  <c r="O56" i="2"/>
  <c r="N56" i="2"/>
  <c r="O217" i="2"/>
  <c r="N217" i="2"/>
  <c r="H218" i="2"/>
  <c r="G218" i="2"/>
  <c r="I218" i="2" s="1"/>
  <c r="K218" i="2" s="1"/>
  <c r="A220" i="2"/>
  <c r="B219" i="2"/>
  <c r="D219" i="2"/>
  <c r="G36" i="1"/>
  <c r="F36" i="1"/>
  <c r="B38" i="1"/>
  <c r="E37" i="1"/>
  <c r="C37" i="1"/>
  <c r="D37" i="1" s="1"/>
  <c r="G37" i="1" s="1"/>
  <c r="F62" i="2" l="1"/>
  <c r="G58" i="2"/>
  <c r="I58" i="2" s="1"/>
  <c r="K58" i="2" s="1"/>
  <c r="H58" i="2"/>
  <c r="J58" i="2" s="1"/>
  <c r="M58" i="2" s="1"/>
  <c r="P58" i="2" s="1"/>
  <c r="A60" i="2"/>
  <c r="B59" i="2"/>
  <c r="D59" i="2"/>
  <c r="O57" i="2"/>
  <c r="N57" i="2"/>
  <c r="G219" i="2"/>
  <c r="I219" i="2" s="1"/>
  <c r="K219" i="2" s="1"/>
  <c r="H219" i="2"/>
  <c r="A221" i="2"/>
  <c r="D220" i="2"/>
  <c r="B220" i="2"/>
  <c r="O218" i="2"/>
  <c r="N218" i="2"/>
  <c r="F37" i="1"/>
  <c r="B39" i="1"/>
  <c r="E38" i="1"/>
  <c r="C38" i="1"/>
  <c r="D38" i="1" s="1"/>
  <c r="F63" i="2" l="1"/>
  <c r="A61" i="2"/>
  <c r="B60" i="2"/>
  <c r="D60" i="2"/>
  <c r="H59" i="2"/>
  <c r="J59" i="2" s="1"/>
  <c r="M59" i="2" s="1"/>
  <c r="P59" i="2" s="1"/>
  <c r="G59" i="2"/>
  <c r="I59" i="2" s="1"/>
  <c r="K59" i="2" s="1"/>
  <c r="O58" i="2"/>
  <c r="N58" i="2"/>
  <c r="G220" i="2"/>
  <c r="I220" i="2" s="1"/>
  <c r="K220" i="2" s="1"/>
  <c r="H220" i="2"/>
  <c r="A222" i="2"/>
  <c r="B221" i="2"/>
  <c r="D221" i="2"/>
  <c r="O219" i="2"/>
  <c r="N219" i="2"/>
  <c r="G38" i="1"/>
  <c r="F38" i="1"/>
  <c r="B40" i="1"/>
  <c r="E39" i="1"/>
  <c r="C39" i="1"/>
  <c r="D39" i="1" s="1"/>
  <c r="F64" i="2" l="1"/>
  <c r="N59" i="2"/>
  <c r="O59" i="2"/>
  <c r="G60" i="2"/>
  <c r="I60" i="2" s="1"/>
  <c r="K60" i="2" s="1"/>
  <c r="H60" i="2"/>
  <c r="J60" i="2" s="1"/>
  <c r="M60" i="2" s="1"/>
  <c r="P60" i="2" s="1"/>
  <c r="A62" i="2"/>
  <c r="B61" i="2"/>
  <c r="D61" i="2"/>
  <c r="H221" i="2"/>
  <c r="G221" i="2"/>
  <c r="I221" i="2" s="1"/>
  <c r="K221" i="2" s="1"/>
  <c r="A223" i="2"/>
  <c r="B222" i="2"/>
  <c r="D222" i="2"/>
  <c r="N220" i="2"/>
  <c r="O220" i="2"/>
  <c r="G39" i="1"/>
  <c r="F39" i="1"/>
  <c r="B41" i="1"/>
  <c r="C40" i="1"/>
  <c r="D40" i="1" s="1"/>
  <c r="E40" i="1"/>
  <c r="F65" i="2" l="1"/>
  <c r="H61" i="2"/>
  <c r="J61" i="2" s="1"/>
  <c r="M61" i="2" s="1"/>
  <c r="P61" i="2" s="1"/>
  <c r="G61" i="2"/>
  <c r="I61" i="2" s="1"/>
  <c r="K61" i="2" s="1"/>
  <c r="A63" i="2"/>
  <c r="D62" i="2"/>
  <c r="B62" i="2"/>
  <c r="N60" i="2"/>
  <c r="O60" i="2"/>
  <c r="G222" i="2"/>
  <c r="I222" i="2" s="1"/>
  <c r="K222" i="2" s="1"/>
  <c r="H222" i="2"/>
  <c r="A224" i="2"/>
  <c r="D223" i="2"/>
  <c r="B223" i="2"/>
  <c r="O221" i="2"/>
  <c r="N221" i="2"/>
  <c r="G40" i="1"/>
  <c r="F40" i="1"/>
  <c r="B42" i="1"/>
  <c r="E41" i="1"/>
  <c r="C41" i="1"/>
  <c r="D41" i="1" s="1"/>
  <c r="G41" i="1" s="1"/>
  <c r="F66" i="2" l="1"/>
  <c r="H62" i="2"/>
  <c r="J62" i="2" s="1"/>
  <c r="M62" i="2" s="1"/>
  <c r="P62" i="2" s="1"/>
  <c r="G62" i="2"/>
  <c r="I62" i="2" s="1"/>
  <c r="K62" i="2" s="1"/>
  <c r="A64" i="2"/>
  <c r="D63" i="2"/>
  <c r="B63" i="2"/>
  <c r="N61" i="2"/>
  <c r="O61" i="2"/>
  <c r="H223" i="2"/>
  <c r="G223" i="2"/>
  <c r="I223" i="2" s="1"/>
  <c r="K223" i="2" s="1"/>
  <c r="A225" i="2"/>
  <c r="D224" i="2"/>
  <c r="B224" i="2"/>
  <c r="N222" i="2"/>
  <c r="O222" i="2"/>
  <c r="F41" i="1"/>
  <c r="B43" i="1"/>
  <c r="E42" i="1"/>
  <c r="C42" i="1"/>
  <c r="D42" i="1" s="1"/>
  <c r="G42" i="1" s="1"/>
  <c r="F67" i="2" l="1"/>
  <c r="H63" i="2"/>
  <c r="J63" i="2" s="1"/>
  <c r="M63" i="2" s="1"/>
  <c r="P63" i="2" s="1"/>
  <c r="G63" i="2"/>
  <c r="I63" i="2" s="1"/>
  <c r="K63" i="2" s="1"/>
  <c r="A65" i="2"/>
  <c r="B64" i="2"/>
  <c r="D64" i="2"/>
  <c r="O62" i="2"/>
  <c r="N62" i="2"/>
  <c r="H224" i="2"/>
  <c r="G224" i="2"/>
  <c r="I224" i="2" s="1"/>
  <c r="K224" i="2" s="1"/>
  <c r="A226" i="2"/>
  <c r="B225" i="2"/>
  <c r="D225" i="2"/>
  <c r="N223" i="2"/>
  <c r="O223" i="2"/>
  <c r="F42" i="1"/>
  <c r="B44" i="1"/>
  <c r="E43" i="1"/>
  <c r="C43" i="1"/>
  <c r="D43" i="1" s="1"/>
  <c r="F68" i="2" l="1"/>
  <c r="N63" i="2"/>
  <c r="O63" i="2"/>
  <c r="G64" i="2"/>
  <c r="I64" i="2" s="1"/>
  <c r="K64" i="2" s="1"/>
  <c r="H64" i="2"/>
  <c r="J64" i="2" s="1"/>
  <c r="M64" i="2" s="1"/>
  <c r="P64" i="2" s="1"/>
  <c r="A66" i="2"/>
  <c r="B65" i="2"/>
  <c r="D65" i="2"/>
  <c r="A227" i="2"/>
  <c r="D226" i="2"/>
  <c r="B226" i="2"/>
  <c r="O224" i="2"/>
  <c r="N224" i="2"/>
  <c r="H225" i="2"/>
  <c r="G225" i="2"/>
  <c r="I225" i="2" s="1"/>
  <c r="K225" i="2" s="1"/>
  <c r="G43" i="1"/>
  <c r="F43" i="1"/>
  <c r="B45" i="1"/>
  <c r="E44" i="1"/>
  <c r="C44" i="1"/>
  <c r="D44" i="1" s="1"/>
  <c r="F69" i="2" l="1"/>
  <c r="G65" i="2"/>
  <c r="I65" i="2" s="1"/>
  <c r="K65" i="2" s="1"/>
  <c r="H65" i="2"/>
  <c r="J65" i="2" s="1"/>
  <c r="M65" i="2" s="1"/>
  <c r="P65" i="2" s="1"/>
  <c r="A67" i="2"/>
  <c r="B66" i="2"/>
  <c r="D66" i="2"/>
  <c r="O64" i="2"/>
  <c r="N64" i="2"/>
  <c r="N225" i="2"/>
  <c r="O225" i="2"/>
  <c r="H226" i="2"/>
  <c r="G226" i="2"/>
  <c r="I226" i="2" s="1"/>
  <c r="K226" i="2" s="1"/>
  <c r="A228" i="2"/>
  <c r="B227" i="2"/>
  <c r="D227" i="2"/>
  <c r="G44" i="1"/>
  <c r="F44" i="1"/>
  <c r="B46" i="1"/>
  <c r="E45" i="1"/>
  <c r="C45" i="1"/>
  <c r="D45" i="1" s="1"/>
  <c r="F70" i="2" l="1"/>
  <c r="G66" i="2"/>
  <c r="I66" i="2" s="1"/>
  <c r="K66" i="2" s="1"/>
  <c r="H66" i="2"/>
  <c r="J66" i="2" s="1"/>
  <c r="M66" i="2" s="1"/>
  <c r="P66" i="2" s="1"/>
  <c r="A68" i="2"/>
  <c r="B67" i="2"/>
  <c r="D67" i="2"/>
  <c r="N65" i="2"/>
  <c r="O65" i="2"/>
  <c r="G227" i="2"/>
  <c r="I227" i="2" s="1"/>
  <c r="K227" i="2" s="1"/>
  <c r="H227" i="2"/>
  <c r="N226" i="2"/>
  <c r="O226" i="2"/>
  <c r="B228" i="2"/>
  <c r="A229" i="2"/>
  <c r="D228" i="2"/>
  <c r="G45" i="1"/>
  <c r="F45" i="1"/>
  <c r="B47" i="1"/>
  <c r="E46" i="1"/>
  <c r="C46" i="1"/>
  <c r="D46" i="1" s="1"/>
  <c r="F71" i="2" l="1"/>
  <c r="H67" i="2"/>
  <c r="J67" i="2" s="1"/>
  <c r="M67" i="2" s="1"/>
  <c r="P67" i="2" s="1"/>
  <c r="G67" i="2"/>
  <c r="I67" i="2" s="1"/>
  <c r="K67" i="2" s="1"/>
  <c r="A69" i="2"/>
  <c r="D68" i="2"/>
  <c r="B68" i="2"/>
  <c r="O66" i="2"/>
  <c r="N66" i="2"/>
  <c r="G228" i="2"/>
  <c r="I228" i="2" s="1"/>
  <c r="K228" i="2" s="1"/>
  <c r="H228" i="2"/>
  <c r="A230" i="2"/>
  <c r="B229" i="2"/>
  <c r="D229" i="2"/>
  <c r="N227" i="2"/>
  <c r="O227" i="2"/>
  <c r="G46" i="1"/>
  <c r="F46" i="1"/>
  <c r="B48" i="1"/>
  <c r="E47" i="1"/>
  <c r="C47" i="1"/>
  <c r="D47" i="1" s="1"/>
  <c r="G47" i="1" s="1"/>
  <c r="F72" i="2" l="1"/>
  <c r="H68" i="2"/>
  <c r="J68" i="2" s="1"/>
  <c r="M68" i="2" s="1"/>
  <c r="P68" i="2" s="1"/>
  <c r="G68" i="2"/>
  <c r="I68" i="2" s="1"/>
  <c r="K68" i="2" s="1"/>
  <c r="N67" i="2"/>
  <c r="O67" i="2"/>
  <c r="A70" i="2"/>
  <c r="B69" i="2"/>
  <c r="D69" i="2"/>
  <c r="G229" i="2"/>
  <c r="I229" i="2" s="1"/>
  <c r="K229" i="2" s="1"/>
  <c r="H229" i="2"/>
  <c r="A231" i="2"/>
  <c r="B230" i="2"/>
  <c r="D230" i="2"/>
  <c r="N228" i="2"/>
  <c r="O228" i="2"/>
  <c r="F47" i="1"/>
  <c r="B49" i="1"/>
  <c r="E48" i="1"/>
  <c r="C48" i="1"/>
  <c r="D48" i="1" s="1"/>
  <c r="G48" i="1" s="1"/>
  <c r="F73" i="2" l="1"/>
  <c r="H69" i="2"/>
  <c r="J69" i="2" s="1"/>
  <c r="M69" i="2" s="1"/>
  <c r="P69" i="2" s="1"/>
  <c r="G69" i="2"/>
  <c r="I69" i="2" s="1"/>
  <c r="K69" i="2" s="1"/>
  <c r="A71" i="2"/>
  <c r="B70" i="2"/>
  <c r="D70" i="2"/>
  <c r="N68" i="2"/>
  <c r="O68" i="2"/>
  <c r="G230" i="2"/>
  <c r="I230" i="2" s="1"/>
  <c r="K230" i="2" s="1"/>
  <c r="H230" i="2"/>
  <c r="A232" i="2"/>
  <c r="B231" i="2"/>
  <c r="D231" i="2"/>
  <c r="O229" i="2"/>
  <c r="N229" i="2"/>
  <c r="F48" i="1"/>
  <c r="B50" i="1"/>
  <c r="E49" i="1"/>
  <c r="C49" i="1"/>
  <c r="D49" i="1" s="1"/>
  <c r="G49" i="1" s="1"/>
  <c r="F74" i="2" l="1"/>
  <c r="H70" i="2"/>
  <c r="J70" i="2" s="1"/>
  <c r="M70" i="2" s="1"/>
  <c r="P70" i="2" s="1"/>
  <c r="G70" i="2"/>
  <c r="I70" i="2" s="1"/>
  <c r="K70" i="2" s="1"/>
  <c r="A72" i="2"/>
  <c r="B71" i="2"/>
  <c r="D71" i="2"/>
  <c r="N69" i="2"/>
  <c r="O69" i="2"/>
  <c r="H231" i="2"/>
  <c r="G231" i="2"/>
  <c r="I231" i="2" s="1"/>
  <c r="K231" i="2" s="1"/>
  <c r="A233" i="2"/>
  <c r="D232" i="2"/>
  <c r="B232" i="2"/>
  <c r="O230" i="2"/>
  <c r="N230" i="2"/>
  <c r="F49" i="1"/>
  <c r="B51" i="1"/>
  <c r="E50" i="1"/>
  <c r="C50" i="1"/>
  <c r="D50" i="1" s="1"/>
  <c r="G50" i="1" s="1"/>
  <c r="F75" i="2" l="1"/>
  <c r="A73" i="2"/>
  <c r="B72" i="2"/>
  <c r="D72" i="2"/>
  <c r="N70" i="2"/>
  <c r="O70" i="2"/>
  <c r="G71" i="2"/>
  <c r="I71" i="2" s="1"/>
  <c r="K71" i="2" s="1"/>
  <c r="H71" i="2"/>
  <c r="J71" i="2" s="1"/>
  <c r="M71" i="2" s="1"/>
  <c r="P71" i="2" s="1"/>
  <c r="O231" i="2"/>
  <c r="N231" i="2"/>
  <c r="G232" i="2"/>
  <c r="I232" i="2" s="1"/>
  <c r="K232" i="2" s="1"/>
  <c r="H232" i="2"/>
  <c r="A234" i="2"/>
  <c r="B233" i="2"/>
  <c r="D233" i="2"/>
  <c r="F50" i="1"/>
  <c r="B52" i="1"/>
  <c r="E51" i="1"/>
  <c r="C51" i="1"/>
  <c r="D51" i="1" s="1"/>
  <c r="G51" i="1" s="1"/>
  <c r="F76" i="2" l="1"/>
  <c r="N71" i="2"/>
  <c r="O71" i="2"/>
  <c r="H72" i="2"/>
  <c r="J72" i="2" s="1"/>
  <c r="M72" i="2" s="1"/>
  <c r="P72" i="2" s="1"/>
  <c r="G72" i="2"/>
  <c r="I72" i="2" s="1"/>
  <c r="K72" i="2" s="1"/>
  <c r="A74" i="2"/>
  <c r="D73" i="2"/>
  <c r="B73" i="2"/>
  <c r="G233" i="2"/>
  <c r="I233" i="2" s="1"/>
  <c r="K233" i="2" s="1"/>
  <c r="H233" i="2"/>
  <c r="A235" i="2"/>
  <c r="D234" i="2"/>
  <c r="B234" i="2"/>
  <c r="O232" i="2"/>
  <c r="N232" i="2"/>
  <c r="F51" i="1"/>
  <c r="B53" i="1"/>
  <c r="E52" i="1"/>
  <c r="C52" i="1"/>
  <c r="D52" i="1" s="1"/>
  <c r="G52" i="1" s="1"/>
  <c r="F77" i="2" l="1"/>
  <c r="H73" i="2"/>
  <c r="J73" i="2" s="1"/>
  <c r="M73" i="2" s="1"/>
  <c r="P73" i="2" s="1"/>
  <c r="G73" i="2"/>
  <c r="I73" i="2" s="1"/>
  <c r="K73" i="2" s="1"/>
  <c r="A75" i="2"/>
  <c r="D74" i="2"/>
  <c r="B74" i="2"/>
  <c r="N72" i="2"/>
  <c r="O72" i="2"/>
  <c r="H234" i="2"/>
  <c r="G234" i="2"/>
  <c r="I234" i="2" s="1"/>
  <c r="K234" i="2" s="1"/>
  <c r="A236" i="2"/>
  <c r="B235" i="2"/>
  <c r="D235" i="2"/>
  <c r="O233" i="2"/>
  <c r="N233" i="2"/>
  <c r="F52" i="1"/>
  <c r="E53" i="1"/>
  <c r="B54" i="1"/>
  <c r="C53" i="1"/>
  <c r="D53" i="1" s="1"/>
  <c r="F78" i="2" l="1"/>
  <c r="G74" i="2"/>
  <c r="I74" i="2" s="1"/>
  <c r="K74" i="2" s="1"/>
  <c r="H74" i="2"/>
  <c r="J74" i="2" s="1"/>
  <c r="M74" i="2" s="1"/>
  <c r="P74" i="2" s="1"/>
  <c r="A76" i="2"/>
  <c r="B75" i="2"/>
  <c r="D75" i="2"/>
  <c r="N73" i="2"/>
  <c r="O73" i="2"/>
  <c r="G235" i="2"/>
  <c r="I235" i="2" s="1"/>
  <c r="K235" i="2" s="1"/>
  <c r="H235" i="2"/>
  <c r="A237" i="2"/>
  <c r="B236" i="2"/>
  <c r="D236" i="2"/>
  <c r="N234" i="2"/>
  <c r="O234" i="2"/>
  <c r="G53" i="1"/>
  <c r="E54" i="1"/>
  <c r="B55" i="1"/>
  <c r="C54" i="1"/>
  <c r="D54" i="1" s="1"/>
  <c r="G54" i="1" s="1"/>
  <c r="F53" i="1"/>
  <c r="F79" i="2" l="1"/>
  <c r="A77" i="2"/>
  <c r="B76" i="2"/>
  <c r="D76" i="2"/>
  <c r="G75" i="2"/>
  <c r="I75" i="2" s="1"/>
  <c r="K75" i="2" s="1"/>
  <c r="H75" i="2"/>
  <c r="J75" i="2" s="1"/>
  <c r="M75" i="2" s="1"/>
  <c r="P75" i="2" s="1"/>
  <c r="O74" i="2"/>
  <c r="N74" i="2"/>
  <c r="G236" i="2"/>
  <c r="I236" i="2" s="1"/>
  <c r="K236" i="2" s="1"/>
  <c r="H236" i="2"/>
  <c r="A238" i="2"/>
  <c r="B237" i="2"/>
  <c r="D237" i="2"/>
  <c r="N235" i="2"/>
  <c r="O235" i="2"/>
  <c r="E55" i="1"/>
  <c r="B56" i="1"/>
  <c r="C55" i="1"/>
  <c r="D55" i="1" s="1"/>
  <c r="F54" i="1"/>
  <c r="G55" i="1" l="1"/>
  <c r="F80" i="2"/>
  <c r="G76" i="2"/>
  <c r="I76" i="2" s="1"/>
  <c r="K76" i="2" s="1"/>
  <c r="H76" i="2"/>
  <c r="J76" i="2" s="1"/>
  <c r="M76" i="2" s="1"/>
  <c r="P76" i="2" s="1"/>
  <c r="N75" i="2"/>
  <c r="O75" i="2"/>
  <c r="A78" i="2"/>
  <c r="D77" i="2"/>
  <c r="B77" i="2"/>
  <c r="G237" i="2"/>
  <c r="I237" i="2" s="1"/>
  <c r="K237" i="2" s="1"/>
  <c r="H237" i="2"/>
  <c r="A239" i="2"/>
  <c r="B238" i="2"/>
  <c r="D238" i="2"/>
  <c r="N236" i="2"/>
  <c r="O236" i="2"/>
  <c r="E56" i="1"/>
  <c r="B57" i="1"/>
  <c r="C56" i="1"/>
  <c r="D56" i="1" s="1"/>
  <c r="G56" i="1" s="1"/>
  <c r="F55" i="1"/>
  <c r="F81" i="2" l="1"/>
  <c r="G77" i="2"/>
  <c r="I77" i="2" s="1"/>
  <c r="K77" i="2" s="1"/>
  <c r="H77" i="2"/>
  <c r="J77" i="2" s="1"/>
  <c r="M77" i="2" s="1"/>
  <c r="P77" i="2" s="1"/>
  <c r="A79" i="2"/>
  <c r="B78" i="2"/>
  <c r="D78" i="2"/>
  <c r="N76" i="2"/>
  <c r="O76" i="2"/>
  <c r="G238" i="2"/>
  <c r="I238" i="2" s="1"/>
  <c r="K238" i="2" s="1"/>
  <c r="H238" i="2"/>
  <c r="A240" i="2"/>
  <c r="B239" i="2"/>
  <c r="D239" i="2"/>
  <c r="O237" i="2"/>
  <c r="N237" i="2"/>
  <c r="E57" i="1"/>
  <c r="B58" i="1"/>
  <c r="C57" i="1"/>
  <c r="D57" i="1" s="1"/>
  <c r="F56" i="1"/>
  <c r="G57" i="1" l="1"/>
  <c r="F82" i="2"/>
  <c r="G78" i="2"/>
  <c r="I78" i="2" s="1"/>
  <c r="K78" i="2" s="1"/>
  <c r="H78" i="2"/>
  <c r="J78" i="2" s="1"/>
  <c r="M78" i="2" s="1"/>
  <c r="P78" i="2" s="1"/>
  <c r="A80" i="2"/>
  <c r="D79" i="2"/>
  <c r="B79" i="2"/>
  <c r="O77" i="2"/>
  <c r="N77" i="2"/>
  <c r="H239" i="2"/>
  <c r="G239" i="2"/>
  <c r="I239" i="2" s="1"/>
  <c r="K239" i="2" s="1"/>
  <c r="A241" i="2"/>
  <c r="B240" i="2"/>
  <c r="D240" i="2"/>
  <c r="N238" i="2"/>
  <c r="O238" i="2"/>
  <c r="E58" i="1"/>
  <c r="B59" i="1"/>
  <c r="C58" i="1"/>
  <c r="D58" i="1" s="1"/>
  <c r="F57" i="1"/>
  <c r="G58" i="1" l="1"/>
  <c r="F83" i="2"/>
  <c r="G79" i="2"/>
  <c r="I79" i="2" s="1"/>
  <c r="K79" i="2" s="1"/>
  <c r="H79" i="2"/>
  <c r="J79" i="2" s="1"/>
  <c r="M79" i="2" s="1"/>
  <c r="P79" i="2" s="1"/>
  <c r="A81" i="2"/>
  <c r="D80" i="2"/>
  <c r="B80" i="2"/>
  <c r="O78" i="2"/>
  <c r="N78" i="2"/>
  <c r="D241" i="2"/>
  <c r="B241" i="2"/>
  <c r="A242" i="2"/>
  <c r="N239" i="2"/>
  <c r="O239" i="2"/>
  <c r="G240" i="2"/>
  <c r="I240" i="2" s="1"/>
  <c r="K240" i="2" s="1"/>
  <c r="H240" i="2"/>
  <c r="E59" i="1"/>
  <c r="B60" i="1"/>
  <c r="C59" i="1"/>
  <c r="D59" i="1" s="1"/>
  <c r="G59" i="1" s="1"/>
  <c r="F58" i="1"/>
  <c r="F84" i="2" l="1"/>
  <c r="H80" i="2"/>
  <c r="J80" i="2" s="1"/>
  <c r="M80" i="2" s="1"/>
  <c r="P80" i="2" s="1"/>
  <c r="G80" i="2"/>
  <c r="I80" i="2" s="1"/>
  <c r="K80" i="2" s="1"/>
  <c r="A82" i="2"/>
  <c r="B81" i="2"/>
  <c r="D81" i="2"/>
  <c r="N79" i="2"/>
  <c r="O79" i="2"/>
  <c r="O240" i="2"/>
  <c r="N240" i="2"/>
  <c r="A243" i="2"/>
  <c r="B242" i="2"/>
  <c r="D242" i="2"/>
  <c r="G241" i="2"/>
  <c r="I241" i="2" s="1"/>
  <c r="K241" i="2" s="1"/>
  <c r="H241" i="2"/>
  <c r="E60" i="1"/>
  <c r="B61" i="1"/>
  <c r="C60" i="1"/>
  <c r="D60" i="1" s="1"/>
  <c r="F59" i="1"/>
  <c r="F85" i="2" l="1"/>
  <c r="H81" i="2"/>
  <c r="J81" i="2" s="1"/>
  <c r="M81" i="2" s="1"/>
  <c r="P81" i="2" s="1"/>
  <c r="G81" i="2"/>
  <c r="I81" i="2" s="1"/>
  <c r="K81" i="2" s="1"/>
  <c r="A83" i="2"/>
  <c r="B82" i="2"/>
  <c r="D82" i="2"/>
  <c r="O80" i="2"/>
  <c r="N80" i="2"/>
  <c r="G242" i="2"/>
  <c r="I242" i="2" s="1"/>
  <c r="K242" i="2" s="1"/>
  <c r="H242" i="2"/>
  <c r="A244" i="2"/>
  <c r="B243" i="2"/>
  <c r="D243" i="2"/>
  <c r="O241" i="2"/>
  <c r="N241" i="2"/>
  <c r="G60" i="1"/>
  <c r="E61" i="1"/>
  <c r="B62" i="1"/>
  <c r="C61" i="1"/>
  <c r="D61" i="1" s="1"/>
  <c r="G61" i="1" s="1"/>
  <c r="F60" i="1"/>
  <c r="F86" i="2" l="1"/>
  <c r="G82" i="2"/>
  <c r="I82" i="2" s="1"/>
  <c r="K82" i="2" s="1"/>
  <c r="H82" i="2"/>
  <c r="J82" i="2" s="1"/>
  <c r="M82" i="2" s="1"/>
  <c r="P82" i="2" s="1"/>
  <c r="A84" i="2"/>
  <c r="B83" i="2"/>
  <c r="D83" i="2"/>
  <c r="N81" i="2"/>
  <c r="O81" i="2"/>
  <c r="G243" i="2"/>
  <c r="I243" i="2" s="1"/>
  <c r="K243" i="2" s="1"/>
  <c r="H243" i="2"/>
  <c r="A245" i="2"/>
  <c r="B244" i="2"/>
  <c r="D244" i="2"/>
  <c r="O242" i="2"/>
  <c r="N242" i="2"/>
  <c r="E62" i="1"/>
  <c r="B63" i="1"/>
  <c r="C62" i="1"/>
  <c r="D62" i="1" s="1"/>
  <c r="F61" i="1"/>
  <c r="G62" i="1" l="1"/>
  <c r="F87" i="2"/>
  <c r="A85" i="2"/>
  <c r="D84" i="2"/>
  <c r="B84" i="2"/>
  <c r="G83" i="2"/>
  <c r="I83" i="2" s="1"/>
  <c r="K83" i="2" s="1"/>
  <c r="H83" i="2"/>
  <c r="J83" i="2" s="1"/>
  <c r="M83" i="2" s="1"/>
  <c r="P83" i="2" s="1"/>
  <c r="O82" i="2"/>
  <c r="N82" i="2"/>
  <c r="G244" i="2"/>
  <c r="I244" i="2" s="1"/>
  <c r="K244" i="2" s="1"/>
  <c r="H244" i="2"/>
  <c r="A246" i="2"/>
  <c r="B245" i="2"/>
  <c r="D245" i="2"/>
  <c r="N243" i="2"/>
  <c r="O243" i="2"/>
  <c r="E63" i="1"/>
  <c r="B64" i="1"/>
  <c r="C63" i="1"/>
  <c r="D63" i="1" s="1"/>
  <c r="G63" i="1" s="1"/>
  <c r="F62" i="1"/>
  <c r="F88" i="2" l="1"/>
  <c r="O83" i="2"/>
  <c r="N83" i="2"/>
  <c r="G84" i="2"/>
  <c r="I84" i="2" s="1"/>
  <c r="K84" i="2" s="1"/>
  <c r="H84" i="2"/>
  <c r="J84" i="2" s="1"/>
  <c r="M84" i="2" s="1"/>
  <c r="P84" i="2" s="1"/>
  <c r="A86" i="2"/>
  <c r="B85" i="2"/>
  <c r="D85" i="2"/>
  <c r="G245" i="2"/>
  <c r="I245" i="2" s="1"/>
  <c r="K245" i="2" s="1"/>
  <c r="H245" i="2"/>
  <c r="A247" i="2"/>
  <c r="B246" i="2"/>
  <c r="D246" i="2"/>
  <c r="N244" i="2"/>
  <c r="O244" i="2"/>
  <c r="E64" i="1"/>
  <c r="B65" i="1"/>
  <c r="C64" i="1"/>
  <c r="D64" i="1" s="1"/>
  <c r="F63" i="1"/>
  <c r="G64" i="1" l="1"/>
  <c r="F89" i="2"/>
  <c r="A87" i="2"/>
  <c r="D86" i="2"/>
  <c r="B86" i="2"/>
  <c r="N84" i="2"/>
  <c r="O84" i="2"/>
  <c r="G85" i="2"/>
  <c r="I85" i="2" s="1"/>
  <c r="K85" i="2" s="1"/>
  <c r="H85" i="2"/>
  <c r="J85" i="2" s="1"/>
  <c r="M85" i="2" s="1"/>
  <c r="P85" i="2" s="1"/>
  <c r="H246" i="2"/>
  <c r="G246" i="2"/>
  <c r="I246" i="2" s="1"/>
  <c r="K246" i="2" s="1"/>
  <c r="A248" i="2"/>
  <c r="B247" i="2"/>
  <c r="D247" i="2"/>
  <c r="O245" i="2"/>
  <c r="N245" i="2"/>
  <c r="E65" i="1"/>
  <c r="B66" i="1"/>
  <c r="C65" i="1"/>
  <c r="D65" i="1" s="1"/>
  <c r="G65" i="1" s="1"/>
  <c r="F64" i="1"/>
  <c r="F90" i="2" l="1"/>
  <c r="N85" i="2"/>
  <c r="O85" i="2"/>
  <c r="G86" i="2"/>
  <c r="I86" i="2" s="1"/>
  <c r="K86" i="2" s="1"/>
  <c r="H86" i="2"/>
  <c r="J86" i="2" s="1"/>
  <c r="M86" i="2" s="1"/>
  <c r="P86" i="2" s="1"/>
  <c r="A88" i="2"/>
  <c r="D87" i="2"/>
  <c r="B87" i="2"/>
  <c r="A249" i="2"/>
  <c r="B248" i="2"/>
  <c r="D248" i="2"/>
  <c r="O246" i="2"/>
  <c r="N246" i="2"/>
  <c r="H247" i="2"/>
  <c r="G247" i="2"/>
  <c r="I247" i="2" s="1"/>
  <c r="K247" i="2" s="1"/>
  <c r="E66" i="1"/>
  <c r="B67" i="1"/>
  <c r="C66" i="1"/>
  <c r="D66" i="1" s="1"/>
  <c r="F65" i="1"/>
  <c r="G66" i="1" l="1"/>
  <c r="F91" i="2"/>
  <c r="H87" i="2"/>
  <c r="J87" i="2" s="1"/>
  <c r="M87" i="2" s="1"/>
  <c r="P87" i="2" s="1"/>
  <c r="G87" i="2"/>
  <c r="I87" i="2" s="1"/>
  <c r="K87" i="2" s="1"/>
  <c r="O86" i="2"/>
  <c r="N86" i="2"/>
  <c r="A89" i="2"/>
  <c r="B88" i="2"/>
  <c r="D88" i="2"/>
  <c r="N247" i="2"/>
  <c r="O247" i="2"/>
  <c r="H248" i="2"/>
  <c r="G248" i="2"/>
  <c r="I248" i="2" s="1"/>
  <c r="K248" i="2" s="1"/>
  <c r="A250" i="2"/>
  <c r="B249" i="2"/>
  <c r="D249" i="2"/>
  <c r="E67" i="1"/>
  <c r="B68" i="1"/>
  <c r="C67" i="1"/>
  <c r="D67" i="1" s="1"/>
  <c r="G67" i="1" s="1"/>
  <c r="F66" i="1"/>
  <c r="F92" i="2" l="1"/>
  <c r="H88" i="2"/>
  <c r="J88" i="2" s="1"/>
  <c r="M88" i="2" s="1"/>
  <c r="P88" i="2" s="1"/>
  <c r="G88" i="2"/>
  <c r="I88" i="2" s="1"/>
  <c r="K88" i="2" s="1"/>
  <c r="A90" i="2"/>
  <c r="B89" i="2"/>
  <c r="D89" i="2"/>
  <c r="N87" i="2"/>
  <c r="O87" i="2"/>
  <c r="A251" i="2"/>
  <c r="B250" i="2"/>
  <c r="D250" i="2"/>
  <c r="H249" i="2"/>
  <c r="G249" i="2"/>
  <c r="I249" i="2" s="1"/>
  <c r="K249" i="2" s="1"/>
  <c r="O248" i="2"/>
  <c r="N248" i="2"/>
  <c r="E68" i="1"/>
  <c r="B69" i="1"/>
  <c r="C68" i="1"/>
  <c r="D68" i="1" s="1"/>
  <c r="F67" i="1"/>
  <c r="G68" i="1" l="1"/>
  <c r="F93" i="2"/>
  <c r="G89" i="2"/>
  <c r="I89" i="2" s="1"/>
  <c r="K89" i="2" s="1"/>
  <c r="H89" i="2"/>
  <c r="J89" i="2" s="1"/>
  <c r="M89" i="2" s="1"/>
  <c r="P89" i="2" s="1"/>
  <c r="A91" i="2"/>
  <c r="B90" i="2"/>
  <c r="D90" i="2"/>
  <c r="O88" i="2"/>
  <c r="N88" i="2"/>
  <c r="G250" i="2"/>
  <c r="I250" i="2" s="1"/>
  <c r="K250" i="2" s="1"/>
  <c r="H250" i="2"/>
  <c r="N249" i="2"/>
  <c r="O249" i="2"/>
  <c r="A252" i="2"/>
  <c r="B251" i="2"/>
  <c r="D251" i="2"/>
  <c r="E69" i="1"/>
  <c r="B70" i="1"/>
  <c r="C69" i="1"/>
  <c r="D69" i="1" s="1"/>
  <c r="G69" i="1" s="1"/>
  <c r="F68" i="1"/>
  <c r="F94" i="2" l="1"/>
  <c r="G90" i="2"/>
  <c r="I90" i="2" s="1"/>
  <c r="K90" i="2" s="1"/>
  <c r="H90" i="2"/>
  <c r="J90" i="2" s="1"/>
  <c r="M90" i="2" s="1"/>
  <c r="P90" i="2" s="1"/>
  <c r="A92" i="2"/>
  <c r="B91" i="2"/>
  <c r="D91" i="2"/>
  <c r="N89" i="2"/>
  <c r="O89" i="2"/>
  <c r="A253" i="2"/>
  <c r="B252" i="2"/>
  <c r="D252" i="2"/>
  <c r="G251" i="2"/>
  <c r="I251" i="2" s="1"/>
  <c r="K251" i="2" s="1"/>
  <c r="H251" i="2"/>
  <c r="O250" i="2"/>
  <c r="N250" i="2"/>
  <c r="E70" i="1"/>
  <c r="B71" i="1"/>
  <c r="C70" i="1"/>
  <c r="D70" i="1" s="1"/>
  <c r="F69" i="1"/>
  <c r="G70" i="1" l="1"/>
  <c r="F95" i="2"/>
  <c r="G91" i="2"/>
  <c r="I91" i="2" s="1"/>
  <c r="K91" i="2" s="1"/>
  <c r="H91" i="2"/>
  <c r="J91" i="2" s="1"/>
  <c r="M91" i="2" s="1"/>
  <c r="P91" i="2" s="1"/>
  <c r="A93" i="2"/>
  <c r="B92" i="2"/>
  <c r="D92" i="2"/>
  <c r="O90" i="2"/>
  <c r="N90" i="2"/>
  <c r="N251" i="2"/>
  <c r="O251" i="2"/>
  <c r="G252" i="2"/>
  <c r="I252" i="2" s="1"/>
  <c r="K252" i="2" s="1"/>
  <c r="H252" i="2"/>
  <c r="A254" i="2"/>
  <c r="B253" i="2"/>
  <c r="D253" i="2"/>
  <c r="E71" i="1"/>
  <c r="B72" i="1"/>
  <c r="C71" i="1"/>
  <c r="D71" i="1" s="1"/>
  <c r="F70" i="1"/>
  <c r="F96" i="2" l="1"/>
  <c r="H92" i="2"/>
  <c r="J92" i="2" s="1"/>
  <c r="M92" i="2" s="1"/>
  <c r="P92" i="2" s="1"/>
  <c r="G92" i="2"/>
  <c r="I92" i="2" s="1"/>
  <c r="K92" i="2" s="1"/>
  <c r="A94" i="2"/>
  <c r="D93" i="2"/>
  <c r="B93" i="2"/>
  <c r="N91" i="2"/>
  <c r="O91" i="2"/>
  <c r="G253" i="2"/>
  <c r="I253" i="2" s="1"/>
  <c r="K253" i="2" s="1"/>
  <c r="H253" i="2"/>
  <c r="A255" i="2"/>
  <c r="B254" i="2"/>
  <c r="D254" i="2"/>
  <c r="N252" i="2"/>
  <c r="O252" i="2"/>
  <c r="G71" i="1"/>
  <c r="E72" i="1"/>
  <c r="B73" i="1"/>
  <c r="C72" i="1"/>
  <c r="D72" i="1" s="1"/>
  <c r="G72" i="1" s="1"/>
  <c r="F71" i="1"/>
  <c r="F97" i="2" l="1"/>
  <c r="H93" i="2"/>
  <c r="J93" i="2" s="1"/>
  <c r="M93" i="2" s="1"/>
  <c r="P93" i="2" s="1"/>
  <c r="G93" i="2"/>
  <c r="I93" i="2" s="1"/>
  <c r="K93" i="2" s="1"/>
  <c r="A95" i="2"/>
  <c r="B94" i="2"/>
  <c r="D94" i="2"/>
  <c r="N92" i="2"/>
  <c r="O92" i="2"/>
  <c r="H254" i="2"/>
  <c r="G254" i="2"/>
  <c r="I254" i="2" s="1"/>
  <c r="K254" i="2" s="1"/>
  <c r="A256" i="2"/>
  <c r="B255" i="2"/>
  <c r="D255" i="2"/>
  <c r="O253" i="2"/>
  <c r="N253" i="2"/>
  <c r="E73" i="1"/>
  <c r="B74" i="1"/>
  <c r="C73" i="1"/>
  <c r="D73" i="1" s="1"/>
  <c r="F72" i="1"/>
  <c r="F98" i="2" l="1"/>
  <c r="G94" i="2"/>
  <c r="I94" i="2" s="1"/>
  <c r="K94" i="2" s="1"/>
  <c r="H94" i="2"/>
  <c r="J94" i="2" s="1"/>
  <c r="M94" i="2" s="1"/>
  <c r="P94" i="2" s="1"/>
  <c r="A96" i="2"/>
  <c r="D95" i="2"/>
  <c r="B95" i="2"/>
  <c r="N93" i="2"/>
  <c r="O93" i="2"/>
  <c r="H255" i="2"/>
  <c r="G255" i="2"/>
  <c r="I255" i="2" s="1"/>
  <c r="K255" i="2" s="1"/>
  <c r="A257" i="2"/>
  <c r="D256" i="2"/>
  <c r="B256" i="2"/>
  <c r="N254" i="2"/>
  <c r="O254" i="2"/>
  <c r="G73" i="1"/>
  <c r="E74" i="1"/>
  <c r="B75" i="1"/>
  <c r="C74" i="1"/>
  <c r="D74" i="1" s="1"/>
  <c r="G74" i="1" s="1"/>
  <c r="F73" i="1"/>
  <c r="F99" i="2" l="1"/>
  <c r="H95" i="2"/>
  <c r="J95" i="2" s="1"/>
  <c r="M95" i="2" s="1"/>
  <c r="P95" i="2" s="1"/>
  <c r="G95" i="2"/>
  <c r="I95" i="2" s="1"/>
  <c r="K95" i="2" s="1"/>
  <c r="A97" i="2"/>
  <c r="B96" i="2"/>
  <c r="D96" i="2"/>
  <c r="O94" i="2"/>
  <c r="N94" i="2"/>
  <c r="H256" i="2"/>
  <c r="G256" i="2"/>
  <c r="I256" i="2" s="1"/>
  <c r="K256" i="2" s="1"/>
  <c r="A258" i="2"/>
  <c r="B257" i="2"/>
  <c r="D257" i="2"/>
  <c r="N255" i="2"/>
  <c r="O255" i="2"/>
  <c r="E75" i="1"/>
  <c r="B76" i="1"/>
  <c r="C75" i="1"/>
  <c r="D75" i="1" s="1"/>
  <c r="F74" i="1"/>
  <c r="G75" i="1" l="1"/>
  <c r="F100" i="2"/>
  <c r="H96" i="2"/>
  <c r="J96" i="2" s="1"/>
  <c r="M96" i="2" s="1"/>
  <c r="P96" i="2" s="1"/>
  <c r="G96" i="2"/>
  <c r="I96" i="2" s="1"/>
  <c r="K96" i="2" s="1"/>
  <c r="A98" i="2"/>
  <c r="B97" i="2"/>
  <c r="D97" i="2"/>
  <c r="N95" i="2"/>
  <c r="O95" i="2"/>
  <c r="G257" i="2"/>
  <c r="I257" i="2" s="1"/>
  <c r="K257" i="2" s="1"/>
  <c r="H257" i="2"/>
  <c r="A259" i="2"/>
  <c r="B258" i="2"/>
  <c r="D258" i="2"/>
  <c r="N256" i="2"/>
  <c r="O256" i="2"/>
  <c r="E76" i="1"/>
  <c r="B77" i="1"/>
  <c r="C76" i="1"/>
  <c r="D76" i="1" s="1"/>
  <c r="G76" i="1" s="1"/>
  <c r="F75" i="1"/>
  <c r="F101" i="2" l="1"/>
  <c r="G97" i="2"/>
  <c r="I97" i="2" s="1"/>
  <c r="K97" i="2" s="1"/>
  <c r="H97" i="2"/>
  <c r="J97" i="2" s="1"/>
  <c r="M97" i="2" s="1"/>
  <c r="P97" i="2" s="1"/>
  <c r="A99" i="2"/>
  <c r="D98" i="2"/>
  <c r="B98" i="2"/>
  <c r="N96" i="2"/>
  <c r="O96" i="2"/>
  <c r="G258" i="2"/>
  <c r="I258" i="2" s="1"/>
  <c r="K258" i="2" s="1"/>
  <c r="H258" i="2"/>
  <c r="A260" i="2"/>
  <c r="D259" i="2"/>
  <c r="B259" i="2"/>
  <c r="O257" i="2"/>
  <c r="N257" i="2"/>
  <c r="E77" i="1"/>
  <c r="B78" i="1"/>
  <c r="C77" i="1"/>
  <c r="D77" i="1" s="1"/>
  <c r="F76" i="1"/>
  <c r="G77" i="1" l="1"/>
  <c r="F102" i="2"/>
  <c r="G98" i="2"/>
  <c r="I98" i="2" s="1"/>
  <c r="K98" i="2" s="1"/>
  <c r="H98" i="2"/>
  <c r="J98" i="2" s="1"/>
  <c r="M98" i="2" s="1"/>
  <c r="P98" i="2" s="1"/>
  <c r="A100" i="2"/>
  <c r="D99" i="2"/>
  <c r="B99" i="2"/>
  <c r="O97" i="2"/>
  <c r="N97" i="2"/>
  <c r="G259" i="2"/>
  <c r="I259" i="2" s="1"/>
  <c r="K259" i="2" s="1"/>
  <c r="H259" i="2"/>
  <c r="A261" i="2"/>
  <c r="D260" i="2"/>
  <c r="B260" i="2"/>
  <c r="O258" i="2"/>
  <c r="N258" i="2"/>
  <c r="E78" i="1"/>
  <c r="B79" i="1"/>
  <c r="C78" i="1"/>
  <c r="D78" i="1" s="1"/>
  <c r="F77" i="1"/>
  <c r="G78" i="1" l="1"/>
  <c r="F103" i="2"/>
  <c r="G99" i="2"/>
  <c r="I99" i="2" s="1"/>
  <c r="K99" i="2" s="1"/>
  <c r="H99" i="2"/>
  <c r="J99" i="2" s="1"/>
  <c r="M99" i="2" s="1"/>
  <c r="P99" i="2" s="1"/>
  <c r="A101" i="2"/>
  <c r="B100" i="2"/>
  <c r="D100" i="2"/>
  <c r="N98" i="2"/>
  <c r="O98" i="2"/>
  <c r="H260" i="2"/>
  <c r="G260" i="2"/>
  <c r="I260" i="2" s="1"/>
  <c r="K260" i="2" s="1"/>
  <c r="A262" i="2"/>
  <c r="B261" i="2"/>
  <c r="D261" i="2"/>
  <c r="O259" i="2"/>
  <c r="N259" i="2"/>
  <c r="E79" i="1"/>
  <c r="B80" i="1"/>
  <c r="C79" i="1"/>
  <c r="D79" i="1" s="1"/>
  <c r="G79" i="1" s="1"/>
  <c r="F78" i="1"/>
  <c r="F104" i="2" l="1"/>
  <c r="H100" i="2"/>
  <c r="J100" i="2" s="1"/>
  <c r="M100" i="2" s="1"/>
  <c r="P100" i="2" s="1"/>
  <c r="G100" i="2"/>
  <c r="I100" i="2" s="1"/>
  <c r="K100" i="2" s="1"/>
  <c r="A102" i="2"/>
  <c r="B101" i="2"/>
  <c r="D101" i="2"/>
  <c r="N99" i="2"/>
  <c r="O99" i="2"/>
  <c r="A263" i="2"/>
  <c r="D262" i="2"/>
  <c r="B262" i="2"/>
  <c r="G261" i="2"/>
  <c r="I261" i="2" s="1"/>
  <c r="K261" i="2" s="1"/>
  <c r="H261" i="2"/>
  <c r="N260" i="2"/>
  <c r="O260" i="2"/>
  <c r="E80" i="1"/>
  <c r="B81" i="1"/>
  <c r="C80" i="1"/>
  <c r="D80" i="1" s="1"/>
  <c r="F79" i="1"/>
  <c r="G80" i="1" l="1"/>
  <c r="F105" i="2"/>
  <c r="A103" i="2"/>
  <c r="D102" i="2"/>
  <c r="B102" i="2"/>
  <c r="O100" i="2"/>
  <c r="N100" i="2"/>
  <c r="G101" i="2"/>
  <c r="I101" i="2" s="1"/>
  <c r="K101" i="2" s="1"/>
  <c r="H101" i="2"/>
  <c r="J101" i="2" s="1"/>
  <c r="M101" i="2" s="1"/>
  <c r="P101" i="2" s="1"/>
  <c r="H262" i="2"/>
  <c r="G262" i="2"/>
  <c r="I262" i="2" s="1"/>
  <c r="K262" i="2" s="1"/>
  <c r="N261" i="2"/>
  <c r="O261" i="2"/>
  <c r="A264" i="2"/>
  <c r="B263" i="2"/>
  <c r="D263" i="2"/>
  <c r="E81" i="1"/>
  <c r="B82" i="1"/>
  <c r="C81" i="1"/>
  <c r="D81" i="1" s="1"/>
  <c r="G81" i="1" s="1"/>
  <c r="F80" i="1"/>
  <c r="F106" i="2" l="1"/>
  <c r="N101" i="2"/>
  <c r="O101" i="2"/>
  <c r="H102" i="2"/>
  <c r="J102" i="2" s="1"/>
  <c r="M102" i="2" s="1"/>
  <c r="P102" i="2" s="1"/>
  <c r="G102" i="2"/>
  <c r="I102" i="2" s="1"/>
  <c r="K102" i="2" s="1"/>
  <c r="A104" i="2"/>
  <c r="B103" i="2"/>
  <c r="D103" i="2"/>
  <c r="A265" i="2"/>
  <c r="B264" i="2"/>
  <c r="D264" i="2"/>
  <c r="H263" i="2"/>
  <c r="G263" i="2"/>
  <c r="I263" i="2" s="1"/>
  <c r="K263" i="2" s="1"/>
  <c r="N262" i="2"/>
  <c r="O262" i="2"/>
  <c r="E82" i="1"/>
  <c r="B83" i="1"/>
  <c r="C82" i="1"/>
  <c r="D82" i="1" s="1"/>
  <c r="F81" i="1"/>
  <c r="G82" i="1" l="1"/>
  <c r="F107" i="2"/>
  <c r="G103" i="2"/>
  <c r="I103" i="2" s="1"/>
  <c r="K103" i="2" s="1"/>
  <c r="H103" i="2"/>
  <c r="J103" i="2" s="1"/>
  <c r="M103" i="2" s="1"/>
  <c r="P103" i="2" s="1"/>
  <c r="A105" i="2"/>
  <c r="D104" i="2"/>
  <c r="B104" i="2"/>
  <c r="N102" i="2"/>
  <c r="O102" i="2"/>
  <c r="N263" i="2"/>
  <c r="O263" i="2"/>
  <c r="H264" i="2"/>
  <c r="G264" i="2"/>
  <c r="I264" i="2" s="1"/>
  <c r="K264" i="2" s="1"/>
  <c r="A266" i="2"/>
  <c r="B265" i="2"/>
  <c r="D265" i="2"/>
  <c r="E83" i="1"/>
  <c r="B84" i="1"/>
  <c r="C83" i="1"/>
  <c r="D83" i="1" s="1"/>
  <c r="G83" i="1" s="1"/>
  <c r="F82" i="1"/>
  <c r="F108" i="2" l="1"/>
  <c r="H104" i="2"/>
  <c r="J104" i="2" s="1"/>
  <c r="M104" i="2" s="1"/>
  <c r="P104" i="2" s="1"/>
  <c r="G104" i="2"/>
  <c r="I104" i="2" s="1"/>
  <c r="K104" i="2" s="1"/>
  <c r="A106" i="2"/>
  <c r="B105" i="2"/>
  <c r="D105" i="2"/>
  <c r="N103" i="2"/>
  <c r="O103" i="2"/>
  <c r="O264" i="2"/>
  <c r="N264" i="2"/>
  <c r="G265" i="2"/>
  <c r="I265" i="2" s="1"/>
  <c r="K265" i="2" s="1"/>
  <c r="H265" i="2"/>
  <c r="A267" i="2"/>
  <c r="D266" i="2"/>
  <c r="B266" i="2"/>
  <c r="E84" i="1"/>
  <c r="B85" i="1"/>
  <c r="C84" i="1"/>
  <c r="D84" i="1" s="1"/>
  <c r="F83" i="1"/>
  <c r="G84" i="1" l="1"/>
  <c r="F109" i="2"/>
  <c r="G105" i="2"/>
  <c r="I105" i="2" s="1"/>
  <c r="K105" i="2" s="1"/>
  <c r="H105" i="2"/>
  <c r="J105" i="2" s="1"/>
  <c r="M105" i="2" s="1"/>
  <c r="P105" i="2" s="1"/>
  <c r="A107" i="2"/>
  <c r="B106" i="2"/>
  <c r="D106" i="2"/>
  <c r="N104" i="2"/>
  <c r="O104" i="2"/>
  <c r="H266" i="2"/>
  <c r="G266" i="2"/>
  <c r="I266" i="2" s="1"/>
  <c r="K266" i="2" s="1"/>
  <c r="A268" i="2"/>
  <c r="B267" i="2"/>
  <c r="D267" i="2"/>
  <c r="N265" i="2"/>
  <c r="O265" i="2"/>
  <c r="E85" i="1"/>
  <c r="B86" i="1"/>
  <c r="C85" i="1"/>
  <c r="D85" i="1" s="1"/>
  <c r="G85" i="1" s="1"/>
  <c r="F84" i="1"/>
  <c r="F110" i="2" l="1"/>
  <c r="H106" i="2"/>
  <c r="J106" i="2" s="1"/>
  <c r="M106" i="2" s="1"/>
  <c r="P106" i="2" s="1"/>
  <c r="G106" i="2"/>
  <c r="I106" i="2" s="1"/>
  <c r="K106" i="2" s="1"/>
  <c r="A108" i="2"/>
  <c r="B107" i="2"/>
  <c r="D107" i="2"/>
  <c r="O105" i="2"/>
  <c r="N105" i="2"/>
  <c r="A269" i="2"/>
  <c r="B268" i="2"/>
  <c r="D268" i="2"/>
  <c r="G267" i="2"/>
  <c r="I267" i="2" s="1"/>
  <c r="K267" i="2" s="1"/>
  <c r="H267" i="2"/>
  <c r="N266" i="2"/>
  <c r="O266" i="2"/>
  <c r="E86" i="1"/>
  <c r="B87" i="1"/>
  <c r="C86" i="1"/>
  <c r="D86" i="1" s="1"/>
  <c r="F85" i="1"/>
  <c r="G86" i="1" l="1"/>
  <c r="F111" i="2"/>
  <c r="A109" i="2"/>
  <c r="D108" i="2"/>
  <c r="B108" i="2"/>
  <c r="N106" i="2"/>
  <c r="O106" i="2"/>
  <c r="G107" i="2"/>
  <c r="I107" i="2" s="1"/>
  <c r="K107" i="2" s="1"/>
  <c r="H107" i="2"/>
  <c r="J107" i="2" s="1"/>
  <c r="M107" i="2" s="1"/>
  <c r="P107" i="2" s="1"/>
  <c r="N267" i="2"/>
  <c r="O267" i="2"/>
  <c r="G268" i="2"/>
  <c r="I268" i="2" s="1"/>
  <c r="K268" i="2" s="1"/>
  <c r="H268" i="2"/>
  <c r="A270" i="2"/>
  <c r="B269" i="2"/>
  <c r="D269" i="2"/>
  <c r="E87" i="1"/>
  <c r="B88" i="1"/>
  <c r="C87" i="1"/>
  <c r="D87" i="1" s="1"/>
  <c r="G87" i="1" s="1"/>
  <c r="F86" i="1"/>
  <c r="F112" i="2" l="1"/>
  <c r="O107" i="2"/>
  <c r="N107" i="2"/>
  <c r="G108" i="2"/>
  <c r="I108" i="2" s="1"/>
  <c r="K108" i="2" s="1"/>
  <c r="H108" i="2"/>
  <c r="J108" i="2" s="1"/>
  <c r="M108" i="2" s="1"/>
  <c r="P108" i="2" s="1"/>
  <c r="A110" i="2"/>
  <c r="B109" i="2"/>
  <c r="D109" i="2"/>
  <c r="G269" i="2"/>
  <c r="I269" i="2" s="1"/>
  <c r="K269" i="2" s="1"/>
  <c r="H269" i="2"/>
  <c r="A271" i="2"/>
  <c r="B270" i="2"/>
  <c r="D270" i="2"/>
  <c r="O268" i="2"/>
  <c r="N268" i="2"/>
  <c r="E88" i="1"/>
  <c r="B89" i="1"/>
  <c r="C88" i="1"/>
  <c r="D88" i="1" s="1"/>
  <c r="F87" i="1"/>
  <c r="G88" i="1" l="1"/>
  <c r="F113" i="2"/>
  <c r="N108" i="2"/>
  <c r="O108" i="2"/>
  <c r="A111" i="2"/>
  <c r="D110" i="2"/>
  <c r="B110" i="2"/>
  <c r="H109" i="2"/>
  <c r="J109" i="2" s="1"/>
  <c r="M109" i="2" s="1"/>
  <c r="P109" i="2" s="1"/>
  <c r="G109" i="2"/>
  <c r="I109" i="2" s="1"/>
  <c r="K109" i="2" s="1"/>
  <c r="A272" i="2"/>
  <c r="D271" i="2"/>
  <c r="B271" i="2"/>
  <c r="H270" i="2"/>
  <c r="G270" i="2"/>
  <c r="I270" i="2" s="1"/>
  <c r="K270" i="2" s="1"/>
  <c r="O269" i="2"/>
  <c r="N269" i="2"/>
  <c r="E89" i="1"/>
  <c r="B90" i="1"/>
  <c r="C89" i="1"/>
  <c r="D89" i="1" s="1"/>
  <c r="G89" i="1" s="1"/>
  <c r="F88" i="1"/>
  <c r="F114" i="2" l="1"/>
  <c r="H110" i="2"/>
  <c r="J110" i="2" s="1"/>
  <c r="M110" i="2" s="1"/>
  <c r="P110" i="2" s="1"/>
  <c r="G110" i="2"/>
  <c r="I110" i="2" s="1"/>
  <c r="K110" i="2" s="1"/>
  <c r="O109" i="2"/>
  <c r="N109" i="2"/>
  <c r="A112" i="2"/>
  <c r="B111" i="2"/>
  <c r="D111" i="2"/>
  <c r="N270" i="2"/>
  <c r="O270" i="2"/>
  <c r="H271" i="2"/>
  <c r="G271" i="2"/>
  <c r="I271" i="2" s="1"/>
  <c r="K271" i="2" s="1"/>
  <c r="A273" i="2"/>
  <c r="B272" i="2"/>
  <c r="D272" i="2"/>
  <c r="E90" i="1"/>
  <c r="B91" i="1"/>
  <c r="C90" i="1"/>
  <c r="D90" i="1" s="1"/>
  <c r="F89" i="1"/>
  <c r="G90" i="1" l="1"/>
  <c r="F115" i="2"/>
  <c r="G111" i="2"/>
  <c r="I111" i="2" s="1"/>
  <c r="K111" i="2" s="1"/>
  <c r="H111" i="2"/>
  <c r="J111" i="2" s="1"/>
  <c r="M111" i="2" s="1"/>
  <c r="P111" i="2" s="1"/>
  <c r="A113" i="2"/>
  <c r="B112" i="2"/>
  <c r="D112" i="2"/>
  <c r="O110" i="2"/>
  <c r="N110" i="2"/>
  <c r="A274" i="2"/>
  <c r="B273" i="2"/>
  <c r="D273" i="2"/>
  <c r="H272" i="2"/>
  <c r="G272" i="2"/>
  <c r="I272" i="2" s="1"/>
  <c r="K272" i="2" s="1"/>
  <c r="O271" i="2"/>
  <c r="N271" i="2"/>
  <c r="E91" i="1"/>
  <c r="B92" i="1"/>
  <c r="C91" i="1"/>
  <c r="D91" i="1" s="1"/>
  <c r="G91" i="1" s="1"/>
  <c r="F90" i="1"/>
  <c r="F116" i="2" l="1"/>
  <c r="H112" i="2"/>
  <c r="J112" i="2" s="1"/>
  <c r="M112" i="2" s="1"/>
  <c r="P112" i="2" s="1"/>
  <c r="G112" i="2"/>
  <c r="I112" i="2" s="1"/>
  <c r="K112" i="2" s="1"/>
  <c r="A114" i="2"/>
  <c r="B113" i="2"/>
  <c r="D113" i="2"/>
  <c r="N111" i="2"/>
  <c r="O111" i="2"/>
  <c r="G273" i="2"/>
  <c r="I273" i="2" s="1"/>
  <c r="K273" i="2" s="1"/>
  <c r="H273" i="2"/>
  <c r="N272" i="2"/>
  <c r="O272" i="2"/>
  <c r="A275" i="2"/>
  <c r="B274" i="2"/>
  <c r="D274" i="2"/>
  <c r="E92" i="1"/>
  <c r="B93" i="1"/>
  <c r="C92" i="1"/>
  <c r="D92" i="1" s="1"/>
  <c r="F91" i="1"/>
  <c r="G92" i="1" l="1"/>
  <c r="F117" i="2"/>
  <c r="H113" i="2"/>
  <c r="J113" i="2" s="1"/>
  <c r="M113" i="2" s="1"/>
  <c r="P113" i="2" s="1"/>
  <c r="G113" i="2"/>
  <c r="I113" i="2" s="1"/>
  <c r="K113" i="2" s="1"/>
  <c r="A115" i="2"/>
  <c r="B114" i="2"/>
  <c r="D114" i="2"/>
  <c r="O112" i="2"/>
  <c r="N112" i="2"/>
  <c r="G274" i="2"/>
  <c r="I274" i="2" s="1"/>
  <c r="K274" i="2" s="1"/>
  <c r="H274" i="2"/>
  <c r="A276" i="2"/>
  <c r="D275" i="2"/>
  <c r="B275" i="2"/>
  <c r="O273" i="2"/>
  <c r="N273" i="2"/>
  <c r="E93" i="1"/>
  <c r="B94" i="1"/>
  <c r="C93" i="1"/>
  <c r="D93" i="1" s="1"/>
  <c r="F92" i="1"/>
  <c r="G93" i="1" l="1"/>
  <c r="F118" i="2"/>
  <c r="A116" i="2"/>
  <c r="B115" i="2"/>
  <c r="D115" i="2"/>
  <c r="G114" i="2"/>
  <c r="I114" i="2" s="1"/>
  <c r="K114" i="2" s="1"/>
  <c r="H114" i="2"/>
  <c r="J114" i="2" s="1"/>
  <c r="M114" i="2" s="1"/>
  <c r="P114" i="2" s="1"/>
  <c r="N113" i="2"/>
  <c r="O113" i="2"/>
  <c r="A277" i="2"/>
  <c r="B276" i="2"/>
  <c r="D276" i="2"/>
  <c r="G275" i="2"/>
  <c r="I275" i="2" s="1"/>
  <c r="K275" i="2" s="1"/>
  <c r="H275" i="2"/>
  <c r="N274" i="2"/>
  <c r="O274" i="2"/>
  <c r="E94" i="1"/>
  <c r="B95" i="1"/>
  <c r="C94" i="1"/>
  <c r="D94" i="1" s="1"/>
  <c r="G94" i="1" s="1"/>
  <c r="F93" i="1"/>
  <c r="F119" i="2" l="1"/>
  <c r="O114" i="2"/>
  <c r="N114" i="2"/>
  <c r="G115" i="2"/>
  <c r="I115" i="2" s="1"/>
  <c r="K115" i="2" s="1"/>
  <c r="H115" i="2"/>
  <c r="J115" i="2" s="1"/>
  <c r="M115" i="2" s="1"/>
  <c r="P115" i="2" s="1"/>
  <c r="A117" i="2"/>
  <c r="B116" i="2"/>
  <c r="D116" i="2"/>
  <c r="N275" i="2"/>
  <c r="O275" i="2"/>
  <c r="G276" i="2"/>
  <c r="I276" i="2" s="1"/>
  <c r="K276" i="2" s="1"/>
  <c r="H276" i="2"/>
  <c r="A278" i="2"/>
  <c r="D277" i="2"/>
  <c r="B277" i="2"/>
  <c r="E95" i="1"/>
  <c r="B96" i="1"/>
  <c r="C95" i="1"/>
  <c r="D95" i="1" s="1"/>
  <c r="F94" i="1"/>
  <c r="G95" i="1" l="1"/>
  <c r="F120" i="2"/>
  <c r="A118" i="2"/>
  <c r="B117" i="2"/>
  <c r="D117" i="2"/>
  <c r="O115" i="2"/>
  <c r="N115" i="2"/>
  <c r="H116" i="2"/>
  <c r="J116" i="2" s="1"/>
  <c r="M116" i="2" s="1"/>
  <c r="P116" i="2" s="1"/>
  <c r="G116" i="2"/>
  <c r="I116" i="2" s="1"/>
  <c r="K116" i="2" s="1"/>
  <c r="O276" i="2"/>
  <c r="N276" i="2"/>
  <c r="H277" i="2"/>
  <c r="G277" i="2"/>
  <c r="I277" i="2" s="1"/>
  <c r="K277" i="2" s="1"/>
  <c r="A279" i="2"/>
  <c r="B278" i="2"/>
  <c r="D278" i="2"/>
  <c r="E96" i="1"/>
  <c r="B97" i="1"/>
  <c r="C96" i="1"/>
  <c r="D96" i="1" s="1"/>
  <c r="F95" i="1"/>
  <c r="F121" i="2" l="1"/>
  <c r="N116" i="2"/>
  <c r="O116" i="2"/>
  <c r="G117" i="2"/>
  <c r="I117" i="2" s="1"/>
  <c r="K117" i="2" s="1"/>
  <c r="H117" i="2"/>
  <c r="J117" i="2" s="1"/>
  <c r="M117" i="2" s="1"/>
  <c r="P117" i="2" s="1"/>
  <c r="A119" i="2"/>
  <c r="B118" i="2"/>
  <c r="D118" i="2"/>
  <c r="H278" i="2"/>
  <c r="G278" i="2"/>
  <c r="I278" i="2" s="1"/>
  <c r="K278" i="2" s="1"/>
  <c r="A280" i="2"/>
  <c r="D279" i="2"/>
  <c r="B279" i="2"/>
  <c r="N277" i="2"/>
  <c r="O277" i="2"/>
  <c r="G96" i="1"/>
  <c r="E97" i="1"/>
  <c r="B98" i="1"/>
  <c r="C97" i="1"/>
  <c r="D97" i="1" s="1"/>
  <c r="F96" i="1"/>
  <c r="F122" i="2" l="1"/>
  <c r="G118" i="2"/>
  <c r="I118" i="2" s="1"/>
  <c r="K118" i="2" s="1"/>
  <c r="H118" i="2"/>
  <c r="J118" i="2" s="1"/>
  <c r="M118" i="2" s="1"/>
  <c r="P118" i="2" s="1"/>
  <c r="A120" i="2"/>
  <c r="B119" i="2"/>
  <c r="D119" i="2"/>
  <c r="O117" i="2"/>
  <c r="N117" i="2"/>
  <c r="H279" i="2"/>
  <c r="G279" i="2"/>
  <c r="I279" i="2" s="1"/>
  <c r="K279" i="2" s="1"/>
  <c r="A281" i="2"/>
  <c r="B280" i="2"/>
  <c r="D280" i="2"/>
  <c r="N278" i="2"/>
  <c r="O278" i="2"/>
  <c r="G97" i="1"/>
  <c r="E98" i="1"/>
  <c r="B99" i="1"/>
  <c r="C98" i="1"/>
  <c r="D98" i="1" s="1"/>
  <c r="F97" i="1"/>
  <c r="F123" i="2" l="1"/>
  <c r="G119" i="2"/>
  <c r="I119" i="2" s="1"/>
  <c r="K119" i="2" s="1"/>
  <c r="H119" i="2"/>
  <c r="J119" i="2" s="1"/>
  <c r="M119" i="2" s="1"/>
  <c r="P119" i="2" s="1"/>
  <c r="A121" i="2"/>
  <c r="D120" i="2"/>
  <c r="B120" i="2"/>
  <c r="O118" i="2"/>
  <c r="N118" i="2"/>
  <c r="H280" i="2"/>
  <c r="G280" i="2"/>
  <c r="I280" i="2" s="1"/>
  <c r="K280" i="2" s="1"/>
  <c r="A282" i="2"/>
  <c r="D281" i="2"/>
  <c r="B281" i="2"/>
  <c r="N279" i="2"/>
  <c r="O279" i="2"/>
  <c r="G98" i="1"/>
  <c r="E99" i="1"/>
  <c r="C99" i="1"/>
  <c r="D99" i="1" s="1"/>
  <c r="B100" i="1"/>
  <c r="F98" i="1"/>
  <c r="F124" i="2" l="1"/>
  <c r="H120" i="2"/>
  <c r="J120" i="2" s="1"/>
  <c r="M120" i="2" s="1"/>
  <c r="P120" i="2" s="1"/>
  <c r="G120" i="2"/>
  <c r="I120" i="2" s="1"/>
  <c r="K120" i="2" s="1"/>
  <c r="A122" i="2"/>
  <c r="D121" i="2"/>
  <c r="B121" i="2"/>
  <c r="N119" i="2"/>
  <c r="O119" i="2"/>
  <c r="H281" i="2"/>
  <c r="G281" i="2"/>
  <c r="I281" i="2" s="1"/>
  <c r="K281" i="2" s="1"/>
  <c r="A283" i="2"/>
  <c r="D282" i="2"/>
  <c r="B282" i="2"/>
  <c r="N280" i="2"/>
  <c r="O280" i="2"/>
  <c r="G99" i="1"/>
  <c r="E100" i="1"/>
  <c r="B101" i="1"/>
  <c r="C100" i="1"/>
  <c r="D100" i="1" s="1"/>
  <c r="G100" i="1" s="1"/>
  <c r="F99" i="1"/>
  <c r="F125" i="2" l="1"/>
  <c r="O120" i="2"/>
  <c r="N120" i="2"/>
  <c r="G121" i="2"/>
  <c r="I121" i="2" s="1"/>
  <c r="K121" i="2" s="1"/>
  <c r="H121" i="2"/>
  <c r="J121" i="2" s="1"/>
  <c r="M121" i="2" s="1"/>
  <c r="P121" i="2" s="1"/>
  <c r="A123" i="2"/>
  <c r="D122" i="2"/>
  <c r="B122" i="2"/>
  <c r="H282" i="2"/>
  <c r="G282" i="2"/>
  <c r="I282" i="2" s="1"/>
  <c r="K282" i="2" s="1"/>
  <c r="A284" i="2"/>
  <c r="B283" i="2"/>
  <c r="D283" i="2"/>
  <c r="N281" i="2"/>
  <c r="O281" i="2"/>
  <c r="E101" i="1"/>
  <c r="C101" i="1"/>
  <c r="D101" i="1" s="1"/>
  <c r="B102" i="1"/>
  <c r="F100" i="1"/>
  <c r="F126" i="2" l="1"/>
  <c r="G122" i="2"/>
  <c r="I122" i="2" s="1"/>
  <c r="K122" i="2" s="1"/>
  <c r="H122" i="2"/>
  <c r="J122" i="2" s="1"/>
  <c r="M122" i="2" s="1"/>
  <c r="P122" i="2" s="1"/>
  <c r="A124" i="2"/>
  <c r="D123" i="2"/>
  <c r="B123" i="2"/>
  <c r="N121" i="2"/>
  <c r="O121" i="2"/>
  <c r="O282" i="2"/>
  <c r="N282" i="2"/>
  <c r="G283" i="2"/>
  <c r="I283" i="2" s="1"/>
  <c r="K283" i="2" s="1"/>
  <c r="H283" i="2"/>
  <c r="A285" i="2"/>
  <c r="D284" i="2"/>
  <c r="B284" i="2"/>
  <c r="G101" i="1"/>
  <c r="E102" i="1"/>
  <c r="B103" i="1"/>
  <c r="C102" i="1"/>
  <c r="D102" i="1" s="1"/>
  <c r="F101" i="1"/>
  <c r="F127" i="2" l="1"/>
  <c r="G123" i="2"/>
  <c r="I123" i="2" s="1"/>
  <c r="K123" i="2" s="1"/>
  <c r="H123" i="2"/>
  <c r="J123" i="2" s="1"/>
  <c r="M123" i="2" s="1"/>
  <c r="P123" i="2" s="1"/>
  <c r="A125" i="2"/>
  <c r="D124" i="2"/>
  <c r="B124" i="2"/>
  <c r="O122" i="2"/>
  <c r="N122" i="2"/>
  <c r="H284" i="2"/>
  <c r="G284" i="2"/>
  <c r="I284" i="2" s="1"/>
  <c r="K284" i="2" s="1"/>
  <c r="A286" i="2"/>
  <c r="B285" i="2"/>
  <c r="D285" i="2"/>
  <c r="N283" i="2"/>
  <c r="O283" i="2"/>
  <c r="G102" i="1"/>
  <c r="E103" i="1"/>
  <c r="B104" i="1"/>
  <c r="C103" i="1"/>
  <c r="D103" i="1" s="1"/>
  <c r="F102" i="1"/>
  <c r="F128" i="2" l="1"/>
  <c r="H124" i="2"/>
  <c r="J124" i="2" s="1"/>
  <c r="M124" i="2" s="1"/>
  <c r="P124" i="2" s="1"/>
  <c r="G124" i="2"/>
  <c r="I124" i="2" s="1"/>
  <c r="K124" i="2" s="1"/>
  <c r="A126" i="2"/>
  <c r="D125" i="2"/>
  <c r="B125" i="2"/>
  <c r="N123" i="2"/>
  <c r="O123" i="2"/>
  <c r="G285" i="2"/>
  <c r="I285" i="2" s="1"/>
  <c r="K285" i="2" s="1"/>
  <c r="H285" i="2"/>
  <c r="A287" i="2"/>
  <c r="B286" i="2"/>
  <c r="D286" i="2"/>
  <c r="N284" i="2"/>
  <c r="O284" i="2"/>
  <c r="G103" i="1"/>
  <c r="E104" i="1"/>
  <c r="B105" i="1"/>
  <c r="C104" i="1"/>
  <c r="D104" i="1" s="1"/>
  <c r="G104" i="1" s="1"/>
  <c r="F103" i="1"/>
  <c r="F129" i="2" l="1"/>
  <c r="N124" i="2"/>
  <c r="O124" i="2"/>
  <c r="H125" i="2"/>
  <c r="J125" i="2" s="1"/>
  <c r="M125" i="2" s="1"/>
  <c r="P125" i="2" s="1"/>
  <c r="G125" i="2"/>
  <c r="I125" i="2" s="1"/>
  <c r="K125" i="2" s="1"/>
  <c r="A127" i="2"/>
  <c r="B126" i="2"/>
  <c r="D126" i="2"/>
  <c r="A288" i="2"/>
  <c r="B287" i="2"/>
  <c r="D287" i="2"/>
  <c r="H286" i="2"/>
  <c r="G286" i="2"/>
  <c r="I286" i="2" s="1"/>
  <c r="K286" i="2" s="1"/>
  <c r="O285" i="2"/>
  <c r="N285" i="2"/>
  <c r="E105" i="1"/>
  <c r="B106" i="1"/>
  <c r="C105" i="1"/>
  <c r="D105" i="1" s="1"/>
  <c r="F104" i="1"/>
  <c r="G105" i="1" l="1"/>
  <c r="F130" i="2"/>
  <c r="G126" i="2"/>
  <c r="I126" i="2" s="1"/>
  <c r="K126" i="2" s="1"/>
  <c r="H126" i="2"/>
  <c r="J126" i="2" s="1"/>
  <c r="M126" i="2" s="1"/>
  <c r="P126" i="2" s="1"/>
  <c r="N125" i="2"/>
  <c r="O125" i="2"/>
  <c r="A128" i="2"/>
  <c r="D127" i="2"/>
  <c r="B127" i="2"/>
  <c r="G287" i="2"/>
  <c r="I287" i="2" s="1"/>
  <c r="K287" i="2" s="1"/>
  <c r="H287" i="2"/>
  <c r="N286" i="2"/>
  <c r="O286" i="2"/>
  <c r="A289" i="2"/>
  <c r="B288" i="2"/>
  <c r="D288" i="2"/>
  <c r="E106" i="1"/>
  <c r="B107" i="1"/>
  <c r="C106" i="1"/>
  <c r="D106" i="1" s="1"/>
  <c r="G106" i="1" s="1"/>
  <c r="F105" i="1"/>
  <c r="F131" i="2" l="1"/>
  <c r="G127" i="2"/>
  <c r="I127" i="2" s="1"/>
  <c r="K127" i="2" s="1"/>
  <c r="H127" i="2"/>
  <c r="J127" i="2" s="1"/>
  <c r="M127" i="2" s="1"/>
  <c r="P127" i="2" s="1"/>
  <c r="A129" i="2"/>
  <c r="D128" i="2"/>
  <c r="B128" i="2"/>
  <c r="N126" i="2"/>
  <c r="O126" i="2"/>
  <c r="H288" i="2"/>
  <c r="G288" i="2"/>
  <c r="I288" i="2" s="1"/>
  <c r="K288" i="2" s="1"/>
  <c r="A290" i="2"/>
  <c r="B289" i="2"/>
  <c r="D289" i="2"/>
  <c r="N287" i="2"/>
  <c r="O287" i="2"/>
  <c r="E107" i="1"/>
  <c r="C107" i="1"/>
  <c r="D107" i="1" s="1"/>
  <c r="B108" i="1"/>
  <c r="F106" i="1"/>
  <c r="G107" i="1" l="1"/>
  <c r="F132" i="2"/>
  <c r="H128" i="2"/>
  <c r="J128" i="2" s="1"/>
  <c r="M128" i="2" s="1"/>
  <c r="P128" i="2" s="1"/>
  <c r="G128" i="2"/>
  <c r="I128" i="2" s="1"/>
  <c r="K128" i="2" s="1"/>
  <c r="A130" i="2"/>
  <c r="B129" i="2"/>
  <c r="D129" i="2"/>
  <c r="N127" i="2"/>
  <c r="O127" i="2"/>
  <c r="H289" i="2"/>
  <c r="G289" i="2"/>
  <c r="I289" i="2" s="1"/>
  <c r="K289" i="2" s="1"/>
  <c r="A291" i="2"/>
  <c r="B290" i="2"/>
  <c r="D290" i="2"/>
  <c r="O288" i="2"/>
  <c r="N288" i="2"/>
  <c r="E108" i="1"/>
  <c r="B109" i="1"/>
  <c r="C108" i="1"/>
  <c r="D108" i="1" s="1"/>
  <c r="G108" i="1" s="1"/>
  <c r="F107" i="1"/>
  <c r="F133" i="2" l="1"/>
  <c r="H129" i="2"/>
  <c r="J129" i="2" s="1"/>
  <c r="M129" i="2" s="1"/>
  <c r="P129" i="2" s="1"/>
  <c r="G129" i="2"/>
  <c r="I129" i="2" s="1"/>
  <c r="K129" i="2" s="1"/>
  <c r="A131" i="2"/>
  <c r="B130" i="2"/>
  <c r="D130" i="2"/>
  <c r="N128" i="2"/>
  <c r="O128" i="2"/>
  <c r="G290" i="2"/>
  <c r="I290" i="2" s="1"/>
  <c r="K290" i="2" s="1"/>
  <c r="H290" i="2"/>
  <c r="A292" i="2"/>
  <c r="B291" i="2"/>
  <c r="D291" i="2"/>
  <c r="N289" i="2"/>
  <c r="O289" i="2"/>
  <c r="E109" i="1"/>
  <c r="B110" i="1"/>
  <c r="C109" i="1"/>
  <c r="D109" i="1" s="1"/>
  <c r="F108" i="1"/>
  <c r="G109" i="1" l="1"/>
  <c r="F134" i="2"/>
  <c r="G130" i="2"/>
  <c r="I130" i="2" s="1"/>
  <c r="K130" i="2" s="1"/>
  <c r="H130" i="2"/>
  <c r="J130" i="2" s="1"/>
  <c r="M130" i="2" s="1"/>
  <c r="P130" i="2" s="1"/>
  <c r="A132" i="2"/>
  <c r="B131" i="2"/>
  <c r="D131" i="2"/>
  <c r="O129" i="2"/>
  <c r="N129" i="2"/>
  <c r="G291" i="2"/>
  <c r="I291" i="2" s="1"/>
  <c r="K291" i="2" s="1"/>
  <c r="H291" i="2"/>
  <c r="A293" i="2"/>
  <c r="B292" i="2"/>
  <c r="D292" i="2"/>
  <c r="N290" i="2"/>
  <c r="O290" i="2"/>
  <c r="E110" i="1"/>
  <c r="B111" i="1"/>
  <c r="C110" i="1"/>
  <c r="D110" i="1" s="1"/>
  <c r="G110" i="1" s="1"/>
  <c r="F109" i="1"/>
  <c r="F135" i="2" l="1"/>
  <c r="H131" i="2"/>
  <c r="J131" i="2" s="1"/>
  <c r="M131" i="2" s="1"/>
  <c r="P131" i="2" s="1"/>
  <c r="G131" i="2"/>
  <c r="I131" i="2" s="1"/>
  <c r="K131" i="2" s="1"/>
  <c r="A133" i="2"/>
  <c r="B132" i="2"/>
  <c r="D132" i="2"/>
  <c r="O130" i="2"/>
  <c r="N130" i="2"/>
  <c r="A294" i="2"/>
  <c r="B293" i="2"/>
  <c r="D293" i="2"/>
  <c r="G292" i="2"/>
  <c r="I292" i="2" s="1"/>
  <c r="K292" i="2" s="1"/>
  <c r="H292" i="2"/>
  <c r="O291" i="2"/>
  <c r="N291" i="2"/>
  <c r="E111" i="1"/>
  <c r="B112" i="1"/>
  <c r="C111" i="1"/>
  <c r="D111" i="1" s="1"/>
  <c r="F110" i="1"/>
  <c r="G111" i="1" l="1"/>
  <c r="F136" i="2"/>
  <c r="G132" i="2"/>
  <c r="I132" i="2" s="1"/>
  <c r="K132" i="2" s="1"/>
  <c r="H132" i="2"/>
  <c r="J132" i="2" s="1"/>
  <c r="M132" i="2" s="1"/>
  <c r="P132" i="2" s="1"/>
  <c r="A134" i="2"/>
  <c r="B133" i="2"/>
  <c r="D133" i="2"/>
  <c r="N131" i="2"/>
  <c r="O131" i="2"/>
  <c r="N292" i="2"/>
  <c r="O292" i="2"/>
  <c r="G293" i="2"/>
  <c r="I293" i="2" s="1"/>
  <c r="K293" i="2" s="1"/>
  <c r="H293" i="2"/>
  <c r="A295" i="2"/>
  <c r="B294" i="2"/>
  <c r="D294" i="2"/>
  <c r="E112" i="1"/>
  <c r="B113" i="1"/>
  <c r="C112" i="1"/>
  <c r="D112" i="1" s="1"/>
  <c r="G112" i="1" s="1"/>
  <c r="F111" i="1"/>
  <c r="F137" i="2" l="1"/>
  <c r="G133" i="2"/>
  <c r="I133" i="2" s="1"/>
  <c r="K133" i="2" s="1"/>
  <c r="H133" i="2"/>
  <c r="J133" i="2" s="1"/>
  <c r="M133" i="2" s="1"/>
  <c r="P133" i="2" s="1"/>
  <c r="A135" i="2"/>
  <c r="B134" i="2"/>
  <c r="D134" i="2"/>
  <c r="N132" i="2"/>
  <c r="O132" i="2"/>
  <c r="A296" i="2"/>
  <c r="B295" i="2"/>
  <c r="D295" i="2"/>
  <c r="N293" i="2"/>
  <c r="O293" i="2"/>
  <c r="H294" i="2"/>
  <c r="G294" i="2"/>
  <c r="I294" i="2" s="1"/>
  <c r="K294" i="2" s="1"/>
  <c r="E113" i="1"/>
  <c r="B114" i="1"/>
  <c r="C113" i="1"/>
  <c r="D113" i="1" s="1"/>
  <c r="F112" i="1"/>
  <c r="G113" i="1" l="1"/>
  <c r="F138" i="2"/>
  <c r="A136" i="2"/>
  <c r="D135" i="2"/>
  <c r="B135" i="2"/>
  <c r="G134" i="2"/>
  <c r="I134" i="2" s="1"/>
  <c r="K134" i="2" s="1"/>
  <c r="H134" i="2"/>
  <c r="J134" i="2" s="1"/>
  <c r="M134" i="2" s="1"/>
  <c r="P134" i="2" s="1"/>
  <c r="N133" i="2"/>
  <c r="O133" i="2"/>
  <c r="N294" i="2"/>
  <c r="O294" i="2"/>
  <c r="H295" i="2"/>
  <c r="G295" i="2"/>
  <c r="I295" i="2" s="1"/>
  <c r="K295" i="2" s="1"/>
  <c r="A297" i="2"/>
  <c r="D296" i="2"/>
  <c r="B296" i="2"/>
  <c r="E114" i="1"/>
  <c r="B115" i="1"/>
  <c r="C114" i="1"/>
  <c r="D114" i="1" s="1"/>
  <c r="F113" i="1"/>
  <c r="G114" i="1" l="1"/>
  <c r="F139" i="2"/>
  <c r="H135" i="2"/>
  <c r="J135" i="2" s="1"/>
  <c r="M135" i="2" s="1"/>
  <c r="P135" i="2" s="1"/>
  <c r="G135" i="2"/>
  <c r="I135" i="2" s="1"/>
  <c r="K135" i="2" s="1"/>
  <c r="O134" i="2"/>
  <c r="N134" i="2"/>
  <c r="A137" i="2"/>
  <c r="D136" i="2"/>
  <c r="B136" i="2"/>
  <c r="A298" i="2"/>
  <c r="B297" i="2"/>
  <c r="D297" i="2"/>
  <c r="H296" i="2"/>
  <c r="G296" i="2"/>
  <c r="I296" i="2" s="1"/>
  <c r="K296" i="2" s="1"/>
  <c r="O295" i="2"/>
  <c r="N295" i="2"/>
  <c r="E115" i="1"/>
  <c r="B116" i="1"/>
  <c r="C115" i="1"/>
  <c r="D115" i="1" s="1"/>
  <c r="F114" i="1"/>
  <c r="G115" i="1" l="1"/>
  <c r="F140" i="2"/>
  <c r="H136" i="2"/>
  <c r="J136" i="2" s="1"/>
  <c r="M136" i="2" s="1"/>
  <c r="P136" i="2" s="1"/>
  <c r="G136" i="2"/>
  <c r="I136" i="2" s="1"/>
  <c r="K136" i="2" s="1"/>
  <c r="A138" i="2"/>
  <c r="B137" i="2"/>
  <c r="D137" i="2"/>
  <c r="N135" i="2"/>
  <c r="O135" i="2"/>
  <c r="O296" i="2"/>
  <c r="N296" i="2"/>
  <c r="G297" i="2"/>
  <c r="I297" i="2" s="1"/>
  <c r="K297" i="2" s="1"/>
  <c r="H297" i="2"/>
  <c r="A299" i="2"/>
  <c r="B298" i="2"/>
  <c r="D298" i="2"/>
  <c r="E116" i="1"/>
  <c r="B117" i="1"/>
  <c r="C116" i="1"/>
  <c r="D116" i="1" s="1"/>
  <c r="G116" i="1" s="1"/>
  <c r="F115" i="1"/>
  <c r="F141" i="2" l="1"/>
  <c r="H137" i="2"/>
  <c r="J137" i="2" s="1"/>
  <c r="M137" i="2" s="1"/>
  <c r="P137" i="2" s="1"/>
  <c r="G137" i="2"/>
  <c r="I137" i="2" s="1"/>
  <c r="K137" i="2" s="1"/>
  <c r="A139" i="2"/>
  <c r="D138" i="2"/>
  <c r="B138" i="2"/>
  <c r="O136" i="2"/>
  <c r="N136" i="2"/>
  <c r="N297" i="2"/>
  <c r="O297" i="2"/>
  <c r="G298" i="2"/>
  <c r="I298" i="2" s="1"/>
  <c r="K298" i="2" s="1"/>
  <c r="H298" i="2"/>
  <c r="A300" i="2"/>
  <c r="B299" i="2"/>
  <c r="D299" i="2"/>
  <c r="E117" i="1"/>
  <c r="C117" i="1"/>
  <c r="D117" i="1" s="1"/>
  <c r="B118" i="1"/>
  <c r="F116" i="1"/>
  <c r="G117" i="1" l="1"/>
  <c r="F142" i="2"/>
  <c r="G138" i="2"/>
  <c r="I138" i="2" s="1"/>
  <c r="K138" i="2" s="1"/>
  <c r="H138" i="2"/>
  <c r="J138" i="2" s="1"/>
  <c r="M138" i="2" s="1"/>
  <c r="P138" i="2" s="1"/>
  <c r="A140" i="2"/>
  <c r="B139" i="2"/>
  <c r="D139" i="2"/>
  <c r="O137" i="2"/>
  <c r="N137" i="2"/>
  <c r="A301" i="2"/>
  <c r="B300" i="2"/>
  <c r="D300" i="2"/>
  <c r="O298" i="2"/>
  <c r="N298" i="2"/>
  <c r="G299" i="2"/>
  <c r="I299" i="2" s="1"/>
  <c r="K299" i="2" s="1"/>
  <c r="H299" i="2"/>
  <c r="E118" i="1"/>
  <c r="C118" i="1"/>
  <c r="D118" i="1" s="1"/>
  <c r="G118" i="1" s="1"/>
  <c r="B119" i="1"/>
  <c r="F117" i="1"/>
  <c r="F143" i="2" l="1"/>
  <c r="H139" i="2"/>
  <c r="J139" i="2" s="1"/>
  <c r="M139" i="2" s="1"/>
  <c r="P139" i="2" s="1"/>
  <c r="G139" i="2"/>
  <c r="I139" i="2" s="1"/>
  <c r="K139" i="2" s="1"/>
  <c r="A141" i="2"/>
  <c r="B140" i="2"/>
  <c r="D140" i="2"/>
  <c r="O138" i="2"/>
  <c r="N138" i="2"/>
  <c r="N299" i="2"/>
  <c r="O299" i="2"/>
  <c r="G300" i="2"/>
  <c r="I300" i="2" s="1"/>
  <c r="K300" i="2" s="1"/>
  <c r="H300" i="2"/>
  <c r="A302" i="2"/>
  <c r="B301" i="2"/>
  <c r="D301" i="2"/>
  <c r="E119" i="1"/>
  <c r="B120" i="1"/>
  <c r="C119" i="1"/>
  <c r="D119" i="1" s="1"/>
  <c r="F118" i="1"/>
  <c r="F144" i="2" l="1"/>
  <c r="G140" i="2"/>
  <c r="I140" i="2" s="1"/>
  <c r="K140" i="2" s="1"/>
  <c r="H140" i="2"/>
  <c r="J140" i="2" s="1"/>
  <c r="M140" i="2" s="1"/>
  <c r="P140" i="2" s="1"/>
  <c r="A142" i="2"/>
  <c r="D141" i="2"/>
  <c r="B141" i="2"/>
  <c r="O139" i="2"/>
  <c r="N139" i="2"/>
  <c r="G301" i="2"/>
  <c r="I301" i="2" s="1"/>
  <c r="K301" i="2" s="1"/>
  <c r="H301" i="2"/>
  <c r="A303" i="2"/>
  <c r="D302" i="2"/>
  <c r="B302" i="2"/>
  <c r="N300" i="2"/>
  <c r="O300" i="2"/>
  <c r="G119" i="1"/>
  <c r="E120" i="1"/>
  <c r="B121" i="1"/>
  <c r="C120" i="1"/>
  <c r="D120" i="1" s="1"/>
  <c r="G120" i="1" s="1"/>
  <c r="F119" i="1"/>
  <c r="F145" i="2" l="1"/>
  <c r="A143" i="2"/>
  <c r="B142" i="2"/>
  <c r="D142" i="2"/>
  <c r="G141" i="2"/>
  <c r="I141" i="2" s="1"/>
  <c r="K141" i="2" s="1"/>
  <c r="H141" i="2"/>
  <c r="J141" i="2" s="1"/>
  <c r="M141" i="2" s="1"/>
  <c r="P141" i="2" s="1"/>
  <c r="O140" i="2"/>
  <c r="N140" i="2"/>
  <c r="H302" i="2"/>
  <c r="G302" i="2"/>
  <c r="I302" i="2" s="1"/>
  <c r="K302" i="2" s="1"/>
  <c r="A304" i="2"/>
  <c r="D303" i="2"/>
  <c r="B303" i="2"/>
  <c r="N301" i="2"/>
  <c r="O301" i="2"/>
  <c r="E121" i="1"/>
  <c r="B122" i="1"/>
  <c r="C121" i="1"/>
  <c r="D121" i="1" s="1"/>
  <c r="F120" i="1"/>
  <c r="G121" i="1" l="1"/>
  <c r="F146" i="2"/>
  <c r="O141" i="2"/>
  <c r="N141" i="2"/>
  <c r="G142" i="2"/>
  <c r="I142" i="2" s="1"/>
  <c r="K142" i="2" s="1"/>
  <c r="H142" i="2"/>
  <c r="J142" i="2" s="1"/>
  <c r="M142" i="2" s="1"/>
  <c r="P142" i="2" s="1"/>
  <c r="A144" i="2"/>
  <c r="B143" i="2"/>
  <c r="D143" i="2"/>
  <c r="G303" i="2"/>
  <c r="I303" i="2" s="1"/>
  <c r="K303" i="2" s="1"/>
  <c r="H303" i="2"/>
  <c r="A305" i="2"/>
  <c r="B304" i="2"/>
  <c r="D304" i="2"/>
  <c r="O302" i="2"/>
  <c r="N302" i="2"/>
  <c r="E122" i="1"/>
  <c r="B123" i="1"/>
  <c r="C122" i="1"/>
  <c r="D122" i="1" s="1"/>
  <c r="F121" i="1"/>
  <c r="F147" i="2" l="1"/>
  <c r="N142" i="2"/>
  <c r="O142" i="2"/>
  <c r="G143" i="2"/>
  <c r="I143" i="2" s="1"/>
  <c r="K143" i="2" s="1"/>
  <c r="H143" i="2"/>
  <c r="J143" i="2" s="1"/>
  <c r="M143" i="2" s="1"/>
  <c r="P143" i="2" s="1"/>
  <c r="A145" i="2"/>
  <c r="B144" i="2"/>
  <c r="D144" i="2"/>
  <c r="A306" i="2"/>
  <c r="D305" i="2"/>
  <c r="B305" i="2"/>
  <c r="G304" i="2"/>
  <c r="I304" i="2" s="1"/>
  <c r="K304" i="2" s="1"/>
  <c r="H304" i="2"/>
  <c r="N303" i="2"/>
  <c r="O303" i="2"/>
  <c r="G122" i="1"/>
  <c r="E123" i="1"/>
  <c r="B124" i="1"/>
  <c r="C123" i="1"/>
  <c r="D123" i="1" s="1"/>
  <c r="F122" i="1"/>
  <c r="F148" i="2" l="1"/>
  <c r="G144" i="2"/>
  <c r="I144" i="2" s="1"/>
  <c r="K144" i="2" s="1"/>
  <c r="H144" i="2"/>
  <c r="J144" i="2" s="1"/>
  <c r="M144" i="2" s="1"/>
  <c r="P144" i="2" s="1"/>
  <c r="A146" i="2"/>
  <c r="D145" i="2"/>
  <c r="B145" i="2"/>
  <c r="N143" i="2"/>
  <c r="O143" i="2"/>
  <c r="O304" i="2"/>
  <c r="N304" i="2"/>
  <c r="G305" i="2"/>
  <c r="I305" i="2" s="1"/>
  <c r="K305" i="2" s="1"/>
  <c r="H305" i="2"/>
  <c r="A307" i="2"/>
  <c r="B306" i="2"/>
  <c r="D306" i="2"/>
  <c r="G123" i="1"/>
  <c r="E124" i="1"/>
  <c r="B125" i="1"/>
  <c r="C124" i="1"/>
  <c r="D124" i="1" s="1"/>
  <c r="G124" i="1" s="1"/>
  <c r="F123" i="1"/>
  <c r="F149" i="2" l="1"/>
  <c r="H145" i="2"/>
  <c r="J145" i="2" s="1"/>
  <c r="M145" i="2" s="1"/>
  <c r="P145" i="2" s="1"/>
  <c r="G145" i="2"/>
  <c r="I145" i="2" s="1"/>
  <c r="K145" i="2" s="1"/>
  <c r="A147" i="2"/>
  <c r="B146" i="2"/>
  <c r="D146" i="2"/>
  <c r="N144" i="2"/>
  <c r="O144" i="2"/>
  <c r="N305" i="2"/>
  <c r="O305" i="2"/>
  <c r="A308" i="2"/>
  <c r="B307" i="2"/>
  <c r="D307" i="2"/>
  <c r="G306" i="2"/>
  <c r="I306" i="2" s="1"/>
  <c r="K306" i="2" s="1"/>
  <c r="H306" i="2"/>
  <c r="E125" i="1"/>
  <c r="B126" i="1"/>
  <c r="C125" i="1"/>
  <c r="D125" i="1" s="1"/>
  <c r="F124" i="1"/>
  <c r="G125" i="1" l="1"/>
  <c r="F150" i="2"/>
  <c r="A148" i="2"/>
  <c r="B147" i="2"/>
  <c r="D147" i="2"/>
  <c r="N145" i="2"/>
  <c r="O145" i="2"/>
  <c r="G146" i="2"/>
  <c r="I146" i="2" s="1"/>
  <c r="K146" i="2" s="1"/>
  <c r="H146" i="2"/>
  <c r="J146" i="2" s="1"/>
  <c r="M146" i="2" s="1"/>
  <c r="P146" i="2" s="1"/>
  <c r="O306" i="2"/>
  <c r="N306" i="2"/>
  <c r="G307" i="2"/>
  <c r="I307" i="2" s="1"/>
  <c r="K307" i="2" s="1"/>
  <c r="H307" i="2"/>
  <c r="A309" i="2"/>
  <c r="D308" i="2"/>
  <c r="B308" i="2"/>
  <c r="E126" i="1"/>
  <c r="C126" i="1"/>
  <c r="D126" i="1" s="1"/>
  <c r="G126" i="1" s="1"/>
  <c r="B127" i="1"/>
  <c r="F125" i="1"/>
  <c r="F151" i="2" l="1"/>
  <c r="O146" i="2"/>
  <c r="N146" i="2"/>
  <c r="H147" i="2"/>
  <c r="J147" i="2" s="1"/>
  <c r="M147" i="2" s="1"/>
  <c r="P147" i="2" s="1"/>
  <c r="G147" i="2"/>
  <c r="I147" i="2" s="1"/>
  <c r="K147" i="2" s="1"/>
  <c r="A149" i="2"/>
  <c r="B148" i="2"/>
  <c r="D148" i="2"/>
  <c r="A310" i="2"/>
  <c r="B309" i="2"/>
  <c r="D309" i="2"/>
  <c r="G308" i="2"/>
  <c r="I308" i="2" s="1"/>
  <c r="K308" i="2" s="1"/>
  <c r="H308" i="2"/>
  <c r="N307" i="2"/>
  <c r="O307" i="2"/>
  <c r="E127" i="1"/>
  <c r="B128" i="1"/>
  <c r="C127" i="1"/>
  <c r="D127" i="1" s="1"/>
  <c r="F126" i="1"/>
  <c r="G127" i="1" l="1"/>
  <c r="F152" i="2"/>
  <c r="H148" i="2"/>
  <c r="J148" i="2" s="1"/>
  <c r="M148" i="2" s="1"/>
  <c r="P148" i="2" s="1"/>
  <c r="G148" i="2"/>
  <c r="I148" i="2" s="1"/>
  <c r="K148" i="2" s="1"/>
  <c r="A150" i="2"/>
  <c r="B149" i="2"/>
  <c r="D149" i="2"/>
  <c r="N147" i="2"/>
  <c r="O147" i="2"/>
  <c r="N308" i="2"/>
  <c r="O308" i="2"/>
  <c r="G309" i="2"/>
  <c r="I309" i="2" s="1"/>
  <c r="K309" i="2" s="1"/>
  <c r="H309" i="2"/>
  <c r="A311" i="2"/>
  <c r="B310" i="2"/>
  <c r="D310" i="2"/>
  <c r="E128" i="1"/>
  <c r="B129" i="1"/>
  <c r="C128" i="1"/>
  <c r="D128" i="1" s="1"/>
  <c r="F127" i="1"/>
  <c r="G128" i="1" l="1"/>
  <c r="F153" i="2"/>
  <c r="A151" i="2"/>
  <c r="B150" i="2"/>
  <c r="D150" i="2"/>
  <c r="G149" i="2"/>
  <c r="I149" i="2" s="1"/>
  <c r="K149" i="2" s="1"/>
  <c r="H149" i="2"/>
  <c r="J149" i="2" s="1"/>
  <c r="M149" i="2" s="1"/>
  <c r="P149" i="2" s="1"/>
  <c r="N148" i="2"/>
  <c r="O148" i="2"/>
  <c r="H310" i="2"/>
  <c r="G310" i="2"/>
  <c r="I310" i="2" s="1"/>
  <c r="K310" i="2" s="1"/>
  <c r="A312" i="2"/>
  <c r="B311" i="2"/>
  <c r="D311" i="2"/>
  <c r="N309" i="2"/>
  <c r="O309" i="2"/>
  <c r="E129" i="1"/>
  <c r="B130" i="1"/>
  <c r="C129" i="1"/>
  <c r="D129" i="1" s="1"/>
  <c r="F128" i="1"/>
  <c r="G129" i="1" l="1"/>
  <c r="F154" i="2"/>
  <c r="N149" i="2"/>
  <c r="O149" i="2"/>
  <c r="H150" i="2"/>
  <c r="J150" i="2" s="1"/>
  <c r="M150" i="2" s="1"/>
  <c r="P150" i="2" s="1"/>
  <c r="G150" i="2"/>
  <c r="I150" i="2" s="1"/>
  <c r="K150" i="2" s="1"/>
  <c r="A152" i="2"/>
  <c r="D151" i="2"/>
  <c r="B151" i="2"/>
  <c r="G311" i="2"/>
  <c r="I311" i="2" s="1"/>
  <c r="K311" i="2" s="1"/>
  <c r="H311" i="2"/>
  <c r="N310" i="2"/>
  <c r="O310" i="2"/>
  <c r="A313" i="2"/>
  <c r="D312" i="2"/>
  <c r="B312" i="2"/>
  <c r="E130" i="1"/>
  <c r="C130" i="1"/>
  <c r="D130" i="1" s="1"/>
  <c r="B131" i="1"/>
  <c r="F129" i="1"/>
  <c r="F155" i="2" l="1"/>
  <c r="G151" i="2"/>
  <c r="I151" i="2" s="1"/>
  <c r="K151" i="2" s="1"/>
  <c r="H151" i="2"/>
  <c r="J151" i="2" s="1"/>
  <c r="M151" i="2" s="1"/>
  <c r="P151" i="2" s="1"/>
  <c r="A153" i="2"/>
  <c r="B152" i="2"/>
  <c r="D152" i="2"/>
  <c r="N150" i="2"/>
  <c r="O150" i="2"/>
  <c r="A314" i="2"/>
  <c r="D313" i="2"/>
  <c r="B313" i="2"/>
  <c r="G312" i="2"/>
  <c r="I312" i="2" s="1"/>
  <c r="K312" i="2" s="1"/>
  <c r="H312" i="2"/>
  <c r="N311" i="2"/>
  <c r="O311" i="2"/>
  <c r="G130" i="1"/>
  <c r="E131" i="1"/>
  <c r="B132" i="1"/>
  <c r="C131" i="1"/>
  <c r="D131" i="1" s="1"/>
  <c r="G131" i="1" s="1"/>
  <c r="F130" i="1"/>
  <c r="F156" i="2" l="1"/>
  <c r="H152" i="2"/>
  <c r="J152" i="2" s="1"/>
  <c r="M152" i="2" s="1"/>
  <c r="P152" i="2" s="1"/>
  <c r="G152" i="2"/>
  <c r="I152" i="2" s="1"/>
  <c r="K152" i="2" s="1"/>
  <c r="A154" i="2"/>
  <c r="B153" i="2"/>
  <c r="D153" i="2"/>
  <c r="O151" i="2"/>
  <c r="N151" i="2"/>
  <c r="H313" i="2"/>
  <c r="G313" i="2"/>
  <c r="I313" i="2" s="1"/>
  <c r="K313" i="2" s="1"/>
  <c r="N312" i="2"/>
  <c r="O312" i="2"/>
  <c r="A315" i="2"/>
  <c r="D314" i="2"/>
  <c r="B314" i="2"/>
  <c r="E132" i="1"/>
  <c r="C132" i="1"/>
  <c r="D132" i="1" s="1"/>
  <c r="B133" i="1"/>
  <c r="F131" i="1"/>
  <c r="G132" i="1" l="1"/>
  <c r="F157" i="2"/>
  <c r="H153" i="2"/>
  <c r="J153" i="2" s="1"/>
  <c r="M153" i="2" s="1"/>
  <c r="P153" i="2" s="1"/>
  <c r="G153" i="2"/>
  <c r="I153" i="2" s="1"/>
  <c r="K153" i="2" s="1"/>
  <c r="A155" i="2"/>
  <c r="D154" i="2"/>
  <c r="B154" i="2"/>
  <c r="N152" i="2"/>
  <c r="O152" i="2"/>
  <c r="G314" i="2"/>
  <c r="I314" i="2" s="1"/>
  <c r="K314" i="2" s="1"/>
  <c r="H314" i="2"/>
  <c r="N313" i="2"/>
  <c r="O313" i="2"/>
  <c r="A316" i="2"/>
  <c r="B315" i="2"/>
  <c r="D315" i="2"/>
  <c r="E133" i="1"/>
  <c r="B134" i="1"/>
  <c r="C133" i="1"/>
  <c r="D133" i="1" s="1"/>
  <c r="G133" i="1" s="1"/>
  <c r="F132" i="1"/>
  <c r="F158" i="2" l="1"/>
  <c r="G154" i="2"/>
  <c r="I154" i="2" s="1"/>
  <c r="K154" i="2" s="1"/>
  <c r="H154" i="2"/>
  <c r="J154" i="2" s="1"/>
  <c r="M154" i="2" s="1"/>
  <c r="P154" i="2" s="1"/>
  <c r="A156" i="2"/>
  <c r="B155" i="2"/>
  <c r="D155" i="2"/>
  <c r="N153" i="2"/>
  <c r="O153" i="2"/>
  <c r="G315" i="2"/>
  <c r="I315" i="2" s="1"/>
  <c r="K315" i="2" s="1"/>
  <c r="H315" i="2"/>
  <c r="A317" i="2"/>
  <c r="B316" i="2"/>
  <c r="D316" i="2"/>
  <c r="N314" i="2"/>
  <c r="O314" i="2"/>
  <c r="E134" i="1"/>
  <c r="B135" i="1"/>
  <c r="C134" i="1"/>
  <c r="D134" i="1" s="1"/>
  <c r="F133" i="1"/>
  <c r="G134" i="1" l="1"/>
  <c r="F159" i="2"/>
  <c r="A157" i="2"/>
  <c r="D156" i="2"/>
  <c r="B156" i="2"/>
  <c r="G155" i="2"/>
  <c r="I155" i="2" s="1"/>
  <c r="K155" i="2" s="1"/>
  <c r="H155" i="2"/>
  <c r="J155" i="2" s="1"/>
  <c r="M155" i="2" s="1"/>
  <c r="P155" i="2" s="1"/>
  <c r="N154" i="2"/>
  <c r="O154" i="2"/>
  <c r="A318" i="2"/>
  <c r="D317" i="2"/>
  <c r="B317" i="2"/>
  <c r="G316" i="2"/>
  <c r="I316" i="2" s="1"/>
  <c r="K316" i="2" s="1"/>
  <c r="H316" i="2"/>
  <c r="N315" i="2"/>
  <c r="O315" i="2"/>
  <c r="E135" i="1"/>
  <c r="C135" i="1"/>
  <c r="D135" i="1" s="1"/>
  <c r="B136" i="1"/>
  <c r="F134" i="1"/>
  <c r="G135" i="1" l="1"/>
  <c r="F160" i="2"/>
  <c r="N155" i="2"/>
  <c r="O155" i="2"/>
  <c r="H156" i="2"/>
  <c r="J156" i="2" s="1"/>
  <c r="M156" i="2" s="1"/>
  <c r="P156" i="2" s="1"/>
  <c r="G156" i="2"/>
  <c r="I156" i="2" s="1"/>
  <c r="K156" i="2" s="1"/>
  <c r="A158" i="2"/>
  <c r="B157" i="2"/>
  <c r="D157" i="2"/>
  <c r="O316" i="2"/>
  <c r="N316" i="2"/>
  <c r="G317" i="2"/>
  <c r="I317" i="2" s="1"/>
  <c r="K317" i="2" s="1"/>
  <c r="H317" i="2"/>
  <c r="A319" i="2"/>
  <c r="B318" i="2"/>
  <c r="D318" i="2"/>
  <c r="E136" i="1"/>
  <c r="C136" i="1"/>
  <c r="D136" i="1" s="1"/>
  <c r="B137" i="1"/>
  <c r="F135" i="1"/>
  <c r="G136" i="1" l="1"/>
  <c r="F161" i="2"/>
  <c r="G157" i="2"/>
  <c r="I157" i="2" s="1"/>
  <c r="K157" i="2" s="1"/>
  <c r="H157" i="2"/>
  <c r="J157" i="2" s="1"/>
  <c r="M157" i="2" s="1"/>
  <c r="P157" i="2" s="1"/>
  <c r="A159" i="2"/>
  <c r="D158" i="2"/>
  <c r="B158" i="2"/>
  <c r="O156" i="2"/>
  <c r="N156" i="2"/>
  <c r="O317" i="2"/>
  <c r="N317" i="2"/>
  <c r="A320" i="2"/>
  <c r="B319" i="2"/>
  <c r="D319" i="2"/>
  <c r="G318" i="2"/>
  <c r="I318" i="2" s="1"/>
  <c r="K318" i="2" s="1"/>
  <c r="H318" i="2"/>
  <c r="E137" i="1"/>
  <c r="B138" i="1"/>
  <c r="C137" i="1"/>
  <c r="D137" i="1" s="1"/>
  <c r="G137" i="1" s="1"/>
  <c r="F136" i="1"/>
  <c r="F162" i="2" l="1"/>
  <c r="A160" i="2"/>
  <c r="D159" i="2"/>
  <c r="B159" i="2"/>
  <c r="H158" i="2"/>
  <c r="J158" i="2" s="1"/>
  <c r="M158" i="2" s="1"/>
  <c r="P158" i="2" s="1"/>
  <c r="G158" i="2"/>
  <c r="I158" i="2" s="1"/>
  <c r="K158" i="2" s="1"/>
  <c r="N157" i="2"/>
  <c r="O157" i="2"/>
  <c r="A321" i="2"/>
  <c r="B320" i="2"/>
  <c r="D320" i="2"/>
  <c r="G319" i="2"/>
  <c r="I319" i="2" s="1"/>
  <c r="K319" i="2" s="1"/>
  <c r="H319" i="2"/>
  <c r="O318" i="2"/>
  <c r="N318" i="2"/>
  <c r="E138" i="1"/>
  <c r="C138" i="1"/>
  <c r="D138" i="1" s="1"/>
  <c r="B139" i="1"/>
  <c r="F137" i="1"/>
  <c r="G138" i="1" l="1"/>
  <c r="F163" i="2"/>
  <c r="O158" i="2"/>
  <c r="N158" i="2"/>
  <c r="G159" i="2"/>
  <c r="I159" i="2" s="1"/>
  <c r="K159" i="2" s="1"/>
  <c r="H159" i="2"/>
  <c r="J159" i="2" s="1"/>
  <c r="M159" i="2" s="1"/>
  <c r="P159" i="2" s="1"/>
  <c r="A161" i="2"/>
  <c r="B160" i="2"/>
  <c r="D160" i="2"/>
  <c r="G320" i="2"/>
  <c r="I320" i="2" s="1"/>
  <c r="K320" i="2" s="1"/>
  <c r="H320" i="2"/>
  <c r="N319" i="2"/>
  <c r="O319" i="2"/>
  <c r="A322" i="2"/>
  <c r="B321" i="2"/>
  <c r="D321" i="2"/>
  <c r="E139" i="1"/>
  <c r="B140" i="1"/>
  <c r="C139" i="1"/>
  <c r="D139" i="1" s="1"/>
  <c r="G139" i="1" s="1"/>
  <c r="F138" i="1"/>
  <c r="F164" i="2" l="1"/>
  <c r="O159" i="2"/>
  <c r="N159" i="2"/>
  <c r="G160" i="2"/>
  <c r="I160" i="2" s="1"/>
  <c r="K160" i="2" s="1"/>
  <c r="H160" i="2"/>
  <c r="J160" i="2" s="1"/>
  <c r="M160" i="2" s="1"/>
  <c r="P160" i="2" s="1"/>
  <c r="A162" i="2"/>
  <c r="D161" i="2"/>
  <c r="B161" i="2"/>
  <c r="G321" i="2"/>
  <c r="I321" i="2" s="1"/>
  <c r="K321" i="2" s="1"/>
  <c r="H321" i="2"/>
  <c r="A323" i="2"/>
  <c r="B322" i="2"/>
  <c r="D322" i="2"/>
  <c r="N320" i="2"/>
  <c r="O320" i="2"/>
  <c r="E140" i="1"/>
  <c r="B141" i="1"/>
  <c r="C140" i="1"/>
  <c r="D140" i="1" s="1"/>
  <c r="F139" i="1"/>
  <c r="G140" i="1" l="1"/>
  <c r="F165" i="2"/>
  <c r="H161" i="2"/>
  <c r="J161" i="2" s="1"/>
  <c r="M161" i="2" s="1"/>
  <c r="P161" i="2" s="1"/>
  <c r="G161" i="2"/>
  <c r="I161" i="2" s="1"/>
  <c r="K161" i="2" s="1"/>
  <c r="N160" i="2"/>
  <c r="O160" i="2"/>
  <c r="A163" i="2"/>
  <c r="B162" i="2"/>
  <c r="D162" i="2"/>
  <c r="A324" i="2"/>
  <c r="D323" i="2"/>
  <c r="B323" i="2"/>
  <c r="G322" i="2"/>
  <c r="I322" i="2" s="1"/>
  <c r="K322" i="2" s="1"/>
  <c r="H322" i="2"/>
  <c r="O321" i="2"/>
  <c r="N321" i="2"/>
  <c r="C141" i="1"/>
  <c r="D141" i="1" s="1"/>
  <c r="E141" i="1"/>
  <c r="F140" i="1"/>
  <c r="F141" i="1" l="1"/>
  <c r="F166" i="2"/>
  <c r="N161" i="2"/>
  <c r="O161" i="2"/>
  <c r="H162" i="2"/>
  <c r="J162" i="2" s="1"/>
  <c r="M162" i="2" s="1"/>
  <c r="P162" i="2" s="1"/>
  <c r="G162" i="2"/>
  <c r="I162" i="2" s="1"/>
  <c r="K162" i="2" s="1"/>
  <c r="A164" i="2"/>
  <c r="D163" i="2"/>
  <c r="B163" i="2"/>
  <c r="O322" i="2"/>
  <c r="N322" i="2"/>
  <c r="G323" i="2"/>
  <c r="I323" i="2" s="1"/>
  <c r="K323" i="2" s="1"/>
  <c r="H323" i="2"/>
  <c r="A325" i="2"/>
  <c r="D324" i="2"/>
  <c r="B324" i="2"/>
  <c r="G141" i="1"/>
  <c r="F167" i="2" l="1"/>
  <c r="G163" i="2"/>
  <c r="I163" i="2" s="1"/>
  <c r="K163" i="2" s="1"/>
  <c r="H163" i="2"/>
  <c r="J163" i="2" s="1"/>
  <c r="M163" i="2" s="1"/>
  <c r="P163" i="2" s="1"/>
  <c r="A165" i="2"/>
  <c r="B164" i="2"/>
  <c r="D164" i="2"/>
  <c r="N162" i="2"/>
  <c r="O162" i="2"/>
  <c r="H324" i="2"/>
  <c r="G324" i="2"/>
  <c r="I324" i="2" s="1"/>
  <c r="K324" i="2" s="1"/>
  <c r="N323" i="2"/>
  <c r="O323" i="2"/>
  <c r="A326" i="2"/>
  <c r="D325" i="2"/>
  <c r="B325" i="2"/>
  <c r="F168" i="2" l="1"/>
  <c r="G164" i="2"/>
  <c r="I164" i="2" s="1"/>
  <c r="K164" i="2" s="1"/>
  <c r="H164" i="2"/>
  <c r="J164" i="2" s="1"/>
  <c r="M164" i="2" s="1"/>
  <c r="P164" i="2" s="1"/>
  <c r="A166" i="2"/>
  <c r="B165" i="2"/>
  <c r="D165" i="2"/>
  <c r="N163" i="2"/>
  <c r="O163" i="2"/>
  <c r="H325" i="2"/>
  <c r="G325" i="2"/>
  <c r="I325" i="2" s="1"/>
  <c r="K325" i="2" s="1"/>
  <c r="A327" i="2"/>
  <c r="B326" i="2"/>
  <c r="D326" i="2"/>
  <c r="N324" i="2"/>
  <c r="O324" i="2"/>
  <c r="F169" i="2" l="1"/>
  <c r="H165" i="2"/>
  <c r="J165" i="2" s="1"/>
  <c r="M165" i="2" s="1"/>
  <c r="P165" i="2" s="1"/>
  <c r="G165" i="2"/>
  <c r="I165" i="2" s="1"/>
  <c r="K165" i="2" s="1"/>
  <c r="A167" i="2"/>
  <c r="D166" i="2"/>
  <c r="B166" i="2"/>
  <c r="O164" i="2"/>
  <c r="N164" i="2"/>
  <c r="G326" i="2"/>
  <c r="I326" i="2" s="1"/>
  <c r="K326" i="2" s="1"/>
  <c r="H326" i="2"/>
  <c r="A328" i="2"/>
  <c r="D327" i="2"/>
  <c r="B327" i="2"/>
  <c r="O325" i="2"/>
  <c r="N325" i="2"/>
  <c r="F170" i="2" l="1"/>
  <c r="G166" i="2"/>
  <c r="I166" i="2" s="1"/>
  <c r="K166" i="2" s="1"/>
  <c r="H166" i="2"/>
  <c r="J166" i="2" s="1"/>
  <c r="M166" i="2" s="1"/>
  <c r="P166" i="2" s="1"/>
  <c r="A168" i="2"/>
  <c r="B167" i="2"/>
  <c r="D167" i="2"/>
  <c r="N165" i="2"/>
  <c r="O165" i="2"/>
  <c r="G327" i="2"/>
  <c r="I327" i="2" s="1"/>
  <c r="K327" i="2" s="1"/>
  <c r="H327" i="2"/>
  <c r="A329" i="2"/>
  <c r="B328" i="2"/>
  <c r="D328" i="2"/>
  <c r="O326" i="2"/>
  <c r="N326" i="2"/>
  <c r="F171" i="2" l="1"/>
  <c r="G167" i="2"/>
  <c r="I167" i="2" s="1"/>
  <c r="K167" i="2" s="1"/>
  <c r="H167" i="2"/>
  <c r="J167" i="2" s="1"/>
  <c r="M167" i="2" s="1"/>
  <c r="P167" i="2" s="1"/>
  <c r="A169" i="2"/>
  <c r="B168" i="2"/>
  <c r="D168" i="2"/>
  <c r="O166" i="2"/>
  <c r="N166" i="2"/>
  <c r="H328" i="2"/>
  <c r="G328" i="2"/>
  <c r="I328" i="2" s="1"/>
  <c r="K328" i="2" s="1"/>
  <c r="A330" i="2"/>
  <c r="B329" i="2"/>
  <c r="D329" i="2"/>
  <c r="N327" i="2"/>
  <c r="O327" i="2"/>
  <c r="F172" i="2" l="1"/>
  <c r="G168" i="2"/>
  <c r="I168" i="2" s="1"/>
  <c r="K168" i="2" s="1"/>
  <c r="H168" i="2"/>
  <c r="J168" i="2" s="1"/>
  <c r="M168" i="2" s="1"/>
  <c r="P168" i="2" s="1"/>
  <c r="A170" i="2"/>
  <c r="B169" i="2"/>
  <c r="D169" i="2"/>
  <c r="N167" i="2"/>
  <c r="O167" i="2"/>
  <c r="H329" i="2"/>
  <c r="G329" i="2"/>
  <c r="I329" i="2" s="1"/>
  <c r="K329" i="2" s="1"/>
  <c r="O328" i="2"/>
  <c r="N328" i="2"/>
  <c r="A331" i="2"/>
  <c r="B330" i="2"/>
  <c r="D330" i="2"/>
  <c r="F173" i="2" l="1"/>
  <c r="G169" i="2"/>
  <c r="I169" i="2" s="1"/>
  <c r="K169" i="2" s="1"/>
  <c r="H169" i="2"/>
  <c r="J169" i="2" s="1"/>
  <c r="M169" i="2" s="1"/>
  <c r="P169" i="2" s="1"/>
  <c r="A171" i="2"/>
  <c r="B170" i="2"/>
  <c r="D170" i="2"/>
  <c r="O168" i="2"/>
  <c r="N168" i="2"/>
  <c r="H330" i="2"/>
  <c r="G330" i="2"/>
  <c r="I330" i="2" s="1"/>
  <c r="K330" i="2" s="1"/>
  <c r="O329" i="2"/>
  <c r="N329" i="2"/>
  <c r="A332" i="2"/>
  <c r="B331" i="2"/>
  <c r="D331" i="2"/>
  <c r="F174" i="2" l="1"/>
  <c r="G170" i="2"/>
  <c r="I170" i="2" s="1"/>
  <c r="K170" i="2" s="1"/>
  <c r="H170" i="2"/>
  <c r="J170" i="2" s="1"/>
  <c r="M170" i="2" s="1"/>
  <c r="P170" i="2" s="1"/>
  <c r="A172" i="2"/>
  <c r="D171" i="2"/>
  <c r="B171" i="2"/>
  <c r="N169" i="2"/>
  <c r="O169" i="2"/>
  <c r="H331" i="2"/>
  <c r="G331" i="2"/>
  <c r="I331" i="2" s="1"/>
  <c r="K331" i="2" s="1"/>
  <c r="A333" i="2"/>
  <c r="D332" i="2"/>
  <c r="B332" i="2"/>
  <c r="N330" i="2"/>
  <c r="O330" i="2"/>
  <c r="F175" i="2" l="1"/>
  <c r="G171" i="2"/>
  <c r="I171" i="2" s="1"/>
  <c r="K171" i="2" s="1"/>
  <c r="H171" i="2"/>
  <c r="J171" i="2" s="1"/>
  <c r="M171" i="2" s="1"/>
  <c r="P171" i="2" s="1"/>
  <c r="A173" i="2"/>
  <c r="B172" i="2"/>
  <c r="D172" i="2"/>
  <c r="N170" i="2"/>
  <c r="O170" i="2"/>
  <c r="G332" i="2"/>
  <c r="I332" i="2" s="1"/>
  <c r="K332" i="2" s="1"/>
  <c r="H332" i="2"/>
  <c r="A334" i="2"/>
  <c r="B333" i="2"/>
  <c r="D333" i="2"/>
  <c r="O331" i="2"/>
  <c r="N331" i="2"/>
  <c r="F176" i="2" l="1"/>
  <c r="A174" i="2"/>
  <c r="B173" i="2"/>
  <c r="D173" i="2"/>
  <c r="H172" i="2"/>
  <c r="J172" i="2" s="1"/>
  <c r="M172" i="2" s="1"/>
  <c r="P172" i="2" s="1"/>
  <c r="G172" i="2"/>
  <c r="I172" i="2" s="1"/>
  <c r="K172" i="2" s="1"/>
  <c r="O171" i="2"/>
  <c r="N171" i="2"/>
  <c r="G333" i="2"/>
  <c r="I333" i="2" s="1"/>
  <c r="K333" i="2" s="1"/>
  <c r="H333" i="2"/>
  <c r="A335" i="2"/>
  <c r="B334" i="2"/>
  <c r="D334" i="2"/>
  <c r="N332" i="2"/>
  <c r="O332" i="2"/>
  <c r="F177" i="2" l="1"/>
  <c r="N172" i="2"/>
  <c r="O172" i="2"/>
  <c r="H173" i="2"/>
  <c r="J173" i="2" s="1"/>
  <c r="M173" i="2" s="1"/>
  <c r="P173" i="2" s="1"/>
  <c r="G173" i="2"/>
  <c r="I173" i="2" s="1"/>
  <c r="K173" i="2" s="1"/>
  <c r="A175" i="2"/>
  <c r="B174" i="2"/>
  <c r="D174" i="2"/>
  <c r="G334" i="2"/>
  <c r="I334" i="2" s="1"/>
  <c r="K334" i="2" s="1"/>
  <c r="H334" i="2"/>
  <c r="A336" i="2"/>
  <c r="B335" i="2"/>
  <c r="D335" i="2"/>
  <c r="N333" i="2"/>
  <c r="O333" i="2"/>
  <c r="F178" i="2" l="1"/>
  <c r="H174" i="2"/>
  <c r="J174" i="2" s="1"/>
  <c r="M174" i="2" s="1"/>
  <c r="P174" i="2" s="1"/>
  <c r="G174" i="2"/>
  <c r="I174" i="2" s="1"/>
  <c r="K174" i="2" s="1"/>
  <c r="A176" i="2"/>
  <c r="D175" i="2"/>
  <c r="B175" i="2"/>
  <c r="N173" i="2"/>
  <c r="O173" i="2"/>
  <c r="H335" i="2"/>
  <c r="G335" i="2"/>
  <c r="I335" i="2" s="1"/>
  <c r="K335" i="2" s="1"/>
  <c r="A337" i="2"/>
  <c r="B336" i="2"/>
  <c r="D336" i="2"/>
  <c r="O334" i="2"/>
  <c r="N334" i="2"/>
  <c r="F179" i="2" l="1"/>
  <c r="G175" i="2"/>
  <c r="I175" i="2" s="1"/>
  <c r="K175" i="2" s="1"/>
  <c r="H175" i="2"/>
  <c r="J175" i="2" s="1"/>
  <c r="M175" i="2" s="1"/>
  <c r="P175" i="2" s="1"/>
  <c r="A177" i="2"/>
  <c r="D176" i="2"/>
  <c r="B176" i="2"/>
  <c r="O174" i="2"/>
  <c r="N174" i="2"/>
  <c r="G336" i="2"/>
  <c r="I336" i="2" s="1"/>
  <c r="K336" i="2" s="1"/>
  <c r="H336" i="2"/>
  <c r="A338" i="2"/>
  <c r="B337" i="2"/>
  <c r="D337" i="2"/>
  <c r="O335" i="2"/>
  <c r="N335" i="2"/>
  <c r="F180" i="2" l="1"/>
  <c r="G176" i="2"/>
  <c r="I176" i="2" s="1"/>
  <c r="K176" i="2" s="1"/>
  <c r="H176" i="2"/>
  <c r="J176" i="2" s="1"/>
  <c r="M176" i="2" s="1"/>
  <c r="P176" i="2" s="1"/>
  <c r="A178" i="2"/>
  <c r="D177" i="2"/>
  <c r="B177" i="2"/>
  <c r="O175" i="2"/>
  <c r="N175" i="2"/>
  <c r="G337" i="2"/>
  <c r="I337" i="2" s="1"/>
  <c r="K337" i="2" s="1"/>
  <c r="H337" i="2"/>
  <c r="A339" i="2"/>
  <c r="B338" i="2"/>
  <c r="D338" i="2"/>
  <c r="O336" i="2"/>
  <c r="N336" i="2"/>
  <c r="F181" i="2" l="1"/>
  <c r="H177" i="2"/>
  <c r="J177" i="2" s="1"/>
  <c r="M177" i="2" s="1"/>
  <c r="P177" i="2" s="1"/>
  <c r="G177" i="2"/>
  <c r="I177" i="2" s="1"/>
  <c r="K177" i="2" s="1"/>
  <c r="A179" i="2"/>
  <c r="B178" i="2"/>
  <c r="D178" i="2"/>
  <c r="N176" i="2"/>
  <c r="O176" i="2"/>
  <c r="G338" i="2"/>
  <c r="I338" i="2" s="1"/>
  <c r="K338" i="2" s="1"/>
  <c r="H338" i="2"/>
  <c r="A340" i="2"/>
  <c r="D339" i="2"/>
  <c r="B339" i="2"/>
  <c r="O337" i="2"/>
  <c r="N337" i="2"/>
  <c r="F182" i="2" l="1"/>
  <c r="G178" i="2"/>
  <c r="I178" i="2" s="1"/>
  <c r="K178" i="2" s="1"/>
  <c r="H178" i="2"/>
  <c r="J178" i="2" s="1"/>
  <c r="M178" i="2" s="1"/>
  <c r="P178" i="2" s="1"/>
  <c r="A180" i="2"/>
  <c r="D179" i="2"/>
  <c r="B179" i="2"/>
  <c r="N177" i="2"/>
  <c r="O177" i="2"/>
  <c r="A341" i="2"/>
  <c r="D340" i="2"/>
  <c r="B340" i="2"/>
  <c r="G339" i="2"/>
  <c r="I339" i="2" s="1"/>
  <c r="K339" i="2" s="1"/>
  <c r="H339" i="2"/>
  <c r="N338" i="2"/>
  <c r="O338" i="2"/>
  <c r="F183" i="2" l="1"/>
  <c r="A181" i="2"/>
  <c r="B180" i="2"/>
  <c r="D180" i="2"/>
  <c r="G179" i="2"/>
  <c r="I179" i="2" s="1"/>
  <c r="K179" i="2" s="1"/>
  <c r="H179" i="2"/>
  <c r="J179" i="2" s="1"/>
  <c r="M179" i="2" s="1"/>
  <c r="P179" i="2" s="1"/>
  <c r="N178" i="2"/>
  <c r="O178" i="2"/>
  <c r="O339" i="2"/>
  <c r="N339" i="2"/>
  <c r="H340" i="2"/>
  <c r="G340" i="2"/>
  <c r="I340" i="2" s="1"/>
  <c r="K340" i="2" s="1"/>
  <c r="A342" i="2"/>
  <c r="B341" i="2"/>
  <c r="D341" i="2"/>
  <c r="F184" i="2" l="1"/>
  <c r="G180" i="2"/>
  <c r="I180" i="2" s="1"/>
  <c r="K180" i="2" s="1"/>
  <c r="H180" i="2"/>
  <c r="J180" i="2" s="1"/>
  <c r="M180" i="2" s="1"/>
  <c r="P180" i="2" s="1"/>
  <c r="N179" i="2"/>
  <c r="O179" i="2"/>
  <c r="A182" i="2"/>
  <c r="B181" i="2"/>
  <c r="D181" i="2"/>
  <c r="G341" i="2"/>
  <c r="I341" i="2" s="1"/>
  <c r="K341" i="2" s="1"/>
  <c r="H341" i="2"/>
  <c r="A343" i="2"/>
  <c r="B342" i="2"/>
  <c r="D342" i="2"/>
  <c r="N340" i="2"/>
  <c r="O340" i="2"/>
  <c r="F185" i="2" l="1"/>
  <c r="H181" i="2"/>
  <c r="J181" i="2" s="1"/>
  <c r="M181" i="2" s="1"/>
  <c r="P181" i="2" s="1"/>
  <c r="G181" i="2"/>
  <c r="I181" i="2" s="1"/>
  <c r="K181" i="2" s="1"/>
  <c r="A183" i="2"/>
  <c r="D182" i="2"/>
  <c r="B182" i="2"/>
  <c r="O180" i="2"/>
  <c r="N180" i="2"/>
  <c r="A344" i="2"/>
  <c r="B343" i="2"/>
  <c r="D343" i="2"/>
  <c r="G342" i="2"/>
  <c r="I342" i="2" s="1"/>
  <c r="K342" i="2" s="1"/>
  <c r="H342" i="2"/>
  <c r="N341" i="2"/>
  <c r="O341" i="2"/>
  <c r="F186" i="2" l="1"/>
  <c r="N181" i="2"/>
  <c r="O181" i="2"/>
  <c r="G182" i="2"/>
  <c r="I182" i="2" s="1"/>
  <c r="K182" i="2" s="1"/>
  <c r="H182" i="2"/>
  <c r="J182" i="2" s="1"/>
  <c r="M182" i="2" s="1"/>
  <c r="P182" i="2" s="1"/>
  <c r="A184" i="2"/>
  <c r="B183" i="2"/>
  <c r="D183" i="2"/>
  <c r="N342" i="2"/>
  <c r="O342" i="2"/>
  <c r="H343" i="2"/>
  <c r="G343" i="2"/>
  <c r="I343" i="2" s="1"/>
  <c r="K343" i="2" s="1"/>
  <c r="A345" i="2"/>
  <c r="D344" i="2"/>
  <c r="B344" i="2"/>
  <c r="F187" i="2" l="1"/>
  <c r="G183" i="2"/>
  <c r="I183" i="2" s="1"/>
  <c r="K183" i="2" s="1"/>
  <c r="H183" i="2"/>
  <c r="J183" i="2" s="1"/>
  <c r="M183" i="2" s="1"/>
  <c r="P183" i="2" s="1"/>
  <c r="A185" i="2"/>
  <c r="D184" i="2"/>
  <c r="B184" i="2"/>
  <c r="N182" i="2"/>
  <c r="O182" i="2"/>
  <c r="G344" i="2"/>
  <c r="I344" i="2" s="1"/>
  <c r="K344" i="2" s="1"/>
  <c r="H344" i="2"/>
  <c r="A346" i="2"/>
  <c r="D345" i="2"/>
  <c r="B345" i="2"/>
  <c r="N343" i="2"/>
  <c r="O343" i="2"/>
  <c r="F188" i="2" l="1"/>
  <c r="H184" i="2"/>
  <c r="J184" i="2" s="1"/>
  <c r="M184" i="2" s="1"/>
  <c r="P184" i="2" s="1"/>
  <c r="G184" i="2"/>
  <c r="I184" i="2" s="1"/>
  <c r="K184" i="2" s="1"/>
  <c r="A186" i="2"/>
  <c r="D185" i="2"/>
  <c r="B185" i="2"/>
  <c r="O183" i="2"/>
  <c r="N183" i="2"/>
  <c r="A347" i="2"/>
  <c r="B346" i="2"/>
  <c r="D346" i="2"/>
  <c r="H345" i="2"/>
  <c r="G345" i="2"/>
  <c r="I345" i="2" s="1"/>
  <c r="K345" i="2" s="1"/>
  <c r="O344" i="2"/>
  <c r="N344" i="2"/>
  <c r="F189" i="2" l="1"/>
  <c r="G185" i="2"/>
  <c r="I185" i="2" s="1"/>
  <c r="K185" i="2" s="1"/>
  <c r="H185" i="2"/>
  <c r="J185" i="2" s="1"/>
  <c r="M185" i="2" s="1"/>
  <c r="P185" i="2" s="1"/>
  <c r="A187" i="2"/>
  <c r="B186" i="2"/>
  <c r="D186" i="2"/>
  <c r="N184" i="2"/>
  <c r="O184" i="2"/>
  <c r="H346" i="2"/>
  <c r="G346" i="2"/>
  <c r="I346" i="2" s="1"/>
  <c r="K346" i="2" s="1"/>
  <c r="N345" i="2"/>
  <c r="O345" i="2"/>
  <c r="A348" i="2"/>
  <c r="B347" i="2"/>
  <c r="D347" i="2"/>
  <c r="F190" i="2" l="1"/>
  <c r="G186" i="2"/>
  <c r="I186" i="2" s="1"/>
  <c r="K186" i="2" s="1"/>
  <c r="H186" i="2"/>
  <c r="J186" i="2" s="1"/>
  <c r="M186" i="2" s="1"/>
  <c r="P186" i="2" s="1"/>
  <c r="A188" i="2"/>
  <c r="B187" i="2"/>
  <c r="D187" i="2"/>
  <c r="N185" i="2"/>
  <c r="O185" i="2"/>
  <c r="H347" i="2"/>
  <c r="G347" i="2"/>
  <c r="I347" i="2" s="1"/>
  <c r="K347" i="2" s="1"/>
  <c r="A349" i="2"/>
  <c r="B348" i="2"/>
  <c r="D348" i="2"/>
  <c r="O346" i="2"/>
  <c r="N346" i="2"/>
  <c r="F192" i="2" l="1"/>
  <c r="J192" i="2" s="1"/>
  <c r="M192" i="2" s="1"/>
  <c r="P192" i="2" s="1"/>
  <c r="F191" i="2"/>
  <c r="J191" i="2" s="1"/>
  <c r="M191" i="2" s="1"/>
  <c r="P191" i="2" s="1"/>
  <c r="I191" i="2"/>
  <c r="K191" i="2" s="1"/>
  <c r="G187" i="2"/>
  <c r="I187" i="2" s="1"/>
  <c r="K187" i="2" s="1"/>
  <c r="H187" i="2"/>
  <c r="J187" i="2" s="1"/>
  <c r="M187" i="2" s="1"/>
  <c r="P187" i="2" s="1"/>
  <c r="A189" i="2"/>
  <c r="D188" i="2"/>
  <c r="B188" i="2"/>
  <c r="N186" i="2"/>
  <c r="O186" i="2"/>
  <c r="G348" i="2"/>
  <c r="I348" i="2" s="1"/>
  <c r="K348" i="2" s="1"/>
  <c r="H348" i="2"/>
  <c r="A350" i="2"/>
  <c r="B349" i="2"/>
  <c r="D349" i="2"/>
  <c r="O347" i="2"/>
  <c r="N347" i="2"/>
  <c r="F193" i="2" l="1"/>
  <c r="J193" i="2" s="1"/>
  <c r="M193" i="2" s="1"/>
  <c r="P193" i="2" s="1"/>
  <c r="O191" i="2"/>
  <c r="N191" i="2"/>
  <c r="G188" i="2"/>
  <c r="I188" i="2" s="1"/>
  <c r="K188" i="2" s="1"/>
  <c r="H188" i="2"/>
  <c r="J188" i="2" s="1"/>
  <c r="M188" i="2" s="1"/>
  <c r="P188" i="2" s="1"/>
  <c r="A190" i="2"/>
  <c r="B189" i="2"/>
  <c r="D189" i="2"/>
  <c r="N187" i="2"/>
  <c r="O187" i="2"/>
  <c r="A351" i="2"/>
  <c r="B350" i="2"/>
  <c r="D350" i="2"/>
  <c r="H349" i="2"/>
  <c r="G349" i="2"/>
  <c r="I349" i="2" s="1"/>
  <c r="K349" i="2" s="1"/>
  <c r="N348" i="2"/>
  <c r="O348" i="2"/>
  <c r="F194" i="2" l="1"/>
  <c r="J194" i="2" s="1"/>
  <c r="M194" i="2" s="1"/>
  <c r="P194" i="2" s="1"/>
  <c r="D190" i="2"/>
  <c r="B190" i="2"/>
  <c r="H189" i="2"/>
  <c r="J189" i="2" s="1"/>
  <c r="M189" i="2" s="1"/>
  <c r="P189" i="2" s="1"/>
  <c r="G189" i="2"/>
  <c r="I189" i="2" s="1"/>
  <c r="K189" i="2" s="1"/>
  <c r="N188" i="2"/>
  <c r="O188" i="2"/>
  <c r="N349" i="2"/>
  <c r="O349" i="2"/>
  <c r="G350" i="2"/>
  <c r="I350" i="2" s="1"/>
  <c r="K350" i="2" s="1"/>
  <c r="H350" i="2"/>
  <c r="A352" i="2"/>
  <c r="D351" i="2"/>
  <c r="B351" i="2"/>
  <c r="F195" i="2" l="1"/>
  <c r="J195" i="2" s="1"/>
  <c r="M195" i="2" s="1"/>
  <c r="P195" i="2" s="1"/>
  <c r="N189" i="2"/>
  <c r="O189" i="2"/>
  <c r="G190" i="2"/>
  <c r="I190" i="2" s="1"/>
  <c r="K190" i="2" s="1"/>
  <c r="H190" i="2"/>
  <c r="J190" i="2" s="1"/>
  <c r="M190" i="2" s="1"/>
  <c r="P190" i="2" s="1"/>
  <c r="H351" i="2"/>
  <c r="G351" i="2"/>
  <c r="I351" i="2" s="1"/>
  <c r="K351" i="2" s="1"/>
  <c r="A353" i="2"/>
  <c r="D352" i="2"/>
  <c r="B352" i="2"/>
  <c r="N350" i="2"/>
  <c r="O350" i="2"/>
  <c r="F196" i="2" l="1"/>
  <c r="J196" i="2" s="1"/>
  <c r="M196" i="2" s="1"/>
  <c r="P196" i="2" s="1"/>
  <c r="N190" i="2"/>
  <c r="O190" i="2"/>
  <c r="H352" i="2"/>
  <c r="G352" i="2"/>
  <c r="I352" i="2" s="1"/>
  <c r="K352" i="2" s="1"/>
  <c r="A354" i="2"/>
  <c r="B353" i="2"/>
  <c r="D353" i="2"/>
  <c r="N351" i="2"/>
  <c r="O351" i="2"/>
  <c r="F197" i="2" l="1"/>
  <c r="J197" i="2" s="1"/>
  <c r="M197" i="2" s="1"/>
  <c r="P197" i="2" s="1"/>
  <c r="H353" i="2"/>
  <c r="G353" i="2"/>
  <c r="I353" i="2" s="1"/>
  <c r="K353" i="2" s="1"/>
  <c r="A355" i="2"/>
  <c r="B354" i="2"/>
  <c r="D354" i="2"/>
  <c r="N352" i="2"/>
  <c r="O352" i="2"/>
  <c r="F198" i="2" l="1"/>
  <c r="J198" i="2" s="1"/>
  <c r="M198" i="2" s="1"/>
  <c r="P198" i="2" s="1"/>
  <c r="H354" i="2"/>
  <c r="G354" i="2"/>
  <c r="I354" i="2" s="1"/>
  <c r="K354" i="2" s="1"/>
  <c r="A356" i="2"/>
  <c r="B355" i="2"/>
  <c r="D355" i="2"/>
  <c r="N353" i="2"/>
  <c r="O353" i="2"/>
  <c r="F199" i="2" l="1"/>
  <c r="J199" i="2" s="1"/>
  <c r="M199" i="2" s="1"/>
  <c r="P199" i="2" s="1"/>
  <c r="G355" i="2"/>
  <c r="I355" i="2" s="1"/>
  <c r="K355" i="2" s="1"/>
  <c r="H355" i="2"/>
  <c r="A357" i="2"/>
  <c r="B356" i="2"/>
  <c r="D356" i="2"/>
  <c r="N354" i="2"/>
  <c r="O354" i="2"/>
  <c r="F200" i="2" l="1"/>
  <c r="J200" i="2" s="1"/>
  <c r="M200" i="2" s="1"/>
  <c r="P200" i="2" s="1"/>
  <c r="A358" i="2"/>
  <c r="B357" i="2"/>
  <c r="D357" i="2"/>
  <c r="G356" i="2"/>
  <c r="I356" i="2" s="1"/>
  <c r="K356" i="2" s="1"/>
  <c r="H356" i="2"/>
  <c r="O355" i="2"/>
  <c r="N355" i="2"/>
  <c r="F201" i="2" l="1"/>
  <c r="J201" i="2" s="1"/>
  <c r="M201" i="2" s="1"/>
  <c r="P201" i="2" s="1"/>
  <c r="O356" i="2"/>
  <c r="N356" i="2"/>
  <c r="G357" i="2"/>
  <c r="I357" i="2" s="1"/>
  <c r="K357" i="2" s="1"/>
  <c r="H357" i="2"/>
  <c r="A359" i="2"/>
  <c r="B358" i="2"/>
  <c r="D358" i="2"/>
  <c r="F202" i="2" l="1"/>
  <c r="J202" i="2" s="1"/>
  <c r="M202" i="2" s="1"/>
  <c r="P202" i="2" s="1"/>
  <c r="G358" i="2"/>
  <c r="I358" i="2" s="1"/>
  <c r="K358" i="2" s="1"/>
  <c r="H358" i="2"/>
  <c r="A360" i="2"/>
  <c r="D359" i="2"/>
  <c r="B359" i="2"/>
  <c r="N357" i="2"/>
  <c r="O357" i="2"/>
  <c r="F203" i="2" l="1"/>
  <c r="J203" i="2" s="1"/>
  <c r="M203" i="2" s="1"/>
  <c r="P203" i="2" s="1"/>
  <c r="A361" i="2"/>
  <c r="B360" i="2"/>
  <c r="D360" i="2"/>
  <c r="G359" i="2"/>
  <c r="I359" i="2" s="1"/>
  <c r="K359" i="2" s="1"/>
  <c r="H359" i="2"/>
  <c r="N358" i="2"/>
  <c r="O358" i="2"/>
  <c r="F204" i="2" l="1"/>
  <c r="J204" i="2" s="1"/>
  <c r="M204" i="2" s="1"/>
  <c r="P204" i="2" s="1"/>
  <c r="N359" i="2"/>
  <c r="O359" i="2"/>
  <c r="H360" i="2"/>
  <c r="G360" i="2"/>
  <c r="I360" i="2" s="1"/>
  <c r="K360" i="2" s="1"/>
  <c r="A362" i="2"/>
  <c r="D361" i="2"/>
  <c r="B361" i="2"/>
  <c r="F205" i="2" l="1"/>
  <c r="J205" i="2" s="1"/>
  <c r="M205" i="2" s="1"/>
  <c r="P205" i="2" s="1"/>
  <c r="O360" i="2"/>
  <c r="N360" i="2"/>
  <c r="H361" i="2"/>
  <c r="G361" i="2"/>
  <c r="I361" i="2" s="1"/>
  <c r="K361" i="2" s="1"/>
  <c r="A363" i="2"/>
  <c r="B362" i="2"/>
  <c r="D362" i="2"/>
  <c r="F206" i="2" l="1"/>
  <c r="J206" i="2" s="1"/>
  <c r="M206" i="2" s="1"/>
  <c r="P206" i="2" s="1"/>
  <c r="H362" i="2"/>
  <c r="G362" i="2"/>
  <c r="I362" i="2" s="1"/>
  <c r="K362" i="2" s="1"/>
  <c r="N361" i="2"/>
  <c r="O361" i="2"/>
  <c r="A364" i="2"/>
  <c r="B363" i="2"/>
  <c r="D363" i="2"/>
  <c r="F207" i="2" l="1"/>
  <c r="J207" i="2" s="1"/>
  <c r="M207" i="2" s="1"/>
  <c r="P207" i="2" s="1"/>
  <c r="O362" i="2"/>
  <c r="N362" i="2"/>
  <c r="G363" i="2"/>
  <c r="I363" i="2" s="1"/>
  <c r="K363" i="2" s="1"/>
  <c r="H363" i="2"/>
  <c r="A365" i="2"/>
  <c r="D364" i="2"/>
  <c r="B364" i="2"/>
  <c r="F208" i="2" l="1"/>
  <c r="J208" i="2" s="1"/>
  <c r="M208" i="2" s="1"/>
  <c r="P208" i="2" s="1"/>
  <c r="G364" i="2"/>
  <c r="I364" i="2" s="1"/>
  <c r="K364" i="2" s="1"/>
  <c r="H364" i="2"/>
  <c r="A366" i="2"/>
  <c r="B365" i="2"/>
  <c r="D365" i="2"/>
  <c r="O363" i="2"/>
  <c r="N363" i="2"/>
  <c r="F209" i="2" l="1"/>
  <c r="J209" i="2" s="1"/>
  <c r="M209" i="2" s="1"/>
  <c r="P209" i="2" s="1"/>
  <c r="G365" i="2"/>
  <c r="I365" i="2" s="1"/>
  <c r="K365" i="2" s="1"/>
  <c r="H365" i="2"/>
  <c r="A367" i="2"/>
  <c r="D366" i="2"/>
  <c r="B366" i="2"/>
  <c r="N364" i="2"/>
  <c r="O364" i="2"/>
  <c r="F210" i="2" l="1"/>
  <c r="J210" i="2" s="1"/>
  <c r="M210" i="2" s="1"/>
  <c r="P210" i="2" s="1"/>
  <c r="G366" i="2"/>
  <c r="I366" i="2" s="1"/>
  <c r="K366" i="2" s="1"/>
  <c r="H366" i="2"/>
  <c r="A368" i="2"/>
  <c r="B367" i="2"/>
  <c r="D367" i="2"/>
  <c r="N365" i="2"/>
  <c r="O365" i="2"/>
  <c r="F211" i="2" l="1"/>
  <c r="J211" i="2" s="1"/>
  <c r="M211" i="2" s="1"/>
  <c r="P211" i="2" s="1"/>
  <c r="A369" i="2"/>
  <c r="D368" i="2"/>
  <c r="B368" i="2"/>
  <c r="H367" i="2"/>
  <c r="G367" i="2"/>
  <c r="I367" i="2" s="1"/>
  <c r="K367" i="2" s="1"/>
  <c r="O366" i="2"/>
  <c r="N366" i="2"/>
  <c r="F212" i="2" l="1"/>
  <c r="J212" i="2" s="1"/>
  <c r="M212" i="2" s="1"/>
  <c r="P212" i="2" s="1"/>
  <c r="N367" i="2"/>
  <c r="O367" i="2"/>
  <c r="H368" i="2"/>
  <c r="G368" i="2"/>
  <c r="I368" i="2" s="1"/>
  <c r="K368" i="2" s="1"/>
  <c r="A370" i="2"/>
  <c r="B369" i="2"/>
  <c r="D369" i="2"/>
  <c r="F213" i="2" l="1"/>
  <c r="J213" i="2" s="1"/>
  <c r="M213" i="2" s="1"/>
  <c r="P213" i="2" s="1"/>
  <c r="G369" i="2"/>
  <c r="I369" i="2" s="1"/>
  <c r="K369" i="2" s="1"/>
  <c r="H369" i="2"/>
  <c r="A371" i="2"/>
  <c r="D370" i="2"/>
  <c r="B370" i="2"/>
  <c r="O368" i="2"/>
  <c r="N368" i="2"/>
  <c r="F214" i="2" l="1"/>
  <c r="J214" i="2" s="1"/>
  <c r="M214" i="2" s="1"/>
  <c r="P214" i="2" s="1"/>
  <c r="G370" i="2"/>
  <c r="I370" i="2" s="1"/>
  <c r="K370" i="2" s="1"/>
  <c r="H370" i="2"/>
  <c r="A372" i="2"/>
  <c r="D371" i="2"/>
  <c r="B371" i="2"/>
  <c r="O369" i="2"/>
  <c r="N369" i="2"/>
  <c r="F215" i="2" l="1"/>
  <c r="J215" i="2" s="1"/>
  <c r="M215" i="2" s="1"/>
  <c r="P215" i="2" s="1"/>
  <c r="G371" i="2"/>
  <c r="I371" i="2" s="1"/>
  <c r="K371" i="2" s="1"/>
  <c r="H371" i="2"/>
  <c r="A373" i="2"/>
  <c r="D372" i="2"/>
  <c r="B372" i="2"/>
  <c r="O370" i="2"/>
  <c r="N370" i="2"/>
  <c r="F216" i="2" l="1"/>
  <c r="J216" i="2" s="1"/>
  <c r="M216" i="2" s="1"/>
  <c r="P216" i="2" s="1"/>
  <c r="H372" i="2"/>
  <c r="G372" i="2"/>
  <c r="I372" i="2" s="1"/>
  <c r="K372" i="2" s="1"/>
  <c r="A374" i="2"/>
  <c r="D373" i="2"/>
  <c r="B373" i="2"/>
  <c r="N371" i="2"/>
  <c r="O371" i="2"/>
  <c r="F217" i="2" l="1"/>
  <c r="J217" i="2" s="1"/>
  <c r="M217" i="2" s="1"/>
  <c r="P217" i="2" s="1"/>
  <c r="H373" i="2"/>
  <c r="G373" i="2"/>
  <c r="I373" i="2" s="1"/>
  <c r="K373" i="2" s="1"/>
  <c r="A375" i="2"/>
  <c r="B374" i="2"/>
  <c r="D374" i="2"/>
  <c r="N372" i="2"/>
  <c r="O372" i="2"/>
  <c r="F218" i="2" l="1"/>
  <c r="J218" i="2" s="1"/>
  <c r="M218" i="2" s="1"/>
  <c r="P218" i="2" s="1"/>
  <c r="A376" i="2"/>
  <c r="D375" i="2"/>
  <c r="B375" i="2"/>
  <c r="G374" i="2"/>
  <c r="I374" i="2" s="1"/>
  <c r="K374" i="2" s="1"/>
  <c r="H374" i="2"/>
  <c r="O373" i="2"/>
  <c r="N373" i="2"/>
  <c r="F219" i="2" l="1"/>
  <c r="J219" i="2" s="1"/>
  <c r="M219" i="2" s="1"/>
  <c r="P219" i="2" s="1"/>
  <c r="N374" i="2"/>
  <c r="O374" i="2"/>
  <c r="H375" i="2"/>
  <c r="G375" i="2"/>
  <c r="I375" i="2" s="1"/>
  <c r="K375" i="2" s="1"/>
  <c r="A377" i="2"/>
  <c r="D376" i="2"/>
  <c r="B376" i="2"/>
  <c r="F220" i="2" l="1"/>
  <c r="J220" i="2" s="1"/>
  <c r="M220" i="2" s="1"/>
  <c r="P220" i="2" s="1"/>
  <c r="O375" i="2"/>
  <c r="N375" i="2"/>
  <c r="G376" i="2"/>
  <c r="I376" i="2" s="1"/>
  <c r="K376" i="2" s="1"/>
  <c r="H376" i="2"/>
  <c r="A378" i="2"/>
  <c r="B377" i="2"/>
  <c r="D377" i="2"/>
  <c r="F221" i="2" l="1"/>
  <c r="J221" i="2" s="1"/>
  <c r="M221" i="2" s="1"/>
  <c r="P221" i="2" s="1"/>
  <c r="G377" i="2"/>
  <c r="I377" i="2" s="1"/>
  <c r="K377" i="2" s="1"/>
  <c r="H377" i="2"/>
  <c r="A379" i="2"/>
  <c r="D378" i="2"/>
  <c r="B378" i="2"/>
  <c r="N376" i="2"/>
  <c r="O376" i="2"/>
  <c r="F222" i="2" l="1"/>
  <c r="J222" i="2" s="1"/>
  <c r="M222" i="2" s="1"/>
  <c r="P222" i="2" s="1"/>
  <c r="G378" i="2"/>
  <c r="I378" i="2" s="1"/>
  <c r="K378" i="2" s="1"/>
  <c r="H378" i="2"/>
  <c r="A380" i="2"/>
  <c r="B379" i="2"/>
  <c r="D379" i="2"/>
  <c r="N377" i="2"/>
  <c r="O377" i="2"/>
  <c r="F223" i="2" l="1"/>
  <c r="J223" i="2" s="1"/>
  <c r="M223" i="2" s="1"/>
  <c r="P223" i="2" s="1"/>
  <c r="G379" i="2"/>
  <c r="I379" i="2" s="1"/>
  <c r="K379" i="2" s="1"/>
  <c r="H379" i="2"/>
  <c r="A381" i="2"/>
  <c r="D380" i="2"/>
  <c r="B380" i="2"/>
  <c r="N378" i="2"/>
  <c r="O378" i="2"/>
  <c r="F224" i="2" l="1"/>
  <c r="J224" i="2" s="1"/>
  <c r="M224" i="2" s="1"/>
  <c r="P224" i="2" s="1"/>
  <c r="H380" i="2"/>
  <c r="G380" i="2"/>
  <c r="I380" i="2" s="1"/>
  <c r="K380" i="2" s="1"/>
  <c r="A382" i="2"/>
  <c r="B381" i="2"/>
  <c r="D381" i="2"/>
  <c r="O379" i="2"/>
  <c r="N379" i="2"/>
  <c r="F225" i="2" l="1"/>
  <c r="J225" i="2" s="1"/>
  <c r="M225" i="2" s="1"/>
  <c r="P225" i="2" s="1"/>
  <c r="H381" i="2"/>
  <c r="G381" i="2"/>
  <c r="I381" i="2" s="1"/>
  <c r="K381" i="2" s="1"/>
  <c r="A383" i="2"/>
  <c r="B382" i="2"/>
  <c r="D382" i="2"/>
  <c r="O380" i="2"/>
  <c r="N380" i="2"/>
  <c r="F226" i="2" l="1"/>
  <c r="J226" i="2" s="1"/>
  <c r="M226" i="2" s="1"/>
  <c r="P226" i="2" s="1"/>
  <c r="G382" i="2"/>
  <c r="I382" i="2" s="1"/>
  <c r="K382" i="2" s="1"/>
  <c r="H382" i="2"/>
  <c r="A384" i="2"/>
  <c r="D383" i="2"/>
  <c r="B383" i="2"/>
  <c r="O381" i="2"/>
  <c r="N381" i="2"/>
  <c r="F227" i="2" l="1"/>
  <c r="J227" i="2" s="1"/>
  <c r="M227" i="2" s="1"/>
  <c r="P227" i="2" s="1"/>
  <c r="H383" i="2"/>
  <c r="G383" i="2"/>
  <c r="I383" i="2" s="1"/>
  <c r="K383" i="2" s="1"/>
  <c r="A385" i="2"/>
  <c r="B384" i="2"/>
  <c r="D384" i="2"/>
  <c r="N382" i="2"/>
  <c r="O382" i="2"/>
  <c r="F228" i="2" l="1"/>
  <c r="J228" i="2" s="1"/>
  <c r="M228" i="2" s="1"/>
  <c r="P228" i="2" s="1"/>
  <c r="H384" i="2"/>
  <c r="G384" i="2"/>
  <c r="I384" i="2" s="1"/>
  <c r="K384" i="2" s="1"/>
  <c r="A386" i="2"/>
  <c r="D385" i="2"/>
  <c r="B385" i="2"/>
  <c r="N383" i="2"/>
  <c r="O383" i="2"/>
  <c r="F229" i="2" l="1"/>
  <c r="J229" i="2" s="1"/>
  <c r="M229" i="2" s="1"/>
  <c r="P229" i="2" s="1"/>
  <c r="G385" i="2"/>
  <c r="I385" i="2" s="1"/>
  <c r="K385" i="2" s="1"/>
  <c r="H385" i="2"/>
  <c r="A387" i="2"/>
  <c r="B386" i="2"/>
  <c r="D386" i="2"/>
  <c r="O384" i="2"/>
  <c r="N384" i="2"/>
  <c r="F230" i="2" l="1"/>
  <c r="J230" i="2" s="1"/>
  <c r="M230" i="2" s="1"/>
  <c r="P230" i="2" s="1"/>
  <c r="H386" i="2"/>
  <c r="G386" i="2"/>
  <c r="I386" i="2" s="1"/>
  <c r="K386" i="2" s="1"/>
  <c r="A388" i="2"/>
  <c r="B387" i="2"/>
  <c r="D387" i="2"/>
  <c r="O385" i="2"/>
  <c r="N385" i="2"/>
  <c r="F231" i="2" l="1"/>
  <c r="J231" i="2" s="1"/>
  <c r="M231" i="2" s="1"/>
  <c r="P231" i="2" s="1"/>
  <c r="A389" i="2"/>
  <c r="B388" i="2"/>
  <c r="D388" i="2"/>
  <c r="N386" i="2"/>
  <c r="O386" i="2"/>
  <c r="H387" i="2"/>
  <c r="G387" i="2"/>
  <c r="I387" i="2" s="1"/>
  <c r="K387" i="2" s="1"/>
  <c r="F232" i="2" l="1"/>
  <c r="J232" i="2" s="1"/>
  <c r="M232" i="2" s="1"/>
  <c r="P232" i="2" s="1"/>
  <c r="N387" i="2"/>
  <c r="O387" i="2"/>
  <c r="H388" i="2"/>
  <c r="G388" i="2"/>
  <c r="I388" i="2" s="1"/>
  <c r="K388" i="2" s="1"/>
  <c r="A390" i="2"/>
  <c r="B389" i="2"/>
  <c r="D389" i="2"/>
  <c r="F233" i="2" l="1"/>
  <c r="J233" i="2" s="1"/>
  <c r="M233" i="2" s="1"/>
  <c r="P233" i="2" s="1"/>
  <c r="A391" i="2"/>
  <c r="D390" i="2"/>
  <c r="B390" i="2"/>
  <c r="G389" i="2"/>
  <c r="I389" i="2" s="1"/>
  <c r="K389" i="2" s="1"/>
  <c r="H389" i="2"/>
  <c r="N388" i="2"/>
  <c r="O388" i="2"/>
  <c r="F234" i="2" l="1"/>
  <c r="J234" i="2" s="1"/>
  <c r="M234" i="2" s="1"/>
  <c r="P234" i="2" s="1"/>
  <c r="O389" i="2"/>
  <c r="N389" i="2"/>
  <c r="G390" i="2"/>
  <c r="I390" i="2" s="1"/>
  <c r="K390" i="2" s="1"/>
  <c r="H390" i="2"/>
  <c r="A392" i="2"/>
  <c r="D391" i="2"/>
  <c r="B391" i="2"/>
  <c r="F235" i="2" l="1"/>
  <c r="J235" i="2" s="1"/>
  <c r="M235" i="2" s="1"/>
  <c r="P235" i="2" s="1"/>
  <c r="N390" i="2"/>
  <c r="O390" i="2"/>
  <c r="H391" i="2"/>
  <c r="G391" i="2"/>
  <c r="I391" i="2" s="1"/>
  <c r="K391" i="2" s="1"/>
  <c r="A393" i="2"/>
  <c r="D392" i="2"/>
  <c r="B392" i="2"/>
  <c r="F236" i="2" l="1"/>
  <c r="J236" i="2" s="1"/>
  <c r="M236" i="2" s="1"/>
  <c r="P236" i="2" s="1"/>
  <c r="G392" i="2"/>
  <c r="I392" i="2" s="1"/>
  <c r="K392" i="2" s="1"/>
  <c r="H392" i="2"/>
  <c r="A394" i="2"/>
  <c r="B393" i="2"/>
  <c r="D393" i="2"/>
  <c r="N391" i="2"/>
  <c r="O391" i="2"/>
  <c r="F237" i="2" l="1"/>
  <c r="J237" i="2" s="1"/>
  <c r="M237" i="2" s="1"/>
  <c r="P237" i="2" s="1"/>
  <c r="G393" i="2"/>
  <c r="I393" i="2" s="1"/>
  <c r="K393" i="2" s="1"/>
  <c r="H393" i="2"/>
  <c r="A395" i="2"/>
  <c r="B394" i="2"/>
  <c r="D394" i="2"/>
  <c r="N392" i="2"/>
  <c r="O392" i="2"/>
  <c r="F238" i="2" l="1"/>
  <c r="J238" i="2" s="1"/>
  <c r="M238" i="2" s="1"/>
  <c r="P238" i="2" s="1"/>
  <c r="D395" i="2"/>
  <c r="A396" i="2"/>
  <c r="B395" i="2"/>
  <c r="G394" i="2"/>
  <c r="I394" i="2" s="1"/>
  <c r="K394" i="2" s="1"/>
  <c r="H394" i="2"/>
  <c r="N393" i="2"/>
  <c r="O393" i="2"/>
  <c r="F239" i="2" l="1"/>
  <c r="J239" i="2" s="1"/>
  <c r="M239" i="2" s="1"/>
  <c r="P239" i="2" s="1"/>
  <c r="O394" i="2"/>
  <c r="N394" i="2"/>
  <c r="B396" i="2"/>
  <c r="D396" i="2"/>
  <c r="A397" i="2"/>
  <c r="G395" i="2"/>
  <c r="I395" i="2" s="1"/>
  <c r="K395" i="2" s="1"/>
  <c r="H395" i="2"/>
  <c r="F240" i="2" l="1"/>
  <c r="J240" i="2" s="1"/>
  <c r="M240" i="2" s="1"/>
  <c r="P240" i="2" s="1"/>
  <c r="O395" i="2"/>
  <c r="N395" i="2"/>
  <c r="A398" i="2"/>
  <c r="D397" i="2"/>
  <c r="B397" i="2"/>
  <c r="H396" i="2"/>
  <c r="G396" i="2"/>
  <c r="I396" i="2" s="1"/>
  <c r="K396" i="2" s="1"/>
  <c r="F241" i="2" l="1"/>
  <c r="J241" i="2" s="1"/>
  <c r="M241" i="2" s="1"/>
  <c r="P241" i="2" s="1"/>
  <c r="O396" i="2"/>
  <c r="N396" i="2"/>
  <c r="H397" i="2"/>
  <c r="G397" i="2"/>
  <c r="I397" i="2" s="1"/>
  <c r="K397" i="2" s="1"/>
  <c r="A399" i="2"/>
  <c r="B398" i="2"/>
  <c r="D398" i="2"/>
  <c r="F242" i="2" l="1"/>
  <c r="J242" i="2" s="1"/>
  <c r="M242" i="2" s="1"/>
  <c r="P242" i="2" s="1"/>
  <c r="H398" i="2"/>
  <c r="G398" i="2"/>
  <c r="I398" i="2" s="1"/>
  <c r="K398" i="2" s="1"/>
  <c r="D399" i="2"/>
  <c r="B399" i="2"/>
  <c r="A400" i="2"/>
  <c r="N397" i="2"/>
  <c r="O397" i="2"/>
  <c r="F243" i="2" l="1"/>
  <c r="J243" i="2" s="1"/>
  <c r="M243" i="2" s="1"/>
  <c r="P243" i="2" s="1"/>
  <c r="H399" i="2"/>
  <c r="G399" i="2"/>
  <c r="I399" i="2" s="1"/>
  <c r="K399" i="2" s="1"/>
  <c r="A401" i="2"/>
  <c r="B400" i="2"/>
  <c r="D400" i="2"/>
  <c r="N398" i="2"/>
  <c r="O398" i="2"/>
  <c r="F244" i="2" l="1"/>
  <c r="J244" i="2" s="1"/>
  <c r="M244" i="2" s="1"/>
  <c r="P244" i="2" s="1"/>
  <c r="G400" i="2"/>
  <c r="I400" i="2" s="1"/>
  <c r="K400" i="2" s="1"/>
  <c r="H400" i="2"/>
  <c r="A402" i="2"/>
  <c r="B401" i="2"/>
  <c r="D401" i="2"/>
  <c r="O399" i="2"/>
  <c r="N399" i="2"/>
  <c r="F245" i="2" l="1"/>
  <c r="J245" i="2" s="1"/>
  <c r="M245" i="2" s="1"/>
  <c r="P245" i="2" s="1"/>
  <c r="G401" i="2"/>
  <c r="I401" i="2" s="1"/>
  <c r="K401" i="2" s="1"/>
  <c r="H401" i="2"/>
  <c r="A403" i="2"/>
  <c r="B402" i="2"/>
  <c r="D402" i="2"/>
  <c r="O400" i="2"/>
  <c r="N400" i="2"/>
  <c r="F246" i="2" l="1"/>
  <c r="J246" i="2" s="1"/>
  <c r="M246" i="2" s="1"/>
  <c r="P246" i="2" s="1"/>
  <c r="G402" i="2"/>
  <c r="I402" i="2" s="1"/>
  <c r="K402" i="2" s="1"/>
  <c r="H402" i="2"/>
  <c r="A404" i="2"/>
  <c r="D403" i="2"/>
  <c r="B403" i="2"/>
  <c r="N401" i="2"/>
  <c r="O401" i="2"/>
  <c r="F247" i="2" l="1"/>
  <c r="J247" i="2" s="1"/>
  <c r="M247" i="2" s="1"/>
  <c r="P247" i="2" s="1"/>
  <c r="G403" i="2"/>
  <c r="I403" i="2" s="1"/>
  <c r="K403" i="2" s="1"/>
  <c r="H403" i="2"/>
  <c r="A405" i="2"/>
  <c r="D404" i="2"/>
  <c r="B404" i="2"/>
  <c r="N402" i="2"/>
  <c r="O402" i="2"/>
  <c r="F248" i="2" l="1"/>
  <c r="J248" i="2" s="1"/>
  <c r="M248" i="2" s="1"/>
  <c r="P248" i="2" s="1"/>
  <c r="G404" i="2"/>
  <c r="I404" i="2" s="1"/>
  <c r="K404" i="2" s="1"/>
  <c r="H404" i="2"/>
  <c r="D405" i="2"/>
  <c r="A406" i="2"/>
  <c r="B405" i="2"/>
  <c r="N403" i="2"/>
  <c r="O403" i="2"/>
  <c r="F249" i="2" l="1"/>
  <c r="J249" i="2" s="1"/>
  <c r="M249" i="2" s="1"/>
  <c r="P249" i="2" s="1"/>
  <c r="G405" i="2"/>
  <c r="I405" i="2" s="1"/>
  <c r="K405" i="2" s="1"/>
  <c r="H405" i="2"/>
  <c r="A407" i="2"/>
  <c r="B406" i="2"/>
  <c r="D406" i="2"/>
  <c r="N404" i="2"/>
  <c r="O404" i="2"/>
  <c r="F250" i="2" l="1"/>
  <c r="J250" i="2" s="1"/>
  <c r="M250" i="2" s="1"/>
  <c r="P250" i="2" s="1"/>
  <c r="H406" i="2"/>
  <c r="G406" i="2"/>
  <c r="I406" i="2" s="1"/>
  <c r="K406" i="2" s="1"/>
  <c r="A408" i="2"/>
  <c r="D407" i="2"/>
  <c r="B407" i="2"/>
  <c r="O405" i="2"/>
  <c r="N405" i="2"/>
  <c r="F251" i="2" l="1"/>
  <c r="J251" i="2" s="1"/>
  <c r="M251" i="2" s="1"/>
  <c r="P251" i="2" s="1"/>
  <c r="G407" i="2"/>
  <c r="I407" i="2" s="1"/>
  <c r="K407" i="2" s="1"/>
  <c r="H407" i="2"/>
  <c r="D408" i="2"/>
  <c r="B408" i="2"/>
  <c r="A409" i="2"/>
  <c r="N406" i="2"/>
  <c r="O406" i="2"/>
  <c r="F252" i="2" l="1"/>
  <c r="J252" i="2" s="1"/>
  <c r="M252" i="2" s="1"/>
  <c r="P252" i="2" s="1"/>
  <c r="A410" i="2"/>
  <c r="B409" i="2"/>
  <c r="D409" i="2"/>
  <c r="H408" i="2"/>
  <c r="G408" i="2"/>
  <c r="I408" i="2" s="1"/>
  <c r="K408" i="2" s="1"/>
  <c r="N407" i="2"/>
  <c r="O407" i="2"/>
  <c r="F253" i="2" l="1"/>
  <c r="J253" i="2" s="1"/>
  <c r="M253" i="2" s="1"/>
  <c r="P253" i="2" s="1"/>
  <c r="O408" i="2"/>
  <c r="N408" i="2"/>
  <c r="H409" i="2"/>
  <c r="G409" i="2"/>
  <c r="I409" i="2" s="1"/>
  <c r="K409" i="2" s="1"/>
  <c r="A411" i="2"/>
  <c r="B410" i="2"/>
  <c r="D410" i="2"/>
  <c r="F254" i="2" l="1"/>
  <c r="J254" i="2" s="1"/>
  <c r="M254" i="2" s="1"/>
  <c r="P254" i="2" s="1"/>
  <c r="G410" i="2"/>
  <c r="I410" i="2" s="1"/>
  <c r="K410" i="2" s="1"/>
  <c r="H410" i="2"/>
  <c r="O409" i="2"/>
  <c r="N409" i="2"/>
  <c r="B411" i="2"/>
  <c r="D411" i="2"/>
  <c r="A412" i="2"/>
  <c r="F255" i="2" l="1"/>
  <c r="J255" i="2" s="1"/>
  <c r="M255" i="2" s="1"/>
  <c r="P255" i="2" s="1"/>
  <c r="A413" i="2"/>
  <c r="D412" i="2"/>
  <c r="B412" i="2"/>
  <c r="G411" i="2"/>
  <c r="I411" i="2" s="1"/>
  <c r="K411" i="2" s="1"/>
  <c r="H411" i="2"/>
  <c r="N410" i="2"/>
  <c r="O410" i="2"/>
  <c r="F256" i="2" l="1"/>
  <c r="J256" i="2" s="1"/>
  <c r="M256" i="2" s="1"/>
  <c r="P256" i="2" s="1"/>
  <c r="N411" i="2"/>
  <c r="O411" i="2"/>
  <c r="G412" i="2"/>
  <c r="I412" i="2" s="1"/>
  <c r="K412" i="2" s="1"/>
  <c r="H412" i="2"/>
  <c r="A414" i="2"/>
  <c r="D413" i="2"/>
  <c r="B413" i="2"/>
  <c r="F257" i="2" l="1"/>
  <c r="J257" i="2" s="1"/>
  <c r="M257" i="2" s="1"/>
  <c r="P257" i="2" s="1"/>
  <c r="H413" i="2"/>
  <c r="G413" i="2"/>
  <c r="I413" i="2" s="1"/>
  <c r="K413" i="2" s="1"/>
  <c r="A415" i="2"/>
  <c r="B414" i="2"/>
  <c r="D414" i="2"/>
  <c r="O412" i="2"/>
  <c r="N412" i="2"/>
  <c r="F258" i="2" l="1"/>
  <c r="J258" i="2" s="1"/>
  <c r="M258" i="2" s="1"/>
  <c r="P258" i="2" s="1"/>
  <c r="H414" i="2"/>
  <c r="G414" i="2"/>
  <c r="I414" i="2" s="1"/>
  <c r="K414" i="2" s="1"/>
  <c r="A416" i="2"/>
  <c r="D415" i="2"/>
  <c r="B415" i="2"/>
  <c r="N413" i="2"/>
  <c r="O413" i="2"/>
  <c r="F259" i="2" l="1"/>
  <c r="J259" i="2" s="1"/>
  <c r="M259" i="2" s="1"/>
  <c r="P259" i="2" s="1"/>
  <c r="G415" i="2"/>
  <c r="I415" i="2" s="1"/>
  <c r="K415" i="2" s="1"/>
  <c r="H415" i="2"/>
  <c r="D416" i="2"/>
  <c r="B416" i="2"/>
  <c r="A417" i="2"/>
  <c r="N414" i="2"/>
  <c r="O414" i="2"/>
  <c r="F260" i="2" l="1"/>
  <c r="J260" i="2" s="1"/>
  <c r="M260" i="2" s="1"/>
  <c r="P260" i="2" s="1"/>
  <c r="A418" i="2"/>
  <c r="B417" i="2"/>
  <c r="D417" i="2"/>
  <c r="G416" i="2"/>
  <c r="I416" i="2" s="1"/>
  <c r="K416" i="2" s="1"/>
  <c r="H416" i="2"/>
  <c r="N415" i="2"/>
  <c r="O415" i="2"/>
  <c r="F261" i="2" l="1"/>
  <c r="J261" i="2" s="1"/>
  <c r="M261" i="2" s="1"/>
  <c r="P261" i="2" s="1"/>
  <c r="O416" i="2"/>
  <c r="N416" i="2"/>
  <c r="H417" i="2"/>
  <c r="G417" i="2"/>
  <c r="I417" i="2" s="1"/>
  <c r="K417" i="2" s="1"/>
  <c r="D418" i="2"/>
  <c r="A419" i="2"/>
  <c r="B418" i="2"/>
  <c r="F262" i="2" l="1"/>
  <c r="J262" i="2" s="1"/>
  <c r="M262" i="2" s="1"/>
  <c r="P262" i="2" s="1"/>
  <c r="A420" i="2"/>
  <c r="D419" i="2"/>
  <c r="B419" i="2"/>
  <c r="G418" i="2"/>
  <c r="I418" i="2" s="1"/>
  <c r="K418" i="2" s="1"/>
  <c r="H418" i="2"/>
  <c r="O417" i="2"/>
  <c r="N417" i="2"/>
  <c r="F263" i="2" l="1"/>
  <c r="J263" i="2" s="1"/>
  <c r="M263" i="2" s="1"/>
  <c r="P263" i="2" s="1"/>
  <c r="G419" i="2"/>
  <c r="I419" i="2" s="1"/>
  <c r="K419" i="2" s="1"/>
  <c r="H419" i="2"/>
  <c r="O418" i="2"/>
  <c r="N418" i="2"/>
  <c r="B420" i="2"/>
  <c r="D420" i="2"/>
  <c r="A421" i="2"/>
  <c r="F264" i="2" l="1"/>
  <c r="J264" i="2" s="1"/>
  <c r="M264" i="2" s="1"/>
  <c r="P264" i="2" s="1"/>
  <c r="D421" i="2"/>
  <c r="B421" i="2"/>
  <c r="A422" i="2"/>
  <c r="G420" i="2"/>
  <c r="I420" i="2" s="1"/>
  <c r="K420" i="2" s="1"/>
  <c r="H420" i="2"/>
  <c r="N419" i="2"/>
  <c r="O419" i="2"/>
  <c r="F265" i="2" l="1"/>
  <c r="J265" i="2" s="1"/>
  <c r="M265" i="2" s="1"/>
  <c r="P265" i="2" s="1"/>
  <c r="N420" i="2"/>
  <c r="O420" i="2"/>
  <c r="D422" i="2"/>
  <c r="A423" i="2"/>
  <c r="B422" i="2"/>
  <c r="G421" i="2"/>
  <c r="I421" i="2" s="1"/>
  <c r="K421" i="2" s="1"/>
  <c r="H421" i="2"/>
  <c r="F266" i="2" l="1"/>
  <c r="J266" i="2" s="1"/>
  <c r="M266" i="2" s="1"/>
  <c r="P266" i="2" s="1"/>
  <c r="H422" i="2"/>
  <c r="G422" i="2"/>
  <c r="I422" i="2" s="1"/>
  <c r="K422" i="2" s="1"/>
  <c r="O421" i="2"/>
  <c r="N421" i="2"/>
  <c r="A424" i="2"/>
  <c r="D423" i="2"/>
  <c r="B423" i="2"/>
  <c r="F267" i="2" l="1"/>
  <c r="J267" i="2" s="1"/>
  <c r="M267" i="2" s="1"/>
  <c r="P267" i="2" s="1"/>
  <c r="H423" i="2"/>
  <c r="G423" i="2"/>
  <c r="I423" i="2" s="1"/>
  <c r="K423" i="2" s="1"/>
  <c r="A425" i="2"/>
  <c r="B424" i="2"/>
  <c r="D424" i="2"/>
  <c r="N422" i="2"/>
  <c r="O422" i="2"/>
  <c r="F268" i="2" l="1"/>
  <c r="J268" i="2" s="1"/>
  <c r="M268" i="2" s="1"/>
  <c r="P268" i="2" s="1"/>
  <c r="H424" i="2"/>
  <c r="G424" i="2"/>
  <c r="I424" i="2" s="1"/>
  <c r="K424" i="2" s="1"/>
  <c r="A426" i="2"/>
  <c r="D425" i="2"/>
  <c r="B425" i="2"/>
  <c r="N423" i="2"/>
  <c r="O423" i="2"/>
  <c r="F269" i="2" l="1"/>
  <c r="J269" i="2" s="1"/>
  <c r="M269" i="2" s="1"/>
  <c r="P269" i="2" s="1"/>
  <c r="H425" i="2"/>
  <c r="G425" i="2"/>
  <c r="I425" i="2" s="1"/>
  <c r="K425" i="2" s="1"/>
  <c r="A427" i="2"/>
  <c r="B426" i="2"/>
  <c r="D426" i="2"/>
  <c r="N424" i="2"/>
  <c r="O424" i="2"/>
  <c r="F270" i="2" l="1"/>
  <c r="J270" i="2" s="1"/>
  <c r="M270" i="2" s="1"/>
  <c r="P270" i="2" s="1"/>
  <c r="G426" i="2"/>
  <c r="I426" i="2" s="1"/>
  <c r="K426" i="2" s="1"/>
  <c r="H426" i="2"/>
  <c r="A428" i="2"/>
  <c r="D427" i="2"/>
  <c r="B427" i="2"/>
  <c r="O425" i="2"/>
  <c r="N425" i="2"/>
  <c r="F271" i="2" l="1"/>
  <c r="J271" i="2" s="1"/>
  <c r="M271" i="2" s="1"/>
  <c r="P271" i="2" s="1"/>
  <c r="H427" i="2"/>
  <c r="G427" i="2"/>
  <c r="I427" i="2" s="1"/>
  <c r="K427" i="2" s="1"/>
  <c r="A429" i="2"/>
  <c r="B428" i="2"/>
  <c r="D428" i="2"/>
  <c r="O426" i="2"/>
  <c r="N426" i="2"/>
  <c r="F272" i="2" l="1"/>
  <c r="J272" i="2" s="1"/>
  <c r="M272" i="2" s="1"/>
  <c r="P272" i="2" s="1"/>
  <c r="H428" i="2"/>
  <c r="G428" i="2"/>
  <c r="I428" i="2" s="1"/>
  <c r="K428" i="2" s="1"/>
  <c r="B429" i="2"/>
  <c r="D429" i="2"/>
  <c r="A430" i="2"/>
  <c r="N427" i="2"/>
  <c r="O427" i="2"/>
  <c r="F273" i="2" l="1"/>
  <c r="J273" i="2" s="1"/>
  <c r="M273" i="2" s="1"/>
  <c r="P273" i="2" s="1"/>
  <c r="A431" i="2"/>
  <c r="B430" i="2"/>
  <c r="D430" i="2"/>
  <c r="G429" i="2"/>
  <c r="I429" i="2" s="1"/>
  <c r="K429" i="2" s="1"/>
  <c r="H429" i="2"/>
  <c r="O428" i="2"/>
  <c r="N428" i="2"/>
  <c r="F274" i="2" l="1"/>
  <c r="J274" i="2" s="1"/>
  <c r="M274" i="2" s="1"/>
  <c r="P274" i="2" s="1"/>
  <c r="O429" i="2"/>
  <c r="N429" i="2"/>
  <c r="G430" i="2"/>
  <c r="I430" i="2" s="1"/>
  <c r="K430" i="2" s="1"/>
  <c r="H430" i="2"/>
  <c r="A432" i="2"/>
  <c r="B431" i="2"/>
  <c r="D431" i="2"/>
  <c r="F275" i="2" l="1"/>
  <c r="J275" i="2" s="1"/>
  <c r="M275" i="2" s="1"/>
  <c r="P275" i="2" s="1"/>
  <c r="A433" i="2"/>
  <c r="B432" i="2"/>
  <c r="D432" i="2"/>
  <c r="H431" i="2"/>
  <c r="G431" i="2"/>
  <c r="I431" i="2" s="1"/>
  <c r="K431" i="2" s="1"/>
  <c r="O430" i="2"/>
  <c r="N430" i="2"/>
  <c r="F276" i="2" l="1"/>
  <c r="J276" i="2" s="1"/>
  <c r="M276" i="2" s="1"/>
  <c r="P276" i="2" s="1"/>
  <c r="O431" i="2"/>
  <c r="N431" i="2"/>
  <c r="H432" i="2"/>
  <c r="G432" i="2"/>
  <c r="I432" i="2" s="1"/>
  <c r="K432" i="2" s="1"/>
  <c r="B433" i="2"/>
  <c r="A434" i="2"/>
  <c r="D433" i="2"/>
  <c r="F277" i="2" l="1"/>
  <c r="J277" i="2" s="1"/>
  <c r="M277" i="2" s="1"/>
  <c r="P277" i="2" s="1"/>
  <c r="G433" i="2"/>
  <c r="I433" i="2" s="1"/>
  <c r="K433" i="2" s="1"/>
  <c r="H433" i="2"/>
  <c r="B434" i="2"/>
  <c r="D434" i="2"/>
  <c r="A435" i="2"/>
  <c r="O432" i="2"/>
  <c r="N432" i="2"/>
  <c r="F278" i="2" l="1"/>
  <c r="J278" i="2" s="1"/>
  <c r="M278" i="2" s="1"/>
  <c r="P278" i="2" s="1"/>
  <c r="A436" i="2"/>
  <c r="D435" i="2"/>
  <c r="B435" i="2"/>
  <c r="G434" i="2"/>
  <c r="I434" i="2" s="1"/>
  <c r="K434" i="2" s="1"/>
  <c r="H434" i="2"/>
  <c r="O433" i="2"/>
  <c r="N433" i="2"/>
  <c r="F279" i="2" l="1"/>
  <c r="J279" i="2" s="1"/>
  <c r="M279" i="2" s="1"/>
  <c r="P279" i="2" s="1"/>
  <c r="O434" i="2"/>
  <c r="N434" i="2"/>
  <c r="H435" i="2"/>
  <c r="G435" i="2"/>
  <c r="I435" i="2" s="1"/>
  <c r="K435" i="2" s="1"/>
  <c r="A437" i="2"/>
  <c r="B436" i="2"/>
  <c r="D436" i="2"/>
  <c r="F280" i="2" l="1"/>
  <c r="J280" i="2" s="1"/>
  <c r="M280" i="2" s="1"/>
  <c r="P280" i="2" s="1"/>
  <c r="H436" i="2"/>
  <c r="G436" i="2"/>
  <c r="I436" i="2" s="1"/>
  <c r="K436" i="2" s="1"/>
  <c r="A438" i="2"/>
  <c r="D437" i="2"/>
  <c r="B437" i="2"/>
  <c r="O435" i="2"/>
  <c r="N435" i="2"/>
  <c r="F281" i="2" l="1"/>
  <c r="J281" i="2" s="1"/>
  <c r="M281" i="2" s="1"/>
  <c r="P281" i="2" s="1"/>
  <c r="H437" i="2"/>
  <c r="G437" i="2"/>
  <c r="I437" i="2" s="1"/>
  <c r="K437" i="2" s="1"/>
  <c r="A439" i="2"/>
  <c r="B438" i="2"/>
  <c r="D438" i="2"/>
  <c r="O436" i="2"/>
  <c r="N436" i="2"/>
  <c r="F282" i="2" l="1"/>
  <c r="J282" i="2" s="1"/>
  <c r="M282" i="2" s="1"/>
  <c r="P282" i="2" s="1"/>
  <c r="H438" i="2"/>
  <c r="G438" i="2"/>
  <c r="I438" i="2" s="1"/>
  <c r="K438" i="2" s="1"/>
  <c r="D439" i="2"/>
  <c r="B439" i="2"/>
  <c r="A440" i="2"/>
  <c r="N437" i="2"/>
  <c r="O437" i="2"/>
  <c r="F283" i="2" l="1"/>
  <c r="J283" i="2" s="1"/>
  <c r="M283" i="2" s="1"/>
  <c r="P283" i="2" s="1"/>
  <c r="A441" i="2"/>
  <c r="D440" i="2"/>
  <c r="B440" i="2"/>
  <c r="H439" i="2"/>
  <c r="G439" i="2"/>
  <c r="I439" i="2" s="1"/>
  <c r="K439" i="2" s="1"/>
  <c r="N438" i="2"/>
  <c r="O438" i="2"/>
  <c r="F284" i="2" l="1"/>
  <c r="J284" i="2" s="1"/>
  <c r="M284" i="2" s="1"/>
  <c r="P284" i="2" s="1"/>
  <c r="O439" i="2"/>
  <c r="N439" i="2"/>
  <c r="H440" i="2"/>
  <c r="G440" i="2"/>
  <c r="I440" i="2" s="1"/>
  <c r="K440" i="2" s="1"/>
  <c r="A442" i="2"/>
  <c r="B441" i="2"/>
  <c r="D441" i="2"/>
  <c r="F285" i="2" l="1"/>
  <c r="J285" i="2" s="1"/>
  <c r="M285" i="2" s="1"/>
  <c r="P285" i="2" s="1"/>
  <c r="O440" i="2"/>
  <c r="N440" i="2"/>
  <c r="H441" i="2"/>
  <c r="G441" i="2"/>
  <c r="I441" i="2" s="1"/>
  <c r="K441" i="2" s="1"/>
  <c r="A443" i="2"/>
  <c r="D442" i="2"/>
  <c r="B442" i="2"/>
  <c r="F286" i="2" l="1"/>
  <c r="J286" i="2" s="1"/>
  <c r="M286" i="2" s="1"/>
  <c r="P286" i="2" s="1"/>
  <c r="A444" i="2"/>
  <c r="D443" i="2"/>
  <c r="B443" i="2"/>
  <c r="H442" i="2"/>
  <c r="G442" i="2"/>
  <c r="I442" i="2" s="1"/>
  <c r="K442" i="2" s="1"/>
  <c r="N441" i="2"/>
  <c r="O441" i="2"/>
  <c r="F287" i="2" l="1"/>
  <c r="J287" i="2" s="1"/>
  <c r="M287" i="2" s="1"/>
  <c r="P287" i="2" s="1"/>
  <c r="H443" i="2"/>
  <c r="G443" i="2"/>
  <c r="I443" i="2" s="1"/>
  <c r="K443" i="2" s="1"/>
  <c r="O442" i="2"/>
  <c r="N442" i="2"/>
  <c r="A445" i="2"/>
  <c r="B444" i="2"/>
  <c r="D444" i="2"/>
  <c r="F288" i="2" l="1"/>
  <c r="J288" i="2" s="1"/>
  <c r="M288" i="2" s="1"/>
  <c r="P288" i="2" s="1"/>
  <c r="H444" i="2"/>
  <c r="G444" i="2"/>
  <c r="I444" i="2" s="1"/>
  <c r="K444" i="2" s="1"/>
  <c r="A446" i="2"/>
  <c r="D445" i="2"/>
  <c r="B445" i="2"/>
  <c r="N443" i="2"/>
  <c r="O443" i="2"/>
  <c r="F289" i="2" l="1"/>
  <c r="J289" i="2" s="1"/>
  <c r="M289" i="2" s="1"/>
  <c r="P289" i="2" s="1"/>
  <c r="H445" i="2"/>
  <c r="G445" i="2"/>
  <c r="I445" i="2" s="1"/>
  <c r="K445" i="2" s="1"/>
  <c r="B446" i="2"/>
  <c r="D446" i="2"/>
  <c r="A447" i="2"/>
  <c r="N444" i="2"/>
  <c r="O444" i="2"/>
  <c r="F290" i="2" l="1"/>
  <c r="J290" i="2" s="1"/>
  <c r="M290" i="2" s="1"/>
  <c r="P290" i="2" s="1"/>
  <c r="B447" i="2"/>
  <c r="D447" i="2"/>
  <c r="A448" i="2"/>
  <c r="H446" i="2"/>
  <c r="G446" i="2"/>
  <c r="I446" i="2" s="1"/>
  <c r="K446" i="2" s="1"/>
  <c r="N445" i="2"/>
  <c r="O445" i="2"/>
  <c r="F291" i="2" l="1"/>
  <c r="J291" i="2" s="1"/>
  <c r="M291" i="2" s="1"/>
  <c r="P291" i="2" s="1"/>
  <c r="A449" i="2"/>
  <c r="B448" i="2"/>
  <c r="D448" i="2"/>
  <c r="O446" i="2"/>
  <c r="N446" i="2"/>
  <c r="H447" i="2"/>
  <c r="G447" i="2"/>
  <c r="I447" i="2" s="1"/>
  <c r="K447" i="2" s="1"/>
  <c r="F292" i="2" l="1"/>
  <c r="J292" i="2" s="1"/>
  <c r="M292" i="2" s="1"/>
  <c r="P292" i="2" s="1"/>
  <c r="N447" i="2"/>
  <c r="O447" i="2"/>
  <c r="H448" i="2"/>
  <c r="G448" i="2"/>
  <c r="I448" i="2" s="1"/>
  <c r="K448" i="2" s="1"/>
  <c r="A450" i="2"/>
  <c r="B449" i="2"/>
  <c r="D449" i="2"/>
  <c r="F293" i="2" l="1"/>
  <c r="J293" i="2" s="1"/>
  <c r="M293" i="2" s="1"/>
  <c r="P293" i="2" s="1"/>
  <c r="G449" i="2"/>
  <c r="I449" i="2" s="1"/>
  <c r="K449" i="2" s="1"/>
  <c r="H449" i="2"/>
  <c r="B450" i="2"/>
  <c r="D450" i="2"/>
  <c r="A451" i="2"/>
  <c r="O448" i="2"/>
  <c r="N448" i="2"/>
  <c r="F294" i="2" l="1"/>
  <c r="J294" i="2" s="1"/>
  <c r="M294" i="2" s="1"/>
  <c r="P294" i="2" s="1"/>
  <c r="A452" i="2"/>
  <c r="D451" i="2"/>
  <c r="B451" i="2"/>
  <c r="G450" i="2"/>
  <c r="I450" i="2" s="1"/>
  <c r="K450" i="2" s="1"/>
  <c r="H450" i="2"/>
  <c r="N449" i="2"/>
  <c r="O449" i="2"/>
  <c r="F295" i="2" l="1"/>
  <c r="J295" i="2" s="1"/>
  <c r="M295" i="2" s="1"/>
  <c r="P295" i="2" s="1"/>
  <c r="O450" i="2"/>
  <c r="N450" i="2"/>
  <c r="G451" i="2"/>
  <c r="I451" i="2" s="1"/>
  <c r="K451" i="2" s="1"/>
  <c r="H451" i="2"/>
  <c r="B452" i="2"/>
  <c r="D452" i="2"/>
  <c r="A453" i="2"/>
  <c r="F296" i="2" l="1"/>
  <c r="J296" i="2" s="1"/>
  <c r="M296" i="2" s="1"/>
  <c r="P296" i="2" s="1"/>
  <c r="D453" i="2"/>
  <c r="B453" i="2"/>
  <c r="A454" i="2"/>
  <c r="H452" i="2"/>
  <c r="G452" i="2"/>
  <c r="I452" i="2" s="1"/>
  <c r="K452" i="2" s="1"/>
  <c r="N451" i="2"/>
  <c r="O451" i="2"/>
  <c r="F297" i="2" l="1"/>
  <c r="J297" i="2" s="1"/>
  <c r="M297" i="2" s="1"/>
  <c r="P297" i="2" s="1"/>
  <c r="N452" i="2"/>
  <c r="O452" i="2"/>
  <c r="B454" i="2"/>
  <c r="D454" i="2"/>
  <c r="A455" i="2"/>
  <c r="G453" i="2"/>
  <c r="I453" i="2" s="1"/>
  <c r="K453" i="2" s="1"/>
  <c r="H453" i="2"/>
  <c r="F298" i="2" l="1"/>
  <c r="J298" i="2" s="1"/>
  <c r="M298" i="2" s="1"/>
  <c r="P298" i="2" s="1"/>
  <c r="O453" i="2"/>
  <c r="N453" i="2"/>
  <c r="A456" i="2"/>
  <c r="B455" i="2"/>
  <c r="D455" i="2"/>
  <c r="H454" i="2"/>
  <c r="G454" i="2"/>
  <c r="I454" i="2" s="1"/>
  <c r="K454" i="2" s="1"/>
  <c r="F299" i="2" l="1"/>
  <c r="J299" i="2" s="1"/>
  <c r="M299" i="2" s="1"/>
  <c r="P299" i="2" s="1"/>
  <c r="H455" i="2"/>
  <c r="G455" i="2"/>
  <c r="I455" i="2" s="1"/>
  <c r="K455" i="2" s="1"/>
  <c r="B456" i="2"/>
  <c r="D456" i="2"/>
  <c r="A457" i="2"/>
  <c r="O454" i="2"/>
  <c r="N454" i="2"/>
  <c r="F300" i="2" l="1"/>
  <c r="J300" i="2" s="1"/>
  <c r="M300" i="2" s="1"/>
  <c r="P300" i="2" s="1"/>
  <c r="A458" i="2"/>
  <c r="B457" i="2"/>
  <c r="D457" i="2"/>
  <c r="O455" i="2"/>
  <c r="N455" i="2"/>
  <c r="H456" i="2"/>
  <c r="G456" i="2"/>
  <c r="I456" i="2" s="1"/>
  <c r="K456" i="2" s="1"/>
  <c r="F301" i="2" l="1"/>
  <c r="J301" i="2" s="1"/>
  <c r="M301" i="2" s="1"/>
  <c r="P301" i="2" s="1"/>
  <c r="O456" i="2"/>
  <c r="N456" i="2"/>
  <c r="G457" i="2"/>
  <c r="I457" i="2" s="1"/>
  <c r="K457" i="2" s="1"/>
  <c r="H457" i="2"/>
  <c r="D458" i="2"/>
  <c r="B458" i="2"/>
  <c r="A459" i="2"/>
  <c r="F302" i="2" l="1"/>
  <c r="J302" i="2" s="1"/>
  <c r="M302" i="2" s="1"/>
  <c r="P302" i="2" s="1"/>
  <c r="A460" i="2"/>
  <c r="B459" i="2"/>
  <c r="D459" i="2"/>
  <c r="N457" i="2"/>
  <c r="O457" i="2"/>
  <c r="G458" i="2"/>
  <c r="I458" i="2" s="1"/>
  <c r="K458" i="2" s="1"/>
  <c r="H458" i="2"/>
  <c r="F303" i="2" l="1"/>
  <c r="J303" i="2" s="1"/>
  <c r="M303" i="2" s="1"/>
  <c r="P303" i="2" s="1"/>
  <c r="O458" i="2"/>
  <c r="N458" i="2"/>
  <c r="G459" i="2"/>
  <c r="I459" i="2" s="1"/>
  <c r="K459" i="2" s="1"/>
  <c r="H459" i="2"/>
  <c r="A461" i="2"/>
  <c r="B460" i="2"/>
  <c r="D460" i="2"/>
  <c r="F304" i="2" l="1"/>
  <c r="J304" i="2" s="1"/>
  <c r="M304" i="2" s="1"/>
  <c r="P304" i="2" s="1"/>
  <c r="H460" i="2"/>
  <c r="G460" i="2"/>
  <c r="I460" i="2" s="1"/>
  <c r="K460" i="2" s="1"/>
  <c r="A462" i="2"/>
  <c r="B461" i="2"/>
  <c r="D461" i="2"/>
  <c r="N459" i="2"/>
  <c r="O459" i="2"/>
  <c r="F305" i="2" l="1"/>
  <c r="J305" i="2" s="1"/>
  <c r="M305" i="2" s="1"/>
  <c r="P305" i="2" s="1"/>
  <c r="H461" i="2"/>
  <c r="G461" i="2"/>
  <c r="I461" i="2" s="1"/>
  <c r="K461" i="2" s="1"/>
  <c r="A463" i="2"/>
  <c r="B462" i="2"/>
  <c r="D462" i="2"/>
  <c r="O460" i="2"/>
  <c r="N460" i="2"/>
  <c r="F306" i="2" l="1"/>
  <c r="J306" i="2" s="1"/>
  <c r="M306" i="2" s="1"/>
  <c r="P306" i="2" s="1"/>
  <c r="H462" i="2"/>
  <c r="G462" i="2"/>
  <c r="I462" i="2" s="1"/>
  <c r="K462" i="2" s="1"/>
  <c r="A464" i="2"/>
  <c r="D463" i="2"/>
  <c r="B463" i="2"/>
  <c r="N461" i="2"/>
  <c r="O461" i="2"/>
  <c r="F307" i="2" l="1"/>
  <c r="J307" i="2" s="1"/>
  <c r="M307" i="2" s="1"/>
  <c r="P307" i="2" s="1"/>
  <c r="H463" i="2"/>
  <c r="G463" i="2"/>
  <c r="I463" i="2" s="1"/>
  <c r="K463" i="2" s="1"/>
  <c r="A465" i="2"/>
  <c r="D464" i="2"/>
  <c r="B464" i="2"/>
  <c r="O462" i="2"/>
  <c r="N462" i="2"/>
  <c r="F308" i="2" l="1"/>
  <c r="J308" i="2" s="1"/>
  <c r="M308" i="2" s="1"/>
  <c r="P308" i="2" s="1"/>
  <c r="H464" i="2"/>
  <c r="G464" i="2"/>
  <c r="I464" i="2" s="1"/>
  <c r="K464" i="2" s="1"/>
  <c r="A466" i="2"/>
  <c r="B465" i="2"/>
  <c r="D465" i="2"/>
  <c r="O463" i="2"/>
  <c r="N463" i="2"/>
  <c r="F309" i="2" l="1"/>
  <c r="J309" i="2" s="1"/>
  <c r="M309" i="2" s="1"/>
  <c r="P309" i="2" s="1"/>
  <c r="H465" i="2"/>
  <c r="G465" i="2"/>
  <c r="I465" i="2" s="1"/>
  <c r="K465" i="2" s="1"/>
  <c r="A467" i="2"/>
  <c r="B466" i="2"/>
  <c r="D466" i="2"/>
  <c r="N464" i="2"/>
  <c r="O464" i="2"/>
  <c r="F310" i="2" l="1"/>
  <c r="J310" i="2" s="1"/>
  <c r="M310" i="2" s="1"/>
  <c r="P310" i="2" s="1"/>
  <c r="A468" i="2"/>
  <c r="B467" i="2"/>
  <c r="D467" i="2"/>
  <c r="N465" i="2"/>
  <c r="O465" i="2"/>
  <c r="H466" i="2"/>
  <c r="G466" i="2"/>
  <c r="I466" i="2" s="1"/>
  <c r="K466" i="2" s="1"/>
  <c r="F311" i="2" l="1"/>
  <c r="J311" i="2" s="1"/>
  <c r="M311" i="2" s="1"/>
  <c r="P311" i="2" s="1"/>
  <c r="N466" i="2"/>
  <c r="O466" i="2"/>
  <c r="H467" i="2"/>
  <c r="G467" i="2"/>
  <c r="I467" i="2" s="1"/>
  <c r="K467" i="2" s="1"/>
  <c r="D468" i="2"/>
  <c r="B468" i="2"/>
  <c r="A469" i="2"/>
  <c r="F312" i="2" l="1"/>
  <c r="J312" i="2" s="1"/>
  <c r="M312" i="2" s="1"/>
  <c r="P312" i="2" s="1"/>
  <c r="A470" i="2"/>
  <c r="B469" i="2"/>
  <c r="D469" i="2"/>
  <c r="H468" i="2"/>
  <c r="G468" i="2"/>
  <c r="I468" i="2" s="1"/>
  <c r="K468" i="2" s="1"/>
  <c r="N467" i="2"/>
  <c r="O467" i="2"/>
  <c r="F313" i="2" l="1"/>
  <c r="J313" i="2" s="1"/>
  <c r="M313" i="2" s="1"/>
  <c r="P313" i="2" s="1"/>
  <c r="N468" i="2"/>
  <c r="O468" i="2"/>
  <c r="H469" i="2"/>
  <c r="G469" i="2"/>
  <c r="I469" i="2" s="1"/>
  <c r="K469" i="2" s="1"/>
  <c r="A471" i="2"/>
  <c r="D470" i="2"/>
  <c r="B470" i="2"/>
  <c r="F314" i="2" l="1"/>
  <c r="J314" i="2" s="1"/>
  <c r="M314" i="2" s="1"/>
  <c r="P314" i="2" s="1"/>
  <c r="H470" i="2"/>
  <c r="G470" i="2"/>
  <c r="I470" i="2" s="1"/>
  <c r="K470" i="2" s="1"/>
  <c r="N469" i="2"/>
  <c r="O469" i="2"/>
  <c r="B471" i="2"/>
  <c r="D471" i="2"/>
  <c r="A472" i="2"/>
  <c r="F315" i="2" l="1"/>
  <c r="J315" i="2" s="1"/>
  <c r="M315" i="2" s="1"/>
  <c r="P315" i="2" s="1"/>
  <c r="D472" i="2"/>
  <c r="B472" i="2"/>
  <c r="A473" i="2"/>
  <c r="N470" i="2"/>
  <c r="O470" i="2"/>
  <c r="G471" i="2"/>
  <c r="I471" i="2" s="1"/>
  <c r="K471" i="2" s="1"/>
  <c r="H471" i="2"/>
  <c r="F316" i="2" l="1"/>
  <c r="J316" i="2" s="1"/>
  <c r="M316" i="2" s="1"/>
  <c r="P316" i="2" s="1"/>
  <c r="N471" i="2"/>
  <c r="O471" i="2"/>
  <c r="B473" i="2"/>
  <c r="A474" i="2"/>
  <c r="D473" i="2"/>
  <c r="H472" i="2"/>
  <c r="G472" i="2"/>
  <c r="I472" i="2" s="1"/>
  <c r="K472" i="2" s="1"/>
  <c r="F317" i="2" l="1"/>
  <c r="J317" i="2" s="1"/>
  <c r="M317" i="2" s="1"/>
  <c r="P317" i="2" s="1"/>
  <c r="O472" i="2"/>
  <c r="N472" i="2"/>
  <c r="H473" i="2"/>
  <c r="G473" i="2"/>
  <c r="I473" i="2" s="1"/>
  <c r="K473" i="2" s="1"/>
  <c r="A475" i="2"/>
  <c r="D474" i="2"/>
  <c r="B474" i="2"/>
  <c r="F318" i="2" l="1"/>
  <c r="J318" i="2" s="1"/>
  <c r="M318" i="2" s="1"/>
  <c r="P318" i="2" s="1"/>
  <c r="H474" i="2"/>
  <c r="G474" i="2"/>
  <c r="I474" i="2" s="1"/>
  <c r="K474" i="2" s="1"/>
  <c r="A476" i="2"/>
  <c r="B475" i="2"/>
  <c r="D475" i="2"/>
  <c r="O473" i="2"/>
  <c r="N473" i="2"/>
  <c r="F319" i="2" l="1"/>
  <c r="J319" i="2" s="1"/>
  <c r="M319" i="2" s="1"/>
  <c r="P319" i="2" s="1"/>
  <c r="A477" i="2"/>
  <c r="D476" i="2"/>
  <c r="B476" i="2"/>
  <c r="H475" i="2"/>
  <c r="G475" i="2"/>
  <c r="I475" i="2" s="1"/>
  <c r="K475" i="2" s="1"/>
  <c r="O474" i="2"/>
  <c r="N474" i="2"/>
  <c r="F320" i="2" l="1"/>
  <c r="J320" i="2" s="1"/>
  <c r="M320" i="2" s="1"/>
  <c r="P320" i="2" s="1"/>
  <c r="N475" i="2"/>
  <c r="O475" i="2"/>
  <c r="H476" i="2"/>
  <c r="G476" i="2"/>
  <c r="I476" i="2" s="1"/>
  <c r="K476" i="2" s="1"/>
  <c r="A478" i="2"/>
  <c r="D477" i="2"/>
  <c r="B477" i="2"/>
  <c r="F321" i="2" l="1"/>
  <c r="J321" i="2" s="1"/>
  <c r="M321" i="2" s="1"/>
  <c r="P321" i="2" s="1"/>
  <c r="A479" i="2"/>
  <c r="D478" i="2"/>
  <c r="B478" i="2"/>
  <c r="H477" i="2"/>
  <c r="G477" i="2"/>
  <c r="I477" i="2" s="1"/>
  <c r="K477" i="2" s="1"/>
  <c r="O476" i="2"/>
  <c r="N476" i="2"/>
  <c r="F322" i="2" l="1"/>
  <c r="J322" i="2" s="1"/>
  <c r="M322" i="2" s="1"/>
  <c r="P322" i="2" s="1"/>
  <c r="O477" i="2"/>
  <c r="N477" i="2"/>
  <c r="G478" i="2"/>
  <c r="I478" i="2" s="1"/>
  <c r="K478" i="2" s="1"/>
  <c r="H478" i="2"/>
  <c r="B479" i="2"/>
  <c r="D479" i="2"/>
  <c r="A480" i="2"/>
  <c r="F323" i="2" l="1"/>
  <c r="J323" i="2" s="1"/>
  <c r="M323" i="2" s="1"/>
  <c r="P323" i="2" s="1"/>
  <c r="A481" i="2"/>
  <c r="B480" i="2"/>
  <c r="D480" i="2"/>
  <c r="H479" i="2"/>
  <c r="G479" i="2"/>
  <c r="I479" i="2" s="1"/>
  <c r="K479" i="2" s="1"/>
  <c r="N478" i="2"/>
  <c r="O478" i="2"/>
  <c r="F324" i="2" l="1"/>
  <c r="J324" i="2" s="1"/>
  <c r="M324" i="2" s="1"/>
  <c r="P324" i="2" s="1"/>
  <c r="N479" i="2"/>
  <c r="O479" i="2"/>
  <c r="G480" i="2"/>
  <c r="I480" i="2" s="1"/>
  <c r="K480" i="2" s="1"/>
  <c r="H480" i="2"/>
  <c r="B481" i="2"/>
  <c r="D481" i="2"/>
  <c r="A482" i="2"/>
  <c r="F325" i="2" l="1"/>
  <c r="J325" i="2" s="1"/>
  <c r="M325" i="2" s="1"/>
  <c r="P325" i="2" s="1"/>
  <c r="B482" i="2"/>
  <c r="D482" i="2"/>
  <c r="A483" i="2"/>
  <c r="N480" i="2"/>
  <c r="O480" i="2"/>
  <c r="G481" i="2"/>
  <c r="I481" i="2" s="1"/>
  <c r="K481" i="2" s="1"/>
  <c r="H481" i="2"/>
  <c r="F326" i="2" l="1"/>
  <c r="J326" i="2" s="1"/>
  <c r="M326" i="2" s="1"/>
  <c r="P326" i="2" s="1"/>
  <c r="N481" i="2"/>
  <c r="O481" i="2"/>
  <c r="D483" i="2"/>
  <c r="B483" i="2"/>
  <c r="A484" i="2"/>
  <c r="H482" i="2"/>
  <c r="G482" i="2"/>
  <c r="I482" i="2" s="1"/>
  <c r="K482" i="2" s="1"/>
  <c r="F327" i="2" l="1"/>
  <c r="J327" i="2" s="1"/>
  <c r="M327" i="2" s="1"/>
  <c r="P327" i="2" s="1"/>
  <c r="D484" i="2"/>
  <c r="B484" i="2"/>
  <c r="A485" i="2"/>
  <c r="G483" i="2"/>
  <c r="I483" i="2" s="1"/>
  <c r="K483" i="2" s="1"/>
  <c r="H483" i="2"/>
  <c r="O482" i="2"/>
  <c r="N482" i="2"/>
  <c r="F328" i="2" l="1"/>
  <c r="J328" i="2" s="1"/>
  <c r="M328" i="2" s="1"/>
  <c r="P328" i="2" s="1"/>
  <c r="A486" i="2"/>
  <c r="B485" i="2"/>
  <c r="D485" i="2"/>
  <c r="O483" i="2"/>
  <c r="N483" i="2"/>
  <c r="H484" i="2"/>
  <c r="G484" i="2"/>
  <c r="I484" i="2" s="1"/>
  <c r="K484" i="2" s="1"/>
  <c r="F329" i="2" l="1"/>
  <c r="J329" i="2" s="1"/>
  <c r="M329" i="2" s="1"/>
  <c r="P329" i="2" s="1"/>
  <c r="G485" i="2"/>
  <c r="I485" i="2" s="1"/>
  <c r="K485" i="2" s="1"/>
  <c r="H485" i="2"/>
  <c r="N484" i="2"/>
  <c r="O484" i="2"/>
  <c r="B486" i="2"/>
  <c r="D486" i="2"/>
  <c r="A487" i="2"/>
  <c r="F330" i="2" l="1"/>
  <c r="J330" i="2" s="1"/>
  <c r="M330" i="2" s="1"/>
  <c r="P330" i="2" s="1"/>
  <c r="G486" i="2"/>
  <c r="I486" i="2" s="1"/>
  <c r="K486" i="2" s="1"/>
  <c r="H486" i="2"/>
  <c r="A488" i="2"/>
  <c r="D487" i="2"/>
  <c r="B487" i="2"/>
  <c r="N485" i="2"/>
  <c r="O485" i="2"/>
  <c r="F331" i="2" l="1"/>
  <c r="J331" i="2" s="1"/>
  <c r="M331" i="2" s="1"/>
  <c r="P331" i="2" s="1"/>
  <c r="G487" i="2"/>
  <c r="I487" i="2" s="1"/>
  <c r="K487" i="2" s="1"/>
  <c r="H487" i="2"/>
  <c r="A489" i="2"/>
  <c r="B488" i="2"/>
  <c r="D488" i="2"/>
  <c r="N486" i="2"/>
  <c r="O486" i="2"/>
  <c r="F332" i="2" l="1"/>
  <c r="J332" i="2" s="1"/>
  <c r="M332" i="2" s="1"/>
  <c r="P332" i="2" s="1"/>
  <c r="H488" i="2"/>
  <c r="G488" i="2"/>
  <c r="I488" i="2" s="1"/>
  <c r="K488" i="2" s="1"/>
  <c r="A490" i="2"/>
  <c r="B489" i="2"/>
  <c r="D489" i="2"/>
  <c r="N487" i="2"/>
  <c r="O487" i="2"/>
  <c r="F333" i="2" l="1"/>
  <c r="J333" i="2" s="1"/>
  <c r="M333" i="2" s="1"/>
  <c r="P333" i="2" s="1"/>
  <c r="G489" i="2"/>
  <c r="I489" i="2" s="1"/>
  <c r="K489" i="2" s="1"/>
  <c r="H489" i="2"/>
  <c r="B490" i="2"/>
  <c r="D490" i="2"/>
  <c r="A491" i="2"/>
  <c r="O488" i="2"/>
  <c r="N488" i="2"/>
  <c r="F334" i="2" l="1"/>
  <c r="J334" i="2" s="1"/>
  <c r="M334" i="2" s="1"/>
  <c r="P334" i="2" s="1"/>
  <c r="G490" i="2"/>
  <c r="I490" i="2" s="1"/>
  <c r="K490" i="2" s="1"/>
  <c r="H490" i="2"/>
  <c r="D491" i="2"/>
  <c r="B491" i="2"/>
  <c r="A492" i="2"/>
  <c r="O489" i="2"/>
  <c r="N489" i="2"/>
  <c r="F335" i="2" l="1"/>
  <c r="J335" i="2" s="1"/>
  <c r="M335" i="2" s="1"/>
  <c r="P335" i="2" s="1"/>
  <c r="B492" i="2"/>
  <c r="A493" i="2"/>
  <c r="D492" i="2"/>
  <c r="G491" i="2"/>
  <c r="I491" i="2" s="1"/>
  <c r="K491" i="2" s="1"/>
  <c r="H491" i="2"/>
  <c r="N490" i="2"/>
  <c r="O490" i="2"/>
  <c r="F336" i="2" l="1"/>
  <c r="J336" i="2" s="1"/>
  <c r="M336" i="2" s="1"/>
  <c r="P336" i="2" s="1"/>
  <c r="H492" i="2"/>
  <c r="G492" i="2"/>
  <c r="I492" i="2" s="1"/>
  <c r="K492" i="2" s="1"/>
  <c r="B493" i="2"/>
  <c r="D493" i="2"/>
  <c r="A494" i="2"/>
  <c r="N491" i="2"/>
  <c r="O491" i="2"/>
  <c r="F337" i="2" l="1"/>
  <c r="J337" i="2" s="1"/>
  <c r="M337" i="2" s="1"/>
  <c r="P337" i="2" s="1"/>
  <c r="D494" i="2"/>
  <c r="B494" i="2"/>
  <c r="A495" i="2"/>
  <c r="G493" i="2"/>
  <c r="I493" i="2" s="1"/>
  <c r="K493" i="2" s="1"/>
  <c r="H493" i="2"/>
  <c r="N492" i="2"/>
  <c r="O492" i="2"/>
  <c r="F338" i="2" l="1"/>
  <c r="J338" i="2" s="1"/>
  <c r="M338" i="2" s="1"/>
  <c r="P338" i="2" s="1"/>
  <c r="A496" i="2"/>
  <c r="B495" i="2"/>
  <c r="D495" i="2"/>
  <c r="O493" i="2"/>
  <c r="N493" i="2"/>
  <c r="G494" i="2"/>
  <c r="I494" i="2" s="1"/>
  <c r="K494" i="2" s="1"/>
  <c r="H494" i="2"/>
  <c r="F339" i="2" l="1"/>
  <c r="J339" i="2" s="1"/>
  <c r="M339" i="2" s="1"/>
  <c r="P339" i="2" s="1"/>
  <c r="N494" i="2"/>
  <c r="O494" i="2"/>
  <c r="G495" i="2"/>
  <c r="I495" i="2" s="1"/>
  <c r="K495" i="2" s="1"/>
  <c r="H495" i="2"/>
  <c r="B496" i="2"/>
  <c r="D496" i="2"/>
  <c r="A497" i="2"/>
  <c r="F340" i="2" l="1"/>
  <c r="J340" i="2" s="1"/>
  <c r="M340" i="2" s="1"/>
  <c r="P340" i="2" s="1"/>
  <c r="A498" i="2"/>
  <c r="B497" i="2"/>
  <c r="D497" i="2"/>
  <c r="H496" i="2"/>
  <c r="G496" i="2"/>
  <c r="I496" i="2" s="1"/>
  <c r="K496" i="2" s="1"/>
  <c r="O495" i="2"/>
  <c r="N495" i="2"/>
  <c r="F341" i="2" l="1"/>
  <c r="J341" i="2" s="1"/>
  <c r="M341" i="2" s="1"/>
  <c r="P341" i="2" s="1"/>
  <c r="N496" i="2"/>
  <c r="O496" i="2"/>
  <c r="H497" i="2"/>
  <c r="G497" i="2"/>
  <c r="I497" i="2" s="1"/>
  <c r="K497" i="2" s="1"/>
  <c r="A499" i="2"/>
  <c r="B498" i="2"/>
  <c r="D498" i="2"/>
  <c r="F342" i="2" l="1"/>
  <c r="J342" i="2" s="1"/>
  <c r="M342" i="2" s="1"/>
  <c r="P342" i="2" s="1"/>
  <c r="H498" i="2"/>
  <c r="G498" i="2"/>
  <c r="I498" i="2" s="1"/>
  <c r="K498" i="2" s="1"/>
  <c r="A500" i="2"/>
  <c r="B499" i="2"/>
  <c r="D499" i="2"/>
  <c r="N497" i="2"/>
  <c r="O497" i="2"/>
  <c r="F343" i="2" l="1"/>
  <c r="J343" i="2" s="1"/>
  <c r="M343" i="2" s="1"/>
  <c r="P343" i="2" s="1"/>
  <c r="H499" i="2"/>
  <c r="G499" i="2"/>
  <c r="I499" i="2" s="1"/>
  <c r="K499" i="2" s="1"/>
  <c r="B500" i="2"/>
  <c r="A501" i="2"/>
  <c r="D500" i="2"/>
  <c r="O498" i="2"/>
  <c r="N498" i="2"/>
  <c r="F344" i="2" l="1"/>
  <c r="J344" i="2" s="1"/>
  <c r="M344" i="2" s="1"/>
  <c r="P344" i="2" s="1"/>
  <c r="H500" i="2"/>
  <c r="G500" i="2"/>
  <c r="I500" i="2" s="1"/>
  <c r="K500" i="2" s="1"/>
  <c r="A502" i="2"/>
  <c r="B501" i="2"/>
  <c r="D501" i="2"/>
  <c r="N499" i="2"/>
  <c r="O499" i="2"/>
  <c r="F345" i="2" l="1"/>
  <c r="J345" i="2" s="1"/>
  <c r="M345" i="2" s="1"/>
  <c r="P345" i="2" s="1"/>
  <c r="H501" i="2"/>
  <c r="G501" i="2"/>
  <c r="I501" i="2" s="1"/>
  <c r="K501" i="2" s="1"/>
  <c r="B502" i="2"/>
  <c r="D502" i="2"/>
  <c r="A503" i="2"/>
  <c r="N500" i="2"/>
  <c r="O500" i="2"/>
  <c r="F346" i="2" l="1"/>
  <c r="J346" i="2" s="1"/>
  <c r="M346" i="2" s="1"/>
  <c r="P346" i="2" s="1"/>
  <c r="A504" i="2"/>
  <c r="D503" i="2"/>
  <c r="B503" i="2"/>
  <c r="H502" i="2"/>
  <c r="G502" i="2"/>
  <c r="I502" i="2" s="1"/>
  <c r="K502" i="2" s="1"/>
  <c r="O501" i="2"/>
  <c r="N501" i="2"/>
  <c r="F347" i="2" l="1"/>
  <c r="J347" i="2" s="1"/>
  <c r="M347" i="2" s="1"/>
  <c r="P347" i="2" s="1"/>
  <c r="G503" i="2"/>
  <c r="I503" i="2" s="1"/>
  <c r="K503" i="2" s="1"/>
  <c r="H503" i="2"/>
  <c r="N502" i="2"/>
  <c r="O502" i="2"/>
  <c r="D504" i="2"/>
  <c r="A505" i="2"/>
  <c r="B504" i="2"/>
  <c r="F348" i="2" l="1"/>
  <c r="J348" i="2" s="1"/>
  <c r="M348" i="2" s="1"/>
  <c r="P348" i="2" s="1"/>
  <c r="H504" i="2"/>
  <c r="G504" i="2"/>
  <c r="I504" i="2" s="1"/>
  <c r="K504" i="2" s="1"/>
  <c r="B505" i="2"/>
  <c r="A506" i="2"/>
  <c r="D505" i="2"/>
  <c r="N503" i="2"/>
  <c r="O503" i="2"/>
  <c r="F349" i="2" l="1"/>
  <c r="J349" i="2" s="1"/>
  <c r="M349" i="2" s="1"/>
  <c r="P349" i="2" s="1"/>
  <c r="H505" i="2"/>
  <c r="G505" i="2"/>
  <c r="I505" i="2" s="1"/>
  <c r="K505" i="2" s="1"/>
  <c r="A507" i="2"/>
  <c r="B506" i="2"/>
  <c r="D506" i="2"/>
  <c r="O504" i="2"/>
  <c r="N504" i="2"/>
  <c r="F350" i="2" l="1"/>
  <c r="J350" i="2" s="1"/>
  <c r="M350" i="2" s="1"/>
  <c r="P350" i="2" s="1"/>
  <c r="H506" i="2"/>
  <c r="G506" i="2"/>
  <c r="I506" i="2" s="1"/>
  <c r="K506" i="2" s="1"/>
  <c r="D507" i="2"/>
  <c r="A508" i="2"/>
  <c r="B507" i="2"/>
  <c r="O505" i="2"/>
  <c r="N505" i="2"/>
  <c r="F351" i="2" l="1"/>
  <c r="J351" i="2" s="1"/>
  <c r="M351" i="2" s="1"/>
  <c r="P351" i="2" s="1"/>
  <c r="A509" i="2"/>
  <c r="D508" i="2"/>
  <c r="B508" i="2"/>
  <c r="H507" i="2"/>
  <c r="G507" i="2"/>
  <c r="I507" i="2" s="1"/>
  <c r="K507" i="2" s="1"/>
  <c r="N506" i="2"/>
  <c r="O506" i="2"/>
  <c r="F352" i="2" l="1"/>
  <c r="J352" i="2" s="1"/>
  <c r="M352" i="2" s="1"/>
  <c r="P352" i="2" s="1"/>
  <c r="N507" i="2"/>
  <c r="O507" i="2"/>
  <c r="G508" i="2"/>
  <c r="I508" i="2" s="1"/>
  <c r="K508" i="2" s="1"/>
  <c r="H508" i="2"/>
  <c r="B509" i="2"/>
  <c r="D509" i="2"/>
  <c r="A510" i="2"/>
  <c r="F353" i="2" l="1"/>
  <c r="J353" i="2" s="1"/>
  <c r="M353" i="2" s="1"/>
  <c r="P353" i="2" s="1"/>
  <c r="G509" i="2"/>
  <c r="I509" i="2" s="1"/>
  <c r="K509" i="2" s="1"/>
  <c r="H509" i="2"/>
  <c r="N508" i="2"/>
  <c r="O508" i="2"/>
  <c r="A511" i="2"/>
  <c r="D510" i="2"/>
  <c r="B510" i="2"/>
  <c r="F354" i="2" l="1"/>
  <c r="J354" i="2" s="1"/>
  <c r="M354" i="2" s="1"/>
  <c r="P354" i="2" s="1"/>
  <c r="H510" i="2"/>
  <c r="G510" i="2"/>
  <c r="I510" i="2" s="1"/>
  <c r="K510" i="2" s="1"/>
  <c r="A512" i="2"/>
  <c r="B511" i="2"/>
  <c r="D511" i="2"/>
  <c r="N509" i="2"/>
  <c r="O509" i="2"/>
  <c r="F355" i="2" l="1"/>
  <c r="J355" i="2" s="1"/>
  <c r="M355" i="2" s="1"/>
  <c r="P355" i="2" s="1"/>
  <c r="H511" i="2"/>
  <c r="G511" i="2"/>
  <c r="I511" i="2" s="1"/>
  <c r="K511" i="2" s="1"/>
  <c r="A513" i="2"/>
  <c r="B512" i="2"/>
  <c r="D512" i="2"/>
  <c r="N510" i="2"/>
  <c r="O510" i="2"/>
  <c r="F356" i="2" l="1"/>
  <c r="J356" i="2" s="1"/>
  <c r="M356" i="2" s="1"/>
  <c r="P356" i="2" s="1"/>
  <c r="H512" i="2"/>
  <c r="G512" i="2"/>
  <c r="I512" i="2" s="1"/>
  <c r="K512" i="2" s="1"/>
  <c r="B513" i="2"/>
  <c r="A514" i="2"/>
  <c r="D513" i="2"/>
  <c r="N511" i="2"/>
  <c r="O511" i="2"/>
  <c r="F357" i="2" l="1"/>
  <c r="J357" i="2" s="1"/>
  <c r="M357" i="2" s="1"/>
  <c r="P357" i="2" s="1"/>
  <c r="G513" i="2"/>
  <c r="I513" i="2" s="1"/>
  <c r="K513" i="2" s="1"/>
  <c r="H513" i="2"/>
  <c r="D514" i="2"/>
  <c r="B514" i="2"/>
  <c r="A515" i="2"/>
  <c r="O512" i="2"/>
  <c r="N512" i="2"/>
  <c r="F358" i="2" l="1"/>
  <c r="J358" i="2" s="1"/>
  <c r="M358" i="2" s="1"/>
  <c r="P358" i="2" s="1"/>
  <c r="A516" i="2"/>
  <c r="D515" i="2"/>
  <c r="B515" i="2"/>
  <c r="H514" i="2"/>
  <c r="G514" i="2"/>
  <c r="I514" i="2" s="1"/>
  <c r="K514" i="2" s="1"/>
  <c r="O513" i="2"/>
  <c r="N513" i="2"/>
  <c r="F359" i="2" l="1"/>
  <c r="J359" i="2" s="1"/>
  <c r="M359" i="2" s="1"/>
  <c r="P359" i="2" s="1"/>
  <c r="O514" i="2"/>
  <c r="N514" i="2"/>
  <c r="G515" i="2"/>
  <c r="I515" i="2" s="1"/>
  <c r="K515" i="2" s="1"/>
  <c r="H515" i="2"/>
  <c r="D516" i="2"/>
  <c r="B516" i="2"/>
  <c r="A517" i="2"/>
  <c r="F360" i="2" l="1"/>
  <c r="J360" i="2" s="1"/>
  <c r="M360" i="2" s="1"/>
  <c r="P360" i="2" s="1"/>
  <c r="B517" i="2"/>
  <c r="A518" i="2"/>
  <c r="D517" i="2"/>
  <c r="G516" i="2"/>
  <c r="I516" i="2" s="1"/>
  <c r="K516" i="2" s="1"/>
  <c r="H516" i="2"/>
  <c r="N515" i="2"/>
  <c r="O515" i="2"/>
  <c r="F361" i="2" l="1"/>
  <c r="J361" i="2" s="1"/>
  <c r="M361" i="2" s="1"/>
  <c r="P361" i="2" s="1"/>
  <c r="G517" i="2"/>
  <c r="I517" i="2" s="1"/>
  <c r="K517" i="2" s="1"/>
  <c r="H517" i="2"/>
  <c r="D518" i="2"/>
  <c r="B518" i="2"/>
  <c r="A519" i="2"/>
  <c r="N516" i="2"/>
  <c r="O516" i="2"/>
  <c r="F362" i="2" l="1"/>
  <c r="J362" i="2" s="1"/>
  <c r="M362" i="2" s="1"/>
  <c r="P362" i="2" s="1"/>
  <c r="G518" i="2"/>
  <c r="I518" i="2" s="1"/>
  <c r="K518" i="2" s="1"/>
  <c r="H518" i="2"/>
  <c r="A520" i="2"/>
  <c r="B519" i="2"/>
  <c r="D519" i="2"/>
  <c r="N517" i="2"/>
  <c r="O517" i="2"/>
  <c r="F363" i="2" l="1"/>
  <c r="J363" i="2" s="1"/>
  <c r="M363" i="2" s="1"/>
  <c r="P363" i="2" s="1"/>
  <c r="D520" i="2"/>
  <c r="B520" i="2"/>
  <c r="A521" i="2"/>
  <c r="H519" i="2"/>
  <c r="G519" i="2"/>
  <c r="I519" i="2" s="1"/>
  <c r="K519" i="2" s="1"/>
  <c r="O518" i="2"/>
  <c r="N518" i="2"/>
  <c r="F364" i="2" l="1"/>
  <c r="J364" i="2" s="1"/>
  <c r="M364" i="2" s="1"/>
  <c r="P364" i="2" s="1"/>
  <c r="N519" i="2"/>
  <c r="O519" i="2"/>
  <c r="A522" i="2"/>
  <c r="D521" i="2"/>
  <c r="B521" i="2"/>
  <c r="G520" i="2"/>
  <c r="I520" i="2" s="1"/>
  <c r="K520" i="2" s="1"/>
  <c r="H520" i="2"/>
  <c r="F365" i="2" l="1"/>
  <c r="J365" i="2" s="1"/>
  <c r="M365" i="2" s="1"/>
  <c r="P365" i="2" s="1"/>
  <c r="N520" i="2"/>
  <c r="O520" i="2"/>
  <c r="G521" i="2"/>
  <c r="I521" i="2" s="1"/>
  <c r="K521" i="2" s="1"/>
  <c r="H521" i="2"/>
  <c r="B522" i="2"/>
  <c r="D522" i="2"/>
  <c r="A523" i="2"/>
  <c r="F366" i="2" l="1"/>
  <c r="J366" i="2" s="1"/>
  <c r="M366" i="2" s="1"/>
  <c r="P366" i="2" s="1"/>
  <c r="A524" i="2"/>
  <c r="D523" i="2"/>
  <c r="B523" i="2"/>
  <c r="G522" i="2"/>
  <c r="I522" i="2" s="1"/>
  <c r="K522" i="2" s="1"/>
  <c r="H522" i="2"/>
  <c r="O521" i="2"/>
  <c r="N521" i="2"/>
  <c r="F367" i="2" l="1"/>
  <c r="J367" i="2" s="1"/>
  <c r="M367" i="2" s="1"/>
  <c r="P367" i="2" s="1"/>
  <c r="N522" i="2"/>
  <c r="O522" i="2"/>
  <c r="H523" i="2"/>
  <c r="G523" i="2"/>
  <c r="I523" i="2" s="1"/>
  <c r="K523" i="2" s="1"/>
  <c r="D524" i="2"/>
  <c r="B524" i="2"/>
  <c r="A525" i="2"/>
  <c r="F368" i="2" l="1"/>
  <c r="J368" i="2" s="1"/>
  <c r="M368" i="2" s="1"/>
  <c r="P368" i="2" s="1"/>
  <c r="H524" i="2"/>
  <c r="G524" i="2"/>
  <c r="I524" i="2" s="1"/>
  <c r="K524" i="2" s="1"/>
  <c r="B525" i="2"/>
  <c r="A526" i="2"/>
  <c r="D525" i="2"/>
  <c r="N523" i="2"/>
  <c r="O523" i="2"/>
  <c r="F369" i="2" l="1"/>
  <c r="J369" i="2" s="1"/>
  <c r="M369" i="2" s="1"/>
  <c r="P369" i="2" s="1"/>
  <c r="H525" i="2"/>
  <c r="G525" i="2"/>
  <c r="I525" i="2" s="1"/>
  <c r="K525" i="2" s="1"/>
  <c r="D526" i="2"/>
  <c r="A527" i="2"/>
  <c r="B526" i="2"/>
  <c r="N524" i="2"/>
  <c r="O524" i="2"/>
  <c r="F370" i="2" l="1"/>
  <c r="J370" i="2" s="1"/>
  <c r="M370" i="2" s="1"/>
  <c r="P370" i="2" s="1"/>
  <c r="G526" i="2"/>
  <c r="I526" i="2" s="1"/>
  <c r="K526" i="2" s="1"/>
  <c r="H526" i="2"/>
  <c r="B527" i="2"/>
  <c r="D527" i="2"/>
  <c r="A528" i="2"/>
  <c r="O525" i="2"/>
  <c r="N525" i="2"/>
  <c r="F371" i="2" l="1"/>
  <c r="J371" i="2" s="1"/>
  <c r="M371" i="2" s="1"/>
  <c r="P371" i="2" s="1"/>
  <c r="A529" i="2"/>
  <c r="D528" i="2"/>
  <c r="B528" i="2"/>
  <c r="H527" i="2"/>
  <c r="G527" i="2"/>
  <c r="I527" i="2" s="1"/>
  <c r="K527" i="2" s="1"/>
  <c r="O526" i="2"/>
  <c r="N526" i="2"/>
  <c r="F372" i="2" l="1"/>
  <c r="J372" i="2" s="1"/>
  <c r="M372" i="2" s="1"/>
  <c r="P372" i="2" s="1"/>
  <c r="O527" i="2"/>
  <c r="N527" i="2"/>
  <c r="H528" i="2"/>
  <c r="G528" i="2"/>
  <c r="I528" i="2" s="1"/>
  <c r="K528" i="2" s="1"/>
  <c r="B529" i="2"/>
  <c r="D529" i="2"/>
  <c r="A530" i="2"/>
  <c r="F373" i="2" l="1"/>
  <c r="J373" i="2" s="1"/>
  <c r="M373" i="2" s="1"/>
  <c r="P373" i="2" s="1"/>
  <c r="A531" i="2"/>
  <c r="D530" i="2"/>
  <c r="B530" i="2"/>
  <c r="N528" i="2"/>
  <c r="O528" i="2"/>
  <c r="H529" i="2"/>
  <c r="G529" i="2"/>
  <c r="I529" i="2" s="1"/>
  <c r="K529" i="2" s="1"/>
  <c r="F374" i="2" l="1"/>
  <c r="J374" i="2" s="1"/>
  <c r="M374" i="2" s="1"/>
  <c r="P374" i="2" s="1"/>
  <c r="N529" i="2"/>
  <c r="O529" i="2"/>
  <c r="H530" i="2"/>
  <c r="G530" i="2"/>
  <c r="I530" i="2" s="1"/>
  <c r="K530" i="2" s="1"/>
  <c r="A532" i="2"/>
  <c r="B531" i="2"/>
  <c r="D531" i="2"/>
  <c r="F375" i="2" l="1"/>
  <c r="J375" i="2" s="1"/>
  <c r="M375" i="2" s="1"/>
  <c r="P375" i="2" s="1"/>
  <c r="G531" i="2"/>
  <c r="I531" i="2" s="1"/>
  <c r="K531" i="2" s="1"/>
  <c r="H531" i="2"/>
  <c r="D532" i="2"/>
  <c r="B532" i="2"/>
  <c r="A533" i="2"/>
  <c r="O530" i="2"/>
  <c r="N530" i="2"/>
  <c r="F376" i="2" l="1"/>
  <c r="J376" i="2" s="1"/>
  <c r="M376" i="2" s="1"/>
  <c r="P376" i="2" s="1"/>
  <c r="A534" i="2"/>
  <c r="B533" i="2"/>
  <c r="D533" i="2"/>
  <c r="G532" i="2"/>
  <c r="I532" i="2" s="1"/>
  <c r="K532" i="2" s="1"/>
  <c r="H532" i="2"/>
  <c r="N531" i="2"/>
  <c r="O531" i="2"/>
  <c r="F377" i="2" l="1"/>
  <c r="J377" i="2" s="1"/>
  <c r="M377" i="2" s="1"/>
  <c r="P377" i="2" s="1"/>
  <c r="O532" i="2"/>
  <c r="N532" i="2"/>
  <c r="H533" i="2"/>
  <c r="G533" i="2"/>
  <c r="I533" i="2" s="1"/>
  <c r="K533" i="2" s="1"/>
  <c r="A535" i="2"/>
  <c r="D534" i="2"/>
  <c r="B534" i="2"/>
  <c r="F378" i="2" l="1"/>
  <c r="J378" i="2" s="1"/>
  <c r="M378" i="2" s="1"/>
  <c r="P378" i="2" s="1"/>
  <c r="G534" i="2"/>
  <c r="I534" i="2" s="1"/>
  <c r="K534" i="2" s="1"/>
  <c r="H534" i="2"/>
  <c r="A536" i="2"/>
  <c r="B535" i="2"/>
  <c r="D535" i="2"/>
  <c r="O533" i="2"/>
  <c r="N533" i="2"/>
  <c r="F379" i="2" l="1"/>
  <c r="J379" i="2" s="1"/>
  <c r="M379" i="2" s="1"/>
  <c r="P379" i="2" s="1"/>
  <c r="G535" i="2"/>
  <c r="I535" i="2" s="1"/>
  <c r="K535" i="2" s="1"/>
  <c r="H535" i="2"/>
  <c r="A537" i="2"/>
  <c r="B536" i="2"/>
  <c r="D536" i="2"/>
  <c r="N534" i="2"/>
  <c r="O534" i="2"/>
  <c r="F380" i="2" l="1"/>
  <c r="J380" i="2" s="1"/>
  <c r="M380" i="2" s="1"/>
  <c r="P380" i="2" s="1"/>
  <c r="H536" i="2"/>
  <c r="G536" i="2"/>
  <c r="I536" i="2" s="1"/>
  <c r="K536" i="2" s="1"/>
  <c r="A538" i="2"/>
  <c r="B537" i="2"/>
  <c r="D537" i="2"/>
  <c r="O535" i="2"/>
  <c r="N535" i="2"/>
  <c r="F381" i="2" l="1"/>
  <c r="J381" i="2" s="1"/>
  <c r="M381" i="2" s="1"/>
  <c r="P381" i="2" s="1"/>
  <c r="A539" i="2"/>
  <c r="B538" i="2"/>
  <c r="D538" i="2"/>
  <c r="N536" i="2"/>
  <c r="O536" i="2"/>
  <c r="H537" i="2"/>
  <c r="G537" i="2"/>
  <c r="I537" i="2" s="1"/>
  <c r="K537" i="2" s="1"/>
  <c r="F382" i="2" l="1"/>
  <c r="J382" i="2" s="1"/>
  <c r="M382" i="2" s="1"/>
  <c r="P382" i="2" s="1"/>
  <c r="O537" i="2"/>
  <c r="N537" i="2"/>
  <c r="H538" i="2"/>
  <c r="G538" i="2"/>
  <c r="I538" i="2" s="1"/>
  <c r="K538" i="2" s="1"/>
  <c r="A540" i="2"/>
  <c r="B539" i="2"/>
  <c r="D539" i="2"/>
  <c r="F383" i="2" l="1"/>
  <c r="J383" i="2" s="1"/>
  <c r="M383" i="2" s="1"/>
  <c r="P383" i="2" s="1"/>
  <c r="H539" i="2"/>
  <c r="G539" i="2"/>
  <c r="I539" i="2" s="1"/>
  <c r="K539" i="2" s="1"/>
  <c r="D540" i="2"/>
  <c r="A541" i="2"/>
  <c r="B540" i="2"/>
  <c r="O538" i="2"/>
  <c r="N538" i="2"/>
  <c r="F384" i="2" l="1"/>
  <c r="J384" i="2" s="1"/>
  <c r="M384" i="2" s="1"/>
  <c r="P384" i="2" s="1"/>
  <c r="B541" i="2"/>
  <c r="A542" i="2"/>
  <c r="D541" i="2"/>
  <c r="H540" i="2"/>
  <c r="G540" i="2"/>
  <c r="I540" i="2" s="1"/>
  <c r="K540" i="2" s="1"/>
  <c r="O539" i="2"/>
  <c r="N539" i="2"/>
  <c r="F385" i="2" l="1"/>
  <c r="J385" i="2" s="1"/>
  <c r="M385" i="2" s="1"/>
  <c r="P385" i="2" s="1"/>
  <c r="O540" i="2"/>
  <c r="N540" i="2"/>
  <c r="G541" i="2"/>
  <c r="I541" i="2" s="1"/>
  <c r="K541" i="2" s="1"/>
  <c r="H541" i="2"/>
  <c r="A543" i="2"/>
  <c r="D542" i="2"/>
  <c r="B542" i="2"/>
  <c r="F386" i="2" l="1"/>
  <c r="J386" i="2" s="1"/>
  <c r="M386" i="2" s="1"/>
  <c r="P386" i="2" s="1"/>
  <c r="G542" i="2"/>
  <c r="I542" i="2" s="1"/>
  <c r="K542" i="2" s="1"/>
  <c r="H542" i="2"/>
  <c r="B543" i="2"/>
  <c r="D543" i="2"/>
  <c r="A544" i="2"/>
  <c r="N541" i="2"/>
  <c r="O541" i="2"/>
  <c r="F387" i="2" l="1"/>
  <c r="J387" i="2" s="1"/>
  <c r="M387" i="2" s="1"/>
  <c r="P387" i="2" s="1"/>
  <c r="H543" i="2"/>
  <c r="G543" i="2"/>
  <c r="I543" i="2" s="1"/>
  <c r="K543" i="2" s="1"/>
  <c r="A545" i="2"/>
  <c r="D544" i="2"/>
  <c r="B544" i="2"/>
  <c r="O542" i="2"/>
  <c r="N542" i="2"/>
  <c r="F388" i="2" l="1"/>
  <c r="J388" i="2" s="1"/>
  <c r="M388" i="2" s="1"/>
  <c r="P388" i="2" s="1"/>
  <c r="A546" i="2"/>
  <c r="B545" i="2"/>
  <c r="D545" i="2"/>
  <c r="H544" i="2"/>
  <c r="G544" i="2"/>
  <c r="I544" i="2" s="1"/>
  <c r="K544" i="2" s="1"/>
  <c r="O543" i="2"/>
  <c r="N543" i="2"/>
  <c r="F389" i="2" l="1"/>
  <c r="J389" i="2" s="1"/>
  <c r="M389" i="2" s="1"/>
  <c r="P389" i="2" s="1"/>
  <c r="N544" i="2"/>
  <c r="O544" i="2"/>
  <c r="G545" i="2"/>
  <c r="I545" i="2" s="1"/>
  <c r="K545" i="2" s="1"/>
  <c r="H545" i="2"/>
  <c r="B546" i="2"/>
  <c r="D546" i="2"/>
  <c r="A547" i="2"/>
  <c r="F390" i="2" l="1"/>
  <c r="J390" i="2" s="1"/>
  <c r="M390" i="2" s="1"/>
  <c r="P390" i="2" s="1"/>
  <c r="G546" i="2"/>
  <c r="I546" i="2" s="1"/>
  <c r="K546" i="2" s="1"/>
  <c r="H546" i="2"/>
  <c r="A548" i="2"/>
  <c r="B547" i="2"/>
  <c r="D547" i="2"/>
  <c r="O545" i="2"/>
  <c r="N545" i="2"/>
  <c r="F391" i="2" l="1"/>
  <c r="J391" i="2" s="1"/>
  <c r="M391" i="2" s="1"/>
  <c r="P391" i="2" s="1"/>
  <c r="G547" i="2"/>
  <c r="I547" i="2" s="1"/>
  <c r="K547" i="2" s="1"/>
  <c r="H547" i="2"/>
  <c r="A549" i="2"/>
  <c r="D548" i="2"/>
  <c r="B548" i="2"/>
  <c r="N546" i="2"/>
  <c r="O546" i="2"/>
  <c r="F392" i="2" l="1"/>
  <c r="J392" i="2" s="1"/>
  <c r="M392" i="2" s="1"/>
  <c r="P392" i="2" s="1"/>
  <c r="H548" i="2"/>
  <c r="G548" i="2"/>
  <c r="I548" i="2" s="1"/>
  <c r="K548" i="2" s="1"/>
  <c r="A550" i="2"/>
  <c r="B549" i="2"/>
  <c r="D549" i="2"/>
  <c r="N547" i="2"/>
  <c r="O547" i="2"/>
  <c r="F393" i="2" l="1"/>
  <c r="J393" i="2" s="1"/>
  <c r="M393" i="2" s="1"/>
  <c r="P393" i="2" s="1"/>
  <c r="H549" i="2"/>
  <c r="G549" i="2"/>
  <c r="I549" i="2" s="1"/>
  <c r="K549" i="2" s="1"/>
  <c r="B550" i="2"/>
  <c r="D550" i="2"/>
  <c r="A551" i="2"/>
  <c r="N548" i="2"/>
  <c r="O548" i="2"/>
  <c r="F394" i="2" l="1"/>
  <c r="J394" i="2" s="1"/>
  <c r="M394" i="2" s="1"/>
  <c r="P394" i="2" s="1"/>
  <c r="A552" i="2"/>
  <c r="B551" i="2"/>
  <c r="D551" i="2"/>
  <c r="G550" i="2"/>
  <c r="I550" i="2" s="1"/>
  <c r="K550" i="2" s="1"/>
  <c r="H550" i="2"/>
  <c r="N549" i="2"/>
  <c r="O549" i="2"/>
  <c r="F395" i="2" l="1"/>
  <c r="J395" i="2" s="1"/>
  <c r="M395" i="2" s="1"/>
  <c r="P395" i="2" s="1"/>
  <c r="N550" i="2"/>
  <c r="O550" i="2"/>
  <c r="H551" i="2"/>
  <c r="G551" i="2"/>
  <c r="I551" i="2" s="1"/>
  <c r="K551" i="2" s="1"/>
  <c r="A553" i="2"/>
  <c r="B552" i="2"/>
  <c r="D552" i="2"/>
  <c r="F396" i="2" l="1"/>
  <c r="J396" i="2" s="1"/>
  <c r="M396" i="2" s="1"/>
  <c r="P396" i="2" s="1"/>
  <c r="G552" i="2"/>
  <c r="I552" i="2" s="1"/>
  <c r="K552" i="2" s="1"/>
  <c r="H552" i="2"/>
  <c r="B553" i="2"/>
  <c r="D553" i="2"/>
  <c r="A554" i="2"/>
  <c r="O551" i="2"/>
  <c r="N551" i="2"/>
  <c r="F397" i="2" l="1"/>
  <c r="J397" i="2" s="1"/>
  <c r="M397" i="2" s="1"/>
  <c r="P397" i="2" s="1"/>
  <c r="A555" i="2"/>
  <c r="D554" i="2"/>
  <c r="B554" i="2"/>
  <c r="G553" i="2"/>
  <c r="I553" i="2" s="1"/>
  <c r="K553" i="2" s="1"/>
  <c r="H553" i="2"/>
  <c r="O552" i="2"/>
  <c r="N552" i="2"/>
  <c r="F398" i="2" l="1"/>
  <c r="J398" i="2" s="1"/>
  <c r="M398" i="2" s="1"/>
  <c r="P398" i="2" s="1"/>
  <c r="H554" i="2"/>
  <c r="G554" i="2"/>
  <c r="I554" i="2" s="1"/>
  <c r="K554" i="2" s="1"/>
  <c r="O553" i="2"/>
  <c r="N553" i="2"/>
  <c r="A556" i="2"/>
  <c r="B555" i="2"/>
  <c r="D555" i="2"/>
  <c r="F399" i="2" l="1"/>
  <c r="J399" i="2" s="1"/>
  <c r="M399" i="2" s="1"/>
  <c r="P399" i="2" s="1"/>
  <c r="H555" i="2"/>
  <c r="G555" i="2"/>
  <c r="I555" i="2" s="1"/>
  <c r="K555" i="2" s="1"/>
  <c r="A557" i="2"/>
  <c r="B556" i="2"/>
  <c r="D556" i="2"/>
  <c r="N554" i="2"/>
  <c r="O554" i="2"/>
  <c r="F400" i="2" l="1"/>
  <c r="J400" i="2" s="1"/>
  <c r="M400" i="2" s="1"/>
  <c r="P400" i="2" s="1"/>
  <c r="G556" i="2"/>
  <c r="I556" i="2" s="1"/>
  <c r="K556" i="2" s="1"/>
  <c r="H556" i="2"/>
  <c r="D557" i="2"/>
  <c r="A558" i="2"/>
  <c r="B557" i="2"/>
  <c r="N555" i="2"/>
  <c r="O555" i="2"/>
  <c r="F401" i="2" l="1"/>
  <c r="J401" i="2" s="1"/>
  <c r="M401" i="2" s="1"/>
  <c r="P401" i="2" s="1"/>
  <c r="A559" i="2"/>
  <c r="B558" i="2"/>
  <c r="D558" i="2"/>
  <c r="H557" i="2"/>
  <c r="G557" i="2"/>
  <c r="I557" i="2" s="1"/>
  <c r="K557" i="2" s="1"/>
  <c r="N556" i="2"/>
  <c r="O556" i="2"/>
  <c r="F402" i="2" l="1"/>
  <c r="J402" i="2" s="1"/>
  <c r="M402" i="2" s="1"/>
  <c r="P402" i="2" s="1"/>
  <c r="O557" i="2"/>
  <c r="N557" i="2"/>
  <c r="H558" i="2"/>
  <c r="G558" i="2"/>
  <c r="I558" i="2" s="1"/>
  <c r="K558" i="2" s="1"/>
  <c r="A560" i="2"/>
  <c r="B559" i="2"/>
  <c r="D559" i="2"/>
  <c r="F403" i="2" l="1"/>
  <c r="J403" i="2" s="1"/>
  <c r="M403" i="2" s="1"/>
  <c r="P403" i="2" s="1"/>
  <c r="H559" i="2"/>
  <c r="G559" i="2"/>
  <c r="I559" i="2" s="1"/>
  <c r="K559" i="2" s="1"/>
  <c r="A561" i="2"/>
  <c r="D560" i="2"/>
  <c r="B560" i="2"/>
  <c r="O558" i="2"/>
  <c r="N558" i="2"/>
  <c r="F404" i="2" l="1"/>
  <c r="J404" i="2" s="1"/>
  <c r="M404" i="2" s="1"/>
  <c r="P404" i="2" s="1"/>
  <c r="N559" i="2"/>
  <c r="O559" i="2"/>
  <c r="H560" i="2"/>
  <c r="G560" i="2"/>
  <c r="I560" i="2" s="1"/>
  <c r="K560" i="2" s="1"/>
  <c r="A562" i="2"/>
  <c r="B561" i="2"/>
  <c r="D561" i="2"/>
  <c r="F405" i="2" l="1"/>
  <c r="J405" i="2" s="1"/>
  <c r="M405" i="2" s="1"/>
  <c r="P405" i="2" s="1"/>
  <c r="A563" i="2"/>
  <c r="B562" i="2"/>
  <c r="D562" i="2"/>
  <c r="H561" i="2"/>
  <c r="G561" i="2"/>
  <c r="I561" i="2" s="1"/>
  <c r="K561" i="2" s="1"/>
  <c r="N560" i="2"/>
  <c r="O560" i="2"/>
  <c r="F406" i="2" l="1"/>
  <c r="J406" i="2" s="1"/>
  <c r="M406" i="2" s="1"/>
  <c r="P406" i="2" s="1"/>
  <c r="H562" i="2"/>
  <c r="G562" i="2"/>
  <c r="I562" i="2" s="1"/>
  <c r="K562" i="2" s="1"/>
  <c r="O561" i="2"/>
  <c r="N561" i="2"/>
  <c r="A564" i="2"/>
  <c r="B563" i="2"/>
  <c r="D563" i="2"/>
  <c r="F407" i="2" l="1"/>
  <c r="J407" i="2" s="1"/>
  <c r="M407" i="2" s="1"/>
  <c r="P407" i="2" s="1"/>
  <c r="B564" i="2"/>
  <c r="D564" i="2"/>
  <c r="A565" i="2"/>
  <c r="O562" i="2"/>
  <c r="N562" i="2"/>
  <c r="G563" i="2"/>
  <c r="I563" i="2" s="1"/>
  <c r="K563" i="2" s="1"/>
  <c r="H563" i="2"/>
  <c r="F408" i="2" l="1"/>
  <c r="J408" i="2" s="1"/>
  <c r="M408" i="2" s="1"/>
  <c r="P408" i="2" s="1"/>
  <c r="D565" i="2"/>
  <c r="A566" i="2"/>
  <c r="B565" i="2"/>
  <c r="O563" i="2"/>
  <c r="N563" i="2"/>
  <c r="G564" i="2"/>
  <c r="I564" i="2" s="1"/>
  <c r="K564" i="2" s="1"/>
  <c r="H564" i="2"/>
  <c r="F409" i="2" l="1"/>
  <c r="J409" i="2" s="1"/>
  <c r="M409" i="2" s="1"/>
  <c r="P409" i="2" s="1"/>
  <c r="O564" i="2"/>
  <c r="N564" i="2"/>
  <c r="A567" i="2"/>
  <c r="B566" i="2"/>
  <c r="D566" i="2"/>
  <c r="H565" i="2"/>
  <c r="G565" i="2"/>
  <c r="I565" i="2" s="1"/>
  <c r="K565" i="2" s="1"/>
  <c r="F410" i="2" l="1"/>
  <c r="J410" i="2" s="1"/>
  <c r="M410" i="2" s="1"/>
  <c r="P410" i="2" s="1"/>
  <c r="B567" i="2"/>
  <c r="D567" i="2"/>
  <c r="A568" i="2"/>
  <c r="N565" i="2"/>
  <c r="O565" i="2"/>
  <c r="H566" i="2"/>
  <c r="G566" i="2"/>
  <c r="I566" i="2" s="1"/>
  <c r="K566" i="2" s="1"/>
  <c r="F411" i="2" l="1"/>
  <c r="J411" i="2" s="1"/>
  <c r="M411" i="2" s="1"/>
  <c r="P411" i="2" s="1"/>
  <c r="O566" i="2"/>
  <c r="N566" i="2"/>
  <c r="A569" i="2"/>
  <c r="B568" i="2"/>
  <c r="D568" i="2"/>
  <c r="G567" i="2"/>
  <c r="I567" i="2" s="1"/>
  <c r="K567" i="2" s="1"/>
  <c r="H567" i="2"/>
  <c r="F412" i="2" l="1"/>
  <c r="J412" i="2" s="1"/>
  <c r="M412" i="2" s="1"/>
  <c r="P412" i="2" s="1"/>
  <c r="N567" i="2"/>
  <c r="O567" i="2"/>
  <c r="H568" i="2"/>
  <c r="G568" i="2"/>
  <c r="I568" i="2" s="1"/>
  <c r="K568" i="2" s="1"/>
  <c r="A570" i="2"/>
  <c r="B569" i="2"/>
  <c r="D569" i="2"/>
  <c r="F413" i="2" l="1"/>
  <c r="J413" i="2" s="1"/>
  <c r="M413" i="2" s="1"/>
  <c r="P413" i="2" s="1"/>
  <c r="H569" i="2"/>
  <c r="G569" i="2"/>
  <c r="I569" i="2" s="1"/>
  <c r="K569" i="2" s="1"/>
  <c r="A571" i="2"/>
  <c r="B570" i="2"/>
  <c r="D570" i="2"/>
  <c r="N568" i="2"/>
  <c r="O568" i="2"/>
  <c r="F414" i="2" l="1"/>
  <c r="J414" i="2" s="1"/>
  <c r="M414" i="2" s="1"/>
  <c r="P414" i="2" s="1"/>
  <c r="H570" i="2"/>
  <c r="G570" i="2"/>
  <c r="I570" i="2" s="1"/>
  <c r="K570" i="2" s="1"/>
  <c r="D571" i="2"/>
  <c r="A572" i="2"/>
  <c r="B571" i="2"/>
  <c r="N569" i="2"/>
  <c r="O569" i="2"/>
  <c r="F415" i="2" l="1"/>
  <c r="J415" i="2" s="1"/>
  <c r="M415" i="2" s="1"/>
  <c r="P415" i="2" s="1"/>
  <c r="H571" i="2"/>
  <c r="G571" i="2"/>
  <c r="I571" i="2" s="1"/>
  <c r="K571" i="2" s="1"/>
  <c r="A573" i="2"/>
  <c r="B572" i="2"/>
  <c r="D572" i="2"/>
  <c r="N570" i="2"/>
  <c r="O570" i="2"/>
  <c r="F416" i="2" l="1"/>
  <c r="J416" i="2" s="1"/>
  <c r="M416" i="2" s="1"/>
  <c r="P416" i="2" s="1"/>
  <c r="H572" i="2"/>
  <c r="G572" i="2"/>
  <c r="I572" i="2" s="1"/>
  <c r="K572" i="2" s="1"/>
  <c r="D573" i="2"/>
  <c r="B573" i="2"/>
  <c r="A574" i="2"/>
  <c r="N571" i="2"/>
  <c r="O571" i="2"/>
  <c r="F417" i="2" l="1"/>
  <c r="J417" i="2" s="1"/>
  <c r="M417" i="2" s="1"/>
  <c r="P417" i="2" s="1"/>
  <c r="B574" i="2"/>
  <c r="A575" i="2"/>
  <c r="D574" i="2"/>
  <c r="G573" i="2"/>
  <c r="I573" i="2" s="1"/>
  <c r="K573" i="2" s="1"/>
  <c r="H573" i="2"/>
  <c r="N572" i="2"/>
  <c r="O572" i="2"/>
  <c r="F418" i="2" l="1"/>
  <c r="J418" i="2" s="1"/>
  <c r="M418" i="2" s="1"/>
  <c r="P418" i="2" s="1"/>
  <c r="O573" i="2"/>
  <c r="N573" i="2"/>
  <c r="G574" i="2"/>
  <c r="I574" i="2" s="1"/>
  <c r="K574" i="2" s="1"/>
  <c r="H574" i="2"/>
  <c r="D575" i="2"/>
  <c r="B575" i="2"/>
  <c r="A576" i="2"/>
  <c r="F419" i="2" l="1"/>
  <c r="J419" i="2" s="1"/>
  <c r="M419" i="2" s="1"/>
  <c r="P419" i="2" s="1"/>
  <c r="D576" i="2"/>
  <c r="B576" i="2"/>
  <c r="A577" i="2"/>
  <c r="G575" i="2"/>
  <c r="I575" i="2" s="1"/>
  <c r="K575" i="2" s="1"/>
  <c r="H575" i="2"/>
  <c r="O574" i="2"/>
  <c r="N574" i="2"/>
  <c r="F420" i="2" l="1"/>
  <c r="J420" i="2" s="1"/>
  <c r="M420" i="2" s="1"/>
  <c r="P420" i="2" s="1"/>
  <c r="O575" i="2"/>
  <c r="N575" i="2"/>
  <c r="A578" i="2"/>
  <c r="D577" i="2"/>
  <c r="B577" i="2"/>
  <c r="H576" i="2"/>
  <c r="G576" i="2"/>
  <c r="I576" i="2" s="1"/>
  <c r="K576" i="2" s="1"/>
  <c r="F421" i="2" l="1"/>
  <c r="J421" i="2" s="1"/>
  <c r="M421" i="2" s="1"/>
  <c r="P421" i="2" s="1"/>
  <c r="N576" i="2"/>
  <c r="O576" i="2"/>
  <c r="H577" i="2"/>
  <c r="G577" i="2"/>
  <c r="I577" i="2" s="1"/>
  <c r="K577" i="2" s="1"/>
  <c r="D578" i="2"/>
  <c r="B578" i="2"/>
  <c r="A579" i="2"/>
  <c r="F422" i="2" l="1"/>
  <c r="J422" i="2" s="1"/>
  <c r="M422" i="2" s="1"/>
  <c r="P422" i="2" s="1"/>
  <c r="A580" i="2"/>
  <c r="B579" i="2"/>
  <c r="D579" i="2"/>
  <c r="H578" i="2"/>
  <c r="G578" i="2"/>
  <c r="I578" i="2" s="1"/>
  <c r="K578" i="2" s="1"/>
  <c r="O577" i="2"/>
  <c r="N577" i="2"/>
  <c r="F423" i="2" l="1"/>
  <c r="J423" i="2" s="1"/>
  <c r="M423" i="2" s="1"/>
  <c r="P423" i="2" s="1"/>
  <c r="G579" i="2"/>
  <c r="I579" i="2" s="1"/>
  <c r="K579" i="2" s="1"/>
  <c r="H579" i="2"/>
  <c r="O578" i="2"/>
  <c r="N578" i="2"/>
  <c r="B580" i="2"/>
  <c r="D580" i="2"/>
  <c r="A581" i="2"/>
  <c r="F424" i="2" l="1"/>
  <c r="J424" i="2" s="1"/>
  <c r="M424" i="2" s="1"/>
  <c r="P424" i="2" s="1"/>
  <c r="H580" i="2"/>
  <c r="G580" i="2"/>
  <c r="I580" i="2" s="1"/>
  <c r="K580" i="2" s="1"/>
  <c r="A582" i="2"/>
  <c r="D581" i="2"/>
  <c r="B581" i="2"/>
  <c r="N579" i="2"/>
  <c r="O579" i="2"/>
  <c r="F425" i="2" l="1"/>
  <c r="J425" i="2" s="1"/>
  <c r="M425" i="2" s="1"/>
  <c r="P425" i="2" s="1"/>
  <c r="G581" i="2"/>
  <c r="I581" i="2" s="1"/>
  <c r="K581" i="2" s="1"/>
  <c r="H581" i="2"/>
  <c r="B582" i="2"/>
  <c r="D582" i="2"/>
  <c r="A583" i="2"/>
  <c r="O580" i="2"/>
  <c r="N580" i="2"/>
  <c r="F426" i="2" l="1"/>
  <c r="J426" i="2" s="1"/>
  <c r="M426" i="2" s="1"/>
  <c r="P426" i="2" s="1"/>
  <c r="A584" i="2"/>
  <c r="B583" i="2"/>
  <c r="D583" i="2"/>
  <c r="G582" i="2"/>
  <c r="I582" i="2" s="1"/>
  <c r="K582" i="2" s="1"/>
  <c r="H582" i="2"/>
  <c r="O581" i="2"/>
  <c r="N581" i="2"/>
  <c r="F427" i="2" l="1"/>
  <c r="J427" i="2" s="1"/>
  <c r="M427" i="2" s="1"/>
  <c r="P427" i="2" s="1"/>
  <c r="O582" i="2"/>
  <c r="N582" i="2"/>
  <c r="D584" i="2"/>
  <c r="A585" i="2"/>
  <c r="B584" i="2"/>
  <c r="H583" i="2"/>
  <c r="G583" i="2"/>
  <c r="I583" i="2" s="1"/>
  <c r="K583" i="2" s="1"/>
  <c r="F428" i="2" l="1"/>
  <c r="J428" i="2" s="1"/>
  <c r="M428" i="2" s="1"/>
  <c r="P428" i="2" s="1"/>
  <c r="O583" i="2"/>
  <c r="N583" i="2"/>
  <c r="A586" i="2"/>
  <c r="D585" i="2"/>
  <c r="B585" i="2"/>
  <c r="H584" i="2"/>
  <c r="G584" i="2"/>
  <c r="I584" i="2" s="1"/>
  <c r="K584" i="2" s="1"/>
  <c r="F429" i="2" l="1"/>
  <c r="J429" i="2" s="1"/>
  <c r="M429" i="2" s="1"/>
  <c r="P429" i="2" s="1"/>
  <c r="O584" i="2"/>
  <c r="N584" i="2"/>
  <c r="D586" i="2"/>
  <c r="A587" i="2"/>
  <c r="B586" i="2"/>
  <c r="H585" i="2"/>
  <c r="G585" i="2"/>
  <c r="I585" i="2" s="1"/>
  <c r="K585" i="2" s="1"/>
  <c r="F430" i="2" l="1"/>
  <c r="J430" i="2" s="1"/>
  <c r="M430" i="2" s="1"/>
  <c r="P430" i="2" s="1"/>
  <c r="N585" i="2"/>
  <c r="O585" i="2"/>
  <c r="A588" i="2"/>
  <c r="B587" i="2"/>
  <c r="D587" i="2"/>
  <c r="H586" i="2"/>
  <c r="G586" i="2"/>
  <c r="I586" i="2" s="1"/>
  <c r="K586" i="2" s="1"/>
  <c r="F431" i="2" l="1"/>
  <c r="J431" i="2" s="1"/>
  <c r="M431" i="2" s="1"/>
  <c r="P431" i="2" s="1"/>
  <c r="N586" i="2"/>
  <c r="O586" i="2"/>
  <c r="G587" i="2"/>
  <c r="I587" i="2" s="1"/>
  <c r="K587" i="2" s="1"/>
  <c r="H587" i="2"/>
  <c r="D588" i="2"/>
  <c r="B588" i="2"/>
  <c r="A589" i="2"/>
  <c r="F432" i="2" l="1"/>
  <c r="J432" i="2" s="1"/>
  <c r="M432" i="2" s="1"/>
  <c r="P432" i="2" s="1"/>
  <c r="N587" i="2"/>
  <c r="O587" i="2"/>
  <c r="D589" i="2"/>
  <c r="B589" i="2"/>
  <c r="A590" i="2"/>
  <c r="G588" i="2"/>
  <c r="I588" i="2" s="1"/>
  <c r="K588" i="2" s="1"/>
  <c r="H588" i="2"/>
  <c r="F433" i="2" l="1"/>
  <c r="J433" i="2" s="1"/>
  <c r="M433" i="2" s="1"/>
  <c r="P433" i="2" s="1"/>
  <c r="A591" i="2"/>
  <c r="D590" i="2"/>
  <c r="B590" i="2"/>
  <c r="N588" i="2"/>
  <c r="O588" i="2"/>
  <c r="H589" i="2"/>
  <c r="G589" i="2"/>
  <c r="I589" i="2" s="1"/>
  <c r="K589" i="2" s="1"/>
  <c r="F434" i="2" l="1"/>
  <c r="J434" i="2" s="1"/>
  <c r="M434" i="2" s="1"/>
  <c r="P434" i="2" s="1"/>
  <c r="N589" i="2"/>
  <c r="O589" i="2"/>
  <c r="H590" i="2"/>
  <c r="G590" i="2"/>
  <c r="I590" i="2" s="1"/>
  <c r="K590" i="2" s="1"/>
  <c r="D591" i="2"/>
  <c r="A592" i="2"/>
  <c r="B591" i="2"/>
  <c r="F435" i="2" l="1"/>
  <c r="J435" i="2" s="1"/>
  <c r="M435" i="2" s="1"/>
  <c r="P435" i="2" s="1"/>
  <c r="A593" i="2"/>
  <c r="B592" i="2"/>
  <c r="D592" i="2"/>
  <c r="H591" i="2"/>
  <c r="G591" i="2"/>
  <c r="I591" i="2" s="1"/>
  <c r="K591" i="2" s="1"/>
  <c r="O590" i="2"/>
  <c r="N590" i="2"/>
  <c r="F436" i="2" l="1"/>
  <c r="J436" i="2" s="1"/>
  <c r="M436" i="2" s="1"/>
  <c r="P436" i="2" s="1"/>
  <c r="N591" i="2"/>
  <c r="O591" i="2"/>
  <c r="G592" i="2"/>
  <c r="I592" i="2" s="1"/>
  <c r="K592" i="2" s="1"/>
  <c r="H592" i="2"/>
  <c r="A594" i="2"/>
  <c r="D593" i="2"/>
  <c r="B593" i="2"/>
  <c r="F437" i="2" l="1"/>
  <c r="J437" i="2" s="1"/>
  <c r="M437" i="2" s="1"/>
  <c r="P437" i="2" s="1"/>
  <c r="H593" i="2"/>
  <c r="G593" i="2"/>
  <c r="I593" i="2" s="1"/>
  <c r="K593" i="2" s="1"/>
  <c r="O592" i="2"/>
  <c r="N592" i="2"/>
  <c r="B594" i="2"/>
  <c r="A595" i="2"/>
  <c r="D594" i="2"/>
  <c r="F438" i="2" l="1"/>
  <c r="J438" i="2" s="1"/>
  <c r="M438" i="2" s="1"/>
  <c r="P438" i="2" s="1"/>
  <c r="H594" i="2"/>
  <c r="G594" i="2"/>
  <c r="I594" i="2" s="1"/>
  <c r="K594" i="2" s="1"/>
  <c r="A596" i="2"/>
  <c r="D595" i="2"/>
  <c r="B595" i="2"/>
  <c r="N593" i="2"/>
  <c r="O593" i="2"/>
  <c r="F439" i="2" l="1"/>
  <c r="J439" i="2" s="1"/>
  <c r="M439" i="2" s="1"/>
  <c r="P439" i="2" s="1"/>
  <c r="H595" i="2"/>
  <c r="G595" i="2"/>
  <c r="I595" i="2" s="1"/>
  <c r="K595" i="2" s="1"/>
  <c r="A597" i="2"/>
  <c r="D596" i="2"/>
  <c r="B596" i="2"/>
  <c r="O594" i="2"/>
  <c r="N594" i="2"/>
  <c r="F440" i="2" l="1"/>
  <c r="J440" i="2" s="1"/>
  <c r="M440" i="2" s="1"/>
  <c r="P440" i="2" s="1"/>
  <c r="H596" i="2"/>
  <c r="G596" i="2"/>
  <c r="I596" i="2" s="1"/>
  <c r="K596" i="2" s="1"/>
  <c r="A598" i="2"/>
  <c r="D597" i="2"/>
  <c r="B597" i="2"/>
  <c r="N595" i="2"/>
  <c r="O595" i="2"/>
  <c r="F441" i="2" l="1"/>
  <c r="J441" i="2" s="1"/>
  <c r="M441" i="2" s="1"/>
  <c r="P441" i="2" s="1"/>
  <c r="A599" i="2"/>
  <c r="D598" i="2"/>
  <c r="B598" i="2"/>
  <c r="N596" i="2"/>
  <c r="O596" i="2"/>
  <c r="G597" i="2"/>
  <c r="I597" i="2" s="1"/>
  <c r="K597" i="2" s="1"/>
  <c r="H597" i="2"/>
  <c r="F442" i="2" l="1"/>
  <c r="J442" i="2" s="1"/>
  <c r="M442" i="2" s="1"/>
  <c r="P442" i="2" s="1"/>
  <c r="N597" i="2"/>
  <c r="O597" i="2"/>
  <c r="H598" i="2"/>
  <c r="G598" i="2"/>
  <c r="I598" i="2" s="1"/>
  <c r="K598" i="2" s="1"/>
  <c r="A600" i="2"/>
  <c r="D599" i="2"/>
  <c r="B599" i="2"/>
  <c r="F443" i="2" l="1"/>
  <c r="J443" i="2" s="1"/>
  <c r="M443" i="2" s="1"/>
  <c r="P443" i="2" s="1"/>
  <c r="H599" i="2"/>
  <c r="G599" i="2"/>
  <c r="I599" i="2" s="1"/>
  <c r="K599" i="2" s="1"/>
  <c r="A601" i="2"/>
  <c r="B600" i="2"/>
  <c r="D600" i="2"/>
  <c r="O598" i="2"/>
  <c r="N598" i="2"/>
  <c r="F444" i="2" l="1"/>
  <c r="J444" i="2" s="1"/>
  <c r="M444" i="2" s="1"/>
  <c r="P444" i="2" s="1"/>
  <c r="H600" i="2"/>
  <c r="G600" i="2"/>
  <c r="I600" i="2" s="1"/>
  <c r="K600" i="2" s="1"/>
  <c r="A602" i="2"/>
  <c r="D601" i="2"/>
  <c r="B601" i="2"/>
  <c r="O599" i="2"/>
  <c r="N599" i="2"/>
  <c r="F445" i="2" l="1"/>
  <c r="J445" i="2" s="1"/>
  <c r="M445" i="2" s="1"/>
  <c r="P445" i="2" s="1"/>
  <c r="H601" i="2"/>
  <c r="G601" i="2"/>
  <c r="I601" i="2" s="1"/>
  <c r="K601" i="2" s="1"/>
  <c r="D602" i="2"/>
  <c r="B602" i="2"/>
  <c r="A603" i="2"/>
  <c r="N600" i="2"/>
  <c r="O600" i="2"/>
  <c r="F446" i="2" l="1"/>
  <c r="J446" i="2" s="1"/>
  <c r="M446" i="2" s="1"/>
  <c r="P446" i="2" s="1"/>
  <c r="G602" i="2"/>
  <c r="I602" i="2" s="1"/>
  <c r="K602" i="2" s="1"/>
  <c r="H602" i="2"/>
  <c r="A604" i="2"/>
  <c r="D603" i="2"/>
  <c r="B603" i="2"/>
  <c r="N601" i="2"/>
  <c r="O601" i="2"/>
  <c r="F447" i="2" l="1"/>
  <c r="J447" i="2" s="1"/>
  <c r="M447" i="2" s="1"/>
  <c r="P447" i="2" s="1"/>
  <c r="H603" i="2"/>
  <c r="G603" i="2"/>
  <c r="I603" i="2" s="1"/>
  <c r="K603" i="2" s="1"/>
  <c r="A605" i="2"/>
  <c r="D604" i="2"/>
  <c r="B604" i="2"/>
  <c r="N602" i="2"/>
  <c r="O602" i="2"/>
  <c r="F448" i="2" l="1"/>
  <c r="J448" i="2" s="1"/>
  <c r="M448" i="2" s="1"/>
  <c r="P448" i="2" s="1"/>
  <c r="H604" i="2"/>
  <c r="G604" i="2"/>
  <c r="I604" i="2" s="1"/>
  <c r="K604" i="2" s="1"/>
  <c r="A606" i="2"/>
  <c r="D605" i="2"/>
  <c r="B605" i="2"/>
  <c r="N603" i="2"/>
  <c r="O603" i="2"/>
  <c r="F449" i="2" l="1"/>
  <c r="J449" i="2" s="1"/>
  <c r="M449" i="2" s="1"/>
  <c r="P449" i="2" s="1"/>
  <c r="H605" i="2"/>
  <c r="G605" i="2"/>
  <c r="I605" i="2" s="1"/>
  <c r="K605" i="2" s="1"/>
  <c r="A607" i="2"/>
  <c r="D606" i="2"/>
  <c r="B606" i="2"/>
  <c r="O604" i="2"/>
  <c r="N604" i="2"/>
  <c r="F450" i="2" l="1"/>
  <c r="J450" i="2" s="1"/>
  <c r="M450" i="2" s="1"/>
  <c r="P450" i="2" s="1"/>
  <c r="B607" i="2"/>
  <c r="D607" i="2"/>
  <c r="A608" i="2"/>
  <c r="H606" i="2"/>
  <c r="G606" i="2"/>
  <c r="I606" i="2" s="1"/>
  <c r="K606" i="2" s="1"/>
  <c r="O605" i="2"/>
  <c r="N605" i="2"/>
  <c r="F451" i="2" l="1"/>
  <c r="J451" i="2" s="1"/>
  <c r="M451" i="2" s="1"/>
  <c r="P451" i="2" s="1"/>
  <c r="O606" i="2"/>
  <c r="N606" i="2"/>
  <c r="B608" i="2"/>
  <c r="D608" i="2"/>
  <c r="A609" i="2"/>
  <c r="G607" i="2"/>
  <c r="I607" i="2" s="1"/>
  <c r="K607" i="2" s="1"/>
  <c r="H607" i="2"/>
  <c r="F452" i="2" l="1"/>
  <c r="J452" i="2" s="1"/>
  <c r="M452" i="2" s="1"/>
  <c r="P452" i="2" s="1"/>
  <c r="N607" i="2"/>
  <c r="O607" i="2"/>
  <c r="A610" i="2"/>
  <c r="D609" i="2"/>
  <c r="B609" i="2"/>
  <c r="G608" i="2"/>
  <c r="I608" i="2" s="1"/>
  <c r="K608" i="2" s="1"/>
  <c r="H608" i="2"/>
  <c r="F453" i="2" l="1"/>
  <c r="J453" i="2" s="1"/>
  <c r="M453" i="2" s="1"/>
  <c r="P453" i="2" s="1"/>
  <c r="G609" i="2"/>
  <c r="I609" i="2" s="1"/>
  <c r="K609" i="2" s="1"/>
  <c r="H609" i="2"/>
  <c r="A611" i="2"/>
  <c r="D610" i="2"/>
  <c r="B610" i="2"/>
  <c r="O608" i="2"/>
  <c r="N608" i="2"/>
  <c r="F454" i="2" l="1"/>
  <c r="J454" i="2" s="1"/>
  <c r="M454" i="2" s="1"/>
  <c r="P454" i="2" s="1"/>
  <c r="H610" i="2"/>
  <c r="G610" i="2"/>
  <c r="I610" i="2" s="1"/>
  <c r="K610" i="2" s="1"/>
  <c r="A612" i="2"/>
  <c r="D611" i="2"/>
  <c r="B611" i="2"/>
  <c r="N609" i="2"/>
  <c r="O609" i="2"/>
  <c r="F455" i="2" l="1"/>
  <c r="J455" i="2" s="1"/>
  <c r="M455" i="2" s="1"/>
  <c r="P455" i="2" s="1"/>
  <c r="N610" i="2"/>
  <c r="O610" i="2"/>
  <c r="H611" i="2"/>
  <c r="G611" i="2"/>
  <c r="I611" i="2" s="1"/>
  <c r="K611" i="2" s="1"/>
  <c r="A613" i="2"/>
  <c r="D612" i="2"/>
  <c r="B612" i="2"/>
  <c r="F456" i="2" l="1"/>
  <c r="J456" i="2" s="1"/>
  <c r="M456" i="2" s="1"/>
  <c r="P456" i="2" s="1"/>
  <c r="A614" i="2"/>
  <c r="B613" i="2"/>
  <c r="D613" i="2"/>
  <c r="H612" i="2"/>
  <c r="G612" i="2"/>
  <c r="I612" i="2" s="1"/>
  <c r="K612" i="2" s="1"/>
  <c r="O611" i="2"/>
  <c r="N611" i="2"/>
  <c r="F457" i="2" l="1"/>
  <c r="J457" i="2" s="1"/>
  <c r="M457" i="2" s="1"/>
  <c r="P457" i="2" s="1"/>
  <c r="O612" i="2"/>
  <c r="N612" i="2"/>
  <c r="H613" i="2"/>
  <c r="G613" i="2"/>
  <c r="I613" i="2" s="1"/>
  <c r="K613" i="2" s="1"/>
  <c r="D614" i="2"/>
  <c r="A615" i="2"/>
  <c r="B614" i="2"/>
  <c r="F458" i="2" l="1"/>
  <c r="J458" i="2" s="1"/>
  <c r="M458" i="2" s="1"/>
  <c r="P458" i="2" s="1"/>
  <c r="N613" i="2"/>
  <c r="O613" i="2"/>
  <c r="H614" i="2"/>
  <c r="G614" i="2"/>
  <c r="I614" i="2" s="1"/>
  <c r="K614" i="2" s="1"/>
  <c r="B615" i="2"/>
  <c r="D615" i="2"/>
  <c r="A616" i="2"/>
  <c r="F459" i="2" l="1"/>
  <c r="J459" i="2" s="1"/>
  <c r="M459" i="2" s="1"/>
  <c r="P459" i="2" s="1"/>
  <c r="G615" i="2"/>
  <c r="I615" i="2" s="1"/>
  <c r="K615" i="2" s="1"/>
  <c r="H615" i="2"/>
  <c r="B616" i="2"/>
  <c r="D616" i="2"/>
  <c r="A617" i="2"/>
  <c r="O614" i="2"/>
  <c r="N614" i="2"/>
  <c r="F460" i="2" l="1"/>
  <c r="J460" i="2" s="1"/>
  <c r="M460" i="2" s="1"/>
  <c r="P460" i="2" s="1"/>
  <c r="A618" i="2"/>
  <c r="B617" i="2"/>
  <c r="D617" i="2"/>
  <c r="G616" i="2"/>
  <c r="I616" i="2" s="1"/>
  <c r="K616" i="2" s="1"/>
  <c r="H616" i="2"/>
  <c r="O615" i="2"/>
  <c r="N615" i="2"/>
  <c r="F461" i="2" l="1"/>
  <c r="J461" i="2" s="1"/>
  <c r="M461" i="2" s="1"/>
  <c r="P461" i="2" s="1"/>
  <c r="G617" i="2"/>
  <c r="I617" i="2" s="1"/>
  <c r="K617" i="2" s="1"/>
  <c r="H617" i="2"/>
  <c r="O616" i="2"/>
  <c r="N616" i="2"/>
  <c r="D618" i="2"/>
  <c r="B618" i="2"/>
  <c r="A619" i="2"/>
  <c r="F462" i="2" l="1"/>
  <c r="J462" i="2" s="1"/>
  <c r="M462" i="2" s="1"/>
  <c r="P462" i="2" s="1"/>
  <c r="B619" i="2"/>
  <c r="A620" i="2"/>
  <c r="D619" i="2"/>
  <c r="H618" i="2"/>
  <c r="G618" i="2"/>
  <c r="I618" i="2" s="1"/>
  <c r="K618" i="2" s="1"/>
  <c r="N617" i="2"/>
  <c r="O617" i="2"/>
  <c r="F463" i="2" l="1"/>
  <c r="J463" i="2" s="1"/>
  <c r="M463" i="2" s="1"/>
  <c r="P463" i="2" s="1"/>
  <c r="N618" i="2"/>
  <c r="O618" i="2"/>
  <c r="G619" i="2"/>
  <c r="I619" i="2" s="1"/>
  <c r="K619" i="2" s="1"/>
  <c r="H619" i="2"/>
  <c r="B620" i="2"/>
  <c r="D620" i="2"/>
  <c r="A621" i="2"/>
  <c r="F464" i="2" l="1"/>
  <c r="J464" i="2" s="1"/>
  <c r="M464" i="2" s="1"/>
  <c r="P464" i="2" s="1"/>
  <c r="A622" i="2"/>
  <c r="D621" i="2"/>
  <c r="B621" i="2"/>
  <c r="G620" i="2"/>
  <c r="I620" i="2" s="1"/>
  <c r="K620" i="2" s="1"/>
  <c r="H620" i="2"/>
  <c r="N619" i="2"/>
  <c r="O619" i="2"/>
  <c r="F465" i="2" l="1"/>
  <c r="J465" i="2" s="1"/>
  <c r="M465" i="2" s="1"/>
  <c r="P465" i="2" s="1"/>
  <c r="O620" i="2"/>
  <c r="N620" i="2"/>
  <c r="H621" i="2"/>
  <c r="G621" i="2"/>
  <c r="I621" i="2" s="1"/>
  <c r="K621" i="2" s="1"/>
  <c r="A623" i="2"/>
  <c r="D622" i="2"/>
  <c r="B622" i="2"/>
  <c r="F466" i="2" l="1"/>
  <c r="J466" i="2" s="1"/>
  <c r="M466" i="2" s="1"/>
  <c r="P466" i="2" s="1"/>
  <c r="H622" i="2"/>
  <c r="G622" i="2"/>
  <c r="I622" i="2" s="1"/>
  <c r="K622" i="2" s="1"/>
  <c r="A624" i="2"/>
  <c r="D623" i="2"/>
  <c r="B623" i="2"/>
  <c r="O621" i="2"/>
  <c r="N621" i="2"/>
  <c r="F467" i="2" l="1"/>
  <c r="J467" i="2" s="1"/>
  <c r="M467" i="2" s="1"/>
  <c r="P467" i="2" s="1"/>
  <c r="A625" i="2"/>
  <c r="B624" i="2"/>
  <c r="D624" i="2"/>
  <c r="H623" i="2"/>
  <c r="G623" i="2"/>
  <c r="I623" i="2" s="1"/>
  <c r="K623" i="2" s="1"/>
  <c r="O622" i="2"/>
  <c r="N622" i="2"/>
  <c r="F468" i="2" l="1"/>
  <c r="J468" i="2" s="1"/>
  <c r="M468" i="2" s="1"/>
  <c r="P468" i="2" s="1"/>
  <c r="H624" i="2"/>
  <c r="G624" i="2"/>
  <c r="I624" i="2" s="1"/>
  <c r="K624" i="2" s="1"/>
  <c r="O623" i="2"/>
  <c r="N623" i="2"/>
  <c r="A626" i="2"/>
  <c r="D625" i="2"/>
  <c r="B625" i="2"/>
  <c r="F469" i="2" l="1"/>
  <c r="J469" i="2" s="1"/>
  <c r="M469" i="2" s="1"/>
  <c r="P469" i="2" s="1"/>
  <c r="H625" i="2"/>
  <c r="G625" i="2"/>
  <c r="I625" i="2" s="1"/>
  <c r="K625" i="2" s="1"/>
  <c r="A627" i="2"/>
  <c r="D626" i="2"/>
  <c r="B626" i="2"/>
  <c r="O624" i="2"/>
  <c r="N624" i="2"/>
  <c r="F470" i="2" l="1"/>
  <c r="J470" i="2" s="1"/>
  <c r="M470" i="2" s="1"/>
  <c r="P470" i="2" s="1"/>
  <c r="H626" i="2"/>
  <c r="G626" i="2"/>
  <c r="I626" i="2" s="1"/>
  <c r="K626" i="2" s="1"/>
  <c r="A628" i="2"/>
  <c r="B627" i="2"/>
  <c r="D627" i="2"/>
  <c r="O625" i="2"/>
  <c r="N625" i="2"/>
  <c r="F471" i="2" l="1"/>
  <c r="J471" i="2" s="1"/>
  <c r="M471" i="2" s="1"/>
  <c r="P471" i="2" s="1"/>
  <c r="N626" i="2"/>
  <c r="O626" i="2"/>
  <c r="H627" i="2"/>
  <c r="G627" i="2"/>
  <c r="I627" i="2" s="1"/>
  <c r="K627" i="2" s="1"/>
  <c r="A629" i="2"/>
  <c r="D628" i="2"/>
  <c r="B628" i="2"/>
  <c r="F472" i="2" l="1"/>
  <c r="J472" i="2" s="1"/>
  <c r="M472" i="2" s="1"/>
  <c r="P472" i="2" s="1"/>
  <c r="G628" i="2"/>
  <c r="I628" i="2" s="1"/>
  <c r="K628" i="2" s="1"/>
  <c r="H628" i="2"/>
  <c r="D629" i="2"/>
  <c r="B629" i="2"/>
  <c r="A630" i="2"/>
  <c r="N627" i="2"/>
  <c r="O627" i="2"/>
  <c r="F473" i="2" l="1"/>
  <c r="J473" i="2" s="1"/>
  <c r="M473" i="2" s="1"/>
  <c r="P473" i="2" s="1"/>
  <c r="A631" i="2"/>
  <c r="B630" i="2"/>
  <c r="D630" i="2"/>
  <c r="H629" i="2"/>
  <c r="G629" i="2"/>
  <c r="I629" i="2" s="1"/>
  <c r="K629" i="2" s="1"/>
  <c r="N628" i="2"/>
  <c r="O628" i="2"/>
  <c r="F474" i="2" l="1"/>
  <c r="J474" i="2" s="1"/>
  <c r="M474" i="2" s="1"/>
  <c r="P474" i="2" s="1"/>
  <c r="O629" i="2"/>
  <c r="N629" i="2"/>
  <c r="H630" i="2"/>
  <c r="G630" i="2"/>
  <c r="I630" i="2" s="1"/>
  <c r="K630" i="2" s="1"/>
  <c r="B631" i="2"/>
  <c r="A632" i="2"/>
  <c r="D631" i="2"/>
  <c r="F475" i="2" l="1"/>
  <c r="J475" i="2" s="1"/>
  <c r="M475" i="2" s="1"/>
  <c r="P475" i="2" s="1"/>
  <c r="A633" i="2"/>
  <c r="B632" i="2"/>
  <c r="D632" i="2"/>
  <c r="H631" i="2"/>
  <c r="G631" i="2"/>
  <c r="I631" i="2" s="1"/>
  <c r="K631" i="2" s="1"/>
  <c r="O630" i="2"/>
  <c r="N630" i="2"/>
  <c r="F476" i="2" l="1"/>
  <c r="J476" i="2" s="1"/>
  <c r="M476" i="2" s="1"/>
  <c r="P476" i="2" s="1"/>
  <c r="N631" i="2"/>
  <c r="O631" i="2"/>
  <c r="H632" i="2"/>
  <c r="G632" i="2"/>
  <c r="I632" i="2" s="1"/>
  <c r="K632" i="2" s="1"/>
  <c r="A634" i="2"/>
  <c r="B633" i="2"/>
  <c r="D633" i="2"/>
  <c r="F477" i="2" l="1"/>
  <c r="J477" i="2" s="1"/>
  <c r="M477" i="2" s="1"/>
  <c r="P477" i="2" s="1"/>
  <c r="H633" i="2"/>
  <c r="G633" i="2"/>
  <c r="I633" i="2" s="1"/>
  <c r="K633" i="2" s="1"/>
  <c r="A635" i="2"/>
  <c r="B634" i="2"/>
  <c r="D634" i="2"/>
  <c r="N632" i="2"/>
  <c r="O632" i="2"/>
  <c r="F478" i="2" l="1"/>
  <c r="J478" i="2" s="1"/>
  <c r="M478" i="2" s="1"/>
  <c r="P478" i="2" s="1"/>
  <c r="H634" i="2"/>
  <c r="G634" i="2"/>
  <c r="I634" i="2" s="1"/>
  <c r="K634" i="2" s="1"/>
  <c r="A636" i="2"/>
  <c r="D635" i="2"/>
  <c r="B635" i="2"/>
  <c r="O633" i="2"/>
  <c r="N633" i="2"/>
  <c r="F479" i="2" l="1"/>
  <c r="J479" i="2" s="1"/>
  <c r="M479" i="2" s="1"/>
  <c r="P479" i="2" s="1"/>
  <c r="H635" i="2"/>
  <c r="G635" i="2"/>
  <c r="I635" i="2" s="1"/>
  <c r="K635" i="2" s="1"/>
  <c r="A637" i="2"/>
  <c r="B636" i="2"/>
  <c r="D636" i="2"/>
  <c r="N634" i="2"/>
  <c r="O634" i="2"/>
  <c r="F480" i="2" l="1"/>
  <c r="J480" i="2" s="1"/>
  <c r="M480" i="2" s="1"/>
  <c r="P480" i="2" s="1"/>
  <c r="H636" i="2"/>
  <c r="G636" i="2"/>
  <c r="I636" i="2" s="1"/>
  <c r="K636" i="2" s="1"/>
  <c r="D637" i="2"/>
  <c r="B637" i="2"/>
  <c r="A638" i="2"/>
  <c r="O635" i="2"/>
  <c r="N635" i="2"/>
  <c r="F481" i="2" l="1"/>
  <c r="J481" i="2" s="1"/>
  <c r="M481" i="2" s="1"/>
  <c r="P481" i="2" s="1"/>
  <c r="A639" i="2"/>
  <c r="B638" i="2"/>
  <c r="D638" i="2"/>
  <c r="G637" i="2"/>
  <c r="I637" i="2" s="1"/>
  <c r="K637" i="2" s="1"/>
  <c r="H637" i="2"/>
  <c r="N636" i="2"/>
  <c r="O636" i="2"/>
  <c r="F482" i="2" l="1"/>
  <c r="J482" i="2" s="1"/>
  <c r="M482" i="2" s="1"/>
  <c r="P482" i="2" s="1"/>
  <c r="N637" i="2"/>
  <c r="O637" i="2"/>
  <c r="G638" i="2"/>
  <c r="I638" i="2" s="1"/>
  <c r="K638" i="2" s="1"/>
  <c r="H638" i="2"/>
  <c r="B639" i="2"/>
  <c r="D639" i="2"/>
  <c r="A640" i="2"/>
  <c r="F483" i="2" l="1"/>
  <c r="J483" i="2" s="1"/>
  <c r="M483" i="2" s="1"/>
  <c r="P483" i="2" s="1"/>
  <c r="H639" i="2"/>
  <c r="G639" i="2"/>
  <c r="I639" i="2" s="1"/>
  <c r="K639" i="2" s="1"/>
  <c r="B640" i="2"/>
  <c r="D640" i="2"/>
  <c r="A641" i="2"/>
  <c r="N638" i="2"/>
  <c r="O638" i="2"/>
  <c r="F484" i="2" l="1"/>
  <c r="J484" i="2" s="1"/>
  <c r="M484" i="2" s="1"/>
  <c r="P484" i="2" s="1"/>
  <c r="A642" i="2"/>
  <c r="B641" i="2"/>
  <c r="D641" i="2"/>
  <c r="H640" i="2"/>
  <c r="G640" i="2"/>
  <c r="I640" i="2" s="1"/>
  <c r="K640" i="2" s="1"/>
  <c r="N639" i="2"/>
  <c r="O639" i="2"/>
  <c r="F485" i="2" l="1"/>
  <c r="J485" i="2" s="1"/>
  <c r="M485" i="2" s="1"/>
  <c r="P485" i="2" s="1"/>
  <c r="N640" i="2"/>
  <c r="O640" i="2"/>
  <c r="H641" i="2"/>
  <c r="G641" i="2"/>
  <c r="I641" i="2" s="1"/>
  <c r="K641" i="2" s="1"/>
  <c r="A643" i="2"/>
  <c r="B642" i="2"/>
  <c r="D642" i="2"/>
  <c r="F486" i="2" l="1"/>
  <c r="J486" i="2" s="1"/>
  <c r="M486" i="2" s="1"/>
  <c r="P486" i="2" s="1"/>
  <c r="G642" i="2"/>
  <c r="I642" i="2" s="1"/>
  <c r="K642" i="2" s="1"/>
  <c r="H642" i="2"/>
  <c r="B643" i="2"/>
  <c r="D643" i="2"/>
  <c r="A644" i="2"/>
  <c r="O641" i="2"/>
  <c r="N641" i="2"/>
  <c r="F487" i="2" l="1"/>
  <c r="J487" i="2" s="1"/>
  <c r="M487" i="2" s="1"/>
  <c r="P487" i="2" s="1"/>
  <c r="A645" i="2"/>
  <c r="D644" i="2"/>
  <c r="B644" i="2"/>
  <c r="G643" i="2"/>
  <c r="I643" i="2" s="1"/>
  <c r="K643" i="2" s="1"/>
  <c r="H643" i="2"/>
  <c r="N642" i="2"/>
  <c r="O642" i="2"/>
  <c r="F488" i="2" l="1"/>
  <c r="J488" i="2" s="1"/>
  <c r="M488" i="2" s="1"/>
  <c r="P488" i="2" s="1"/>
  <c r="N643" i="2"/>
  <c r="O643" i="2"/>
  <c r="H644" i="2"/>
  <c r="G644" i="2"/>
  <c r="I644" i="2" s="1"/>
  <c r="K644" i="2" s="1"/>
  <c r="A646" i="2"/>
  <c r="B645" i="2"/>
  <c r="D645" i="2"/>
  <c r="F489" i="2" l="1"/>
  <c r="J489" i="2" s="1"/>
  <c r="M489" i="2" s="1"/>
  <c r="P489" i="2" s="1"/>
  <c r="H645" i="2"/>
  <c r="G645" i="2"/>
  <c r="I645" i="2" s="1"/>
  <c r="K645" i="2" s="1"/>
  <c r="N644" i="2"/>
  <c r="O644" i="2"/>
  <c r="A647" i="2"/>
  <c r="B646" i="2"/>
  <c r="D646" i="2"/>
  <c r="F490" i="2" l="1"/>
  <c r="J490" i="2" s="1"/>
  <c r="M490" i="2" s="1"/>
  <c r="P490" i="2" s="1"/>
  <c r="H646" i="2"/>
  <c r="G646" i="2"/>
  <c r="I646" i="2" s="1"/>
  <c r="K646" i="2" s="1"/>
  <c r="D647" i="2"/>
  <c r="A648" i="2"/>
  <c r="B647" i="2"/>
  <c r="O645" i="2"/>
  <c r="N645" i="2"/>
  <c r="F491" i="2" l="1"/>
  <c r="J491" i="2" s="1"/>
  <c r="M491" i="2" s="1"/>
  <c r="P491" i="2" s="1"/>
  <c r="B648" i="2"/>
  <c r="D648" i="2"/>
  <c r="A649" i="2"/>
  <c r="H647" i="2"/>
  <c r="G647" i="2"/>
  <c r="I647" i="2" s="1"/>
  <c r="K647" i="2" s="1"/>
  <c r="O646" i="2"/>
  <c r="N646" i="2"/>
  <c r="F492" i="2" l="1"/>
  <c r="J492" i="2" s="1"/>
  <c r="M492" i="2" s="1"/>
  <c r="P492" i="2" s="1"/>
  <c r="N647" i="2"/>
  <c r="O647" i="2"/>
  <c r="D649" i="2"/>
  <c r="A650" i="2"/>
  <c r="B649" i="2"/>
  <c r="G648" i="2"/>
  <c r="I648" i="2" s="1"/>
  <c r="K648" i="2" s="1"/>
  <c r="H648" i="2"/>
  <c r="F493" i="2" l="1"/>
  <c r="J493" i="2" s="1"/>
  <c r="M493" i="2" s="1"/>
  <c r="P493" i="2" s="1"/>
  <c r="D650" i="2"/>
  <c r="A651" i="2"/>
  <c r="B650" i="2"/>
  <c r="O648" i="2"/>
  <c r="N648" i="2"/>
  <c r="H649" i="2"/>
  <c r="G649" i="2"/>
  <c r="I649" i="2" s="1"/>
  <c r="K649" i="2" s="1"/>
  <c r="F494" i="2" l="1"/>
  <c r="J494" i="2" s="1"/>
  <c r="M494" i="2" s="1"/>
  <c r="P494" i="2" s="1"/>
  <c r="O649" i="2"/>
  <c r="N649" i="2"/>
  <c r="B651" i="2"/>
  <c r="D651" i="2"/>
  <c r="A652" i="2"/>
  <c r="G650" i="2"/>
  <c r="I650" i="2" s="1"/>
  <c r="K650" i="2" s="1"/>
  <c r="H650" i="2"/>
  <c r="F495" i="2" l="1"/>
  <c r="J495" i="2" s="1"/>
  <c r="M495" i="2" s="1"/>
  <c r="P495" i="2" s="1"/>
  <c r="A653" i="2"/>
  <c r="B652" i="2"/>
  <c r="D652" i="2"/>
  <c r="N650" i="2"/>
  <c r="O650" i="2"/>
  <c r="H651" i="2"/>
  <c r="G651" i="2"/>
  <c r="I651" i="2" s="1"/>
  <c r="K651" i="2" s="1"/>
  <c r="F496" i="2" l="1"/>
  <c r="J496" i="2" s="1"/>
  <c r="M496" i="2" s="1"/>
  <c r="P496" i="2" s="1"/>
  <c r="G652" i="2"/>
  <c r="I652" i="2" s="1"/>
  <c r="K652" i="2" s="1"/>
  <c r="H652" i="2"/>
  <c r="O651" i="2"/>
  <c r="N651" i="2"/>
  <c r="D653" i="2"/>
  <c r="B653" i="2"/>
  <c r="A654" i="2"/>
  <c r="F497" i="2" l="1"/>
  <c r="J497" i="2" s="1"/>
  <c r="M497" i="2" s="1"/>
  <c r="P497" i="2" s="1"/>
  <c r="A655" i="2"/>
  <c r="B654" i="2"/>
  <c r="D654" i="2"/>
  <c r="H653" i="2"/>
  <c r="G653" i="2"/>
  <c r="I653" i="2" s="1"/>
  <c r="K653" i="2" s="1"/>
  <c r="O652" i="2"/>
  <c r="N652" i="2"/>
  <c r="F498" i="2" l="1"/>
  <c r="J498" i="2" s="1"/>
  <c r="M498" i="2" s="1"/>
  <c r="P498" i="2" s="1"/>
  <c r="N653" i="2"/>
  <c r="O653" i="2"/>
  <c r="G654" i="2"/>
  <c r="I654" i="2" s="1"/>
  <c r="K654" i="2" s="1"/>
  <c r="H654" i="2"/>
  <c r="B655" i="2"/>
  <c r="D655" i="2"/>
  <c r="A656" i="2"/>
  <c r="F499" i="2" l="1"/>
  <c r="J499" i="2" s="1"/>
  <c r="M499" i="2" s="1"/>
  <c r="P499" i="2" s="1"/>
  <c r="G655" i="2"/>
  <c r="I655" i="2" s="1"/>
  <c r="K655" i="2" s="1"/>
  <c r="H655" i="2"/>
  <c r="A657" i="2"/>
  <c r="B656" i="2"/>
  <c r="D656" i="2"/>
  <c r="N654" i="2"/>
  <c r="O654" i="2"/>
  <c r="F500" i="2" l="1"/>
  <c r="J500" i="2" s="1"/>
  <c r="M500" i="2" s="1"/>
  <c r="P500" i="2" s="1"/>
  <c r="A658" i="2"/>
  <c r="B657" i="2"/>
  <c r="D657" i="2"/>
  <c r="H656" i="2"/>
  <c r="G656" i="2"/>
  <c r="I656" i="2" s="1"/>
  <c r="K656" i="2" s="1"/>
  <c r="O655" i="2"/>
  <c r="N655" i="2"/>
  <c r="F501" i="2" l="1"/>
  <c r="J501" i="2" s="1"/>
  <c r="M501" i="2" s="1"/>
  <c r="P501" i="2" s="1"/>
  <c r="N656" i="2"/>
  <c r="O656" i="2"/>
  <c r="H657" i="2"/>
  <c r="G657" i="2"/>
  <c r="I657" i="2" s="1"/>
  <c r="K657" i="2" s="1"/>
  <c r="A659" i="2"/>
  <c r="D658" i="2"/>
  <c r="B658" i="2"/>
  <c r="F502" i="2" l="1"/>
  <c r="J502" i="2" s="1"/>
  <c r="M502" i="2" s="1"/>
  <c r="P502" i="2" s="1"/>
  <c r="H658" i="2"/>
  <c r="G658" i="2"/>
  <c r="I658" i="2" s="1"/>
  <c r="K658" i="2" s="1"/>
  <c r="A660" i="2"/>
  <c r="B659" i="2"/>
  <c r="D659" i="2"/>
  <c r="N657" i="2"/>
  <c r="O657" i="2"/>
  <c r="F503" i="2" l="1"/>
  <c r="J503" i="2" s="1"/>
  <c r="M503" i="2" s="1"/>
  <c r="P503" i="2" s="1"/>
  <c r="H659" i="2"/>
  <c r="G659" i="2"/>
  <c r="I659" i="2" s="1"/>
  <c r="K659" i="2" s="1"/>
  <c r="A661" i="2"/>
  <c r="B660" i="2"/>
  <c r="D660" i="2"/>
  <c r="N658" i="2"/>
  <c r="O658" i="2"/>
  <c r="F504" i="2" l="1"/>
  <c r="J504" i="2" s="1"/>
  <c r="M504" i="2" s="1"/>
  <c r="P504" i="2" s="1"/>
  <c r="H660" i="2"/>
  <c r="G660" i="2"/>
  <c r="I660" i="2" s="1"/>
  <c r="K660" i="2" s="1"/>
  <c r="B661" i="2"/>
  <c r="A662" i="2"/>
  <c r="D661" i="2"/>
  <c r="O659" i="2"/>
  <c r="N659" i="2"/>
  <c r="F505" i="2" l="1"/>
  <c r="J505" i="2" s="1"/>
  <c r="M505" i="2" s="1"/>
  <c r="P505" i="2" s="1"/>
  <c r="H661" i="2"/>
  <c r="G661" i="2"/>
  <c r="I661" i="2" s="1"/>
  <c r="K661" i="2" s="1"/>
  <c r="A663" i="2"/>
  <c r="D662" i="2"/>
  <c r="B662" i="2"/>
  <c r="N660" i="2"/>
  <c r="O660" i="2"/>
  <c r="F506" i="2" l="1"/>
  <c r="J506" i="2" s="1"/>
  <c r="M506" i="2" s="1"/>
  <c r="P506" i="2" s="1"/>
  <c r="H662" i="2"/>
  <c r="G662" i="2"/>
  <c r="I662" i="2" s="1"/>
  <c r="K662" i="2" s="1"/>
  <c r="A664" i="2"/>
  <c r="D663" i="2"/>
  <c r="B663" i="2"/>
  <c r="N661" i="2"/>
  <c r="O661" i="2"/>
  <c r="F507" i="2" l="1"/>
  <c r="J507" i="2" s="1"/>
  <c r="M507" i="2" s="1"/>
  <c r="P507" i="2" s="1"/>
  <c r="H663" i="2"/>
  <c r="G663" i="2"/>
  <c r="I663" i="2" s="1"/>
  <c r="K663" i="2" s="1"/>
  <c r="A665" i="2"/>
  <c r="B664" i="2"/>
  <c r="D664" i="2"/>
  <c r="O662" i="2"/>
  <c r="N662" i="2"/>
  <c r="F508" i="2" l="1"/>
  <c r="J508" i="2" s="1"/>
  <c r="M508" i="2" s="1"/>
  <c r="P508" i="2" s="1"/>
  <c r="H664" i="2"/>
  <c r="G664" i="2"/>
  <c r="I664" i="2" s="1"/>
  <c r="K664" i="2" s="1"/>
  <c r="D665" i="2"/>
  <c r="A666" i="2"/>
  <c r="B665" i="2"/>
  <c r="O663" i="2"/>
  <c r="N663" i="2"/>
  <c r="F509" i="2" l="1"/>
  <c r="J509" i="2" s="1"/>
  <c r="M509" i="2" s="1"/>
  <c r="P509" i="2" s="1"/>
  <c r="B666" i="2"/>
  <c r="A667" i="2"/>
  <c r="D666" i="2"/>
  <c r="G665" i="2"/>
  <c r="I665" i="2" s="1"/>
  <c r="K665" i="2" s="1"/>
  <c r="H665" i="2"/>
  <c r="N664" i="2"/>
  <c r="O664" i="2"/>
  <c r="F510" i="2" l="1"/>
  <c r="J510" i="2" s="1"/>
  <c r="M510" i="2" s="1"/>
  <c r="P510" i="2" s="1"/>
  <c r="N665" i="2"/>
  <c r="O665" i="2"/>
  <c r="G666" i="2"/>
  <c r="I666" i="2" s="1"/>
  <c r="K666" i="2" s="1"/>
  <c r="H666" i="2"/>
  <c r="A668" i="2"/>
  <c r="D667" i="2"/>
  <c r="B667" i="2"/>
  <c r="F511" i="2" l="1"/>
  <c r="J511" i="2" s="1"/>
  <c r="M511" i="2" s="1"/>
  <c r="P511" i="2" s="1"/>
  <c r="G667" i="2"/>
  <c r="I667" i="2" s="1"/>
  <c r="K667" i="2" s="1"/>
  <c r="H667" i="2"/>
  <c r="O666" i="2"/>
  <c r="N666" i="2"/>
  <c r="B668" i="2"/>
  <c r="D668" i="2"/>
  <c r="A669" i="2"/>
  <c r="F512" i="2" l="1"/>
  <c r="J512" i="2" s="1"/>
  <c r="M512" i="2" s="1"/>
  <c r="P512" i="2" s="1"/>
  <c r="D669" i="2"/>
  <c r="B669" i="2"/>
  <c r="A670" i="2"/>
  <c r="G668" i="2"/>
  <c r="I668" i="2" s="1"/>
  <c r="K668" i="2" s="1"/>
  <c r="H668" i="2"/>
  <c r="O667" i="2"/>
  <c r="N667" i="2"/>
  <c r="F513" i="2" l="1"/>
  <c r="J513" i="2" s="1"/>
  <c r="M513" i="2" s="1"/>
  <c r="P513" i="2" s="1"/>
  <c r="B670" i="2"/>
  <c r="A671" i="2"/>
  <c r="D670" i="2"/>
  <c r="O668" i="2"/>
  <c r="N668" i="2"/>
  <c r="G669" i="2"/>
  <c r="I669" i="2" s="1"/>
  <c r="K669" i="2" s="1"/>
  <c r="H669" i="2"/>
  <c r="F514" i="2" l="1"/>
  <c r="J514" i="2" s="1"/>
  <c r="M514" i="2" s="1"/>
  <c r="P514" i="2" s="1"/>
  <c r="N669" i="2"/>
  <c r="O669" i="2"/>
  <c r="H670" i="2"/>
  <c r="G670" i="2"/>
  <c r="I670" i="2" s="1"/>
  <c r="K670" i="2" s="1"/>
  <c r="A672" i="2"/>
  <c r="B671" i="2"/>
  <c r="D671" i="2"/>
  <c r="F515" i="2" l="1"/>
  <c r="J515" i="2" s="1"/>
  <c r="M515" i="2" s="1"/>
  <c r="P515" i="2" s="1"/>
  <c r="H671" i="2"/>
  <c r="G671" i="2"/>
  <c r="I671" i="2" s="1"/>
  <c r="K671" i="2" s="1"/>
  <c r="A673" i="2"/>
  <c r="D672" i="2"/>
  <c r="B672" i="2"/>
  <c r="N670" i="2"/>
  <c r="O670" i="2"/>
  <c r="F516" i="2" l="1"/>
  <c r="J516" i="2" s="1"/>
  <c r="M516" i="2" s="1"/>
  <c r="P516" i="2" s="1"/>
  <c r="G672" i="2"/>
  <c r="I672" i="2" s="1"/>
  <c r="K672" i="2" s="1"/>
  <c r="H672" i="2"/>
  <c r="D673" i="2"/>
  <c r="B673" i="2"/>
  <c r="A674" i="2"/>
  <c r="O671" i="2"/>
  <c r="N671" i="2"/>
  <c r="F517" i="2" l="1"/>
  <c r="J517" i="2" s="1"/>
  <c r="M517" i="2" s="1"/>
  <c r="P517" i="2" s="1"/>
  <c r="A675" i="2"/>
  <c r="D674" i="2"/>
  <c r="B674" i="2"/>
  <c r="G673" i="2"/>
  <c r="I673" i="2" s="1"/>
  <c r="K673" i="2" s="1"/>
  <c r="H673" i="2"/>
  <c r="O672" i="2"/>
  <c r="N672" i="2"/>
  <c r="F518" i="2" l="1"/>
  <c r="J518" i="2" s="1"/>
  <c r="M518" i="2" s="1"/>
  <c r="P518" i="2" s="1"/>
  <c r="N673" i="2"/>
  <c r="O673" i="2"/>
  <c r="G674" i="2"/>
  <c r="I674" i="2" s="1"/>
  <c r="K674" i="2" s="1"/>
  <c r="H674" i="2"/>
  <c r="A676" i="2"/>
  <c r="D675" i="2"/>
  <c r="B675" i="2"/>
  <c r="F519" i="2" l="1"/>
  <c r="J519" i="2" s="1"/>
  <c r="M519" i="2" s="1"/>
  <c r="P519" i="2" s="1"/>
  <c r="D676" i="2"/>
  <c r="A677" i="2"/>
  <c r="B676" i="2"/>
  <c r="H675" i="2"/>
  <c r="G675" i="2"/>
  <c r="I675" i="2" s="1"/>
  <c r="K675" i="2" s="1"/>
  <c r="N674" i="2"/>
  <c r="O674" i="2"/>
  <c r="F520" i="2" l="1"/>
  <c r="J520" i="2" s="1"/>
  <c r="M520" i="2" s="1"/>
  <c r="P520" i="2" s="1"/>
  <c r="N675" i="2"/>
  <c r="O675" i="2"/>
  <c r="A678" i="2"/>
  <c r="D677" i="2"/>
  <c r="B677" i="2"/>
  <c r="H676" i="2"/>
  <c r="G676" i="2"/>
  <c r="I676" i="2" s="1"/>
  <c r="K676" i="2" s="1"/>
  <c r="F521" i="2" l="1"/>
  <c r="J521" i="2" s="1"/>
  <c r="M521" i="2" s="1"/>
  <c r="P521" i="2" s="1"/>
  <c r="O676" i="2"/>
  <c r="N676" i="2"/>
  <c r="H677" i="2"/>
  <c r="G677" i="2"/>
  <c r="I677" i="2" s="1"/>
  <c r="K677" i="2" s="1"/>
  <c r="A679" i="2"/>
  <c r="B678" i="2"/>
  <c r="D678" i="2"/>
  <c r="F522" i="2" l="1"/>
  <c r="J522" i="2" s="1"/>
  <c r="M522" i="2" s="1"/>
  <c r="P522" i="2" s="1"/>
  <c r="N677" i="2"/>
  <c r="O677" i="2"/>
  <c r="H678" i="2"/>
  <c r="G678" i="2"/>
  <c r="I678" i="2" s="1"/>
  <c r="K678" i="2" s="1"/>
  <c r="A680" i="2"/>
  <c r="D679" i="2"/>
  <c r="B679" i="2"/>
  <c r="F523" i="2" l="1"/>
  <c r="J523" i="2" s="1"/>
  <c r="M523" i="2" s="1"/>
  <c r="P523" i="2" s="1"/>
  <c r="A681" i="2"/>
  <c r="D680" i="2"/>
  <c r="B680" i="2"/>
  <c r="H679" i="2"/>
  <c r="G679" i="2"/>
  <c r="I679" i="2" s="1"/>
  <c r="K679" i="2" s="1"/>
  <c r="N678" i="2"/>
  <c r="O678" i="2"/>
  <c r="F524" i="2" l="1"/>
  <c r="J524" i="2" s="1"/>
  <c r="M524" i="2" s="1"/>
  <c r="P524" i="2" s="1"/>
  <c r="N679" i="2"/>
  <c r="O679" i="2"/>
  <c r="H680" i="2"/>
  <c r="G680" i="2"/>
  <c r="I680" i="2" s="1"/>
  <c r="K680" i="2" s="1"/>
  <c r="A682" i="2"/>
  <c r="D681" i="2"/>
  <c r="B681" i="2"/>
  <c r="F525" i="2" l="1"/>
  <c r="J525" i="2" s="1"/>
  <c r="M525" i="2" s="1"/>
  <c r="P525" i="2" s="1"/>
  <c r="H681" i="2"/>
  <c r="G681" i="2"/>
  <c r="I681" i="2" s="1"/>
  <c r="K681" i="2" s="1"/>
  <c r="A683" i="2"/>
  <c r="B682" i="2"/>
  <c r="D682" i="2"/>
  <c r="O680" i="2"/>
  <c r="N680" i="2"/>
  <c r="F526" i="2" l="1"/>
  <c r="J526" i="2" s="1"/>
  <c r="M526" i="2" s="1"/>
  <c r="P526" i="2" s="1"/>
  <c r="A684" i="2"/>
  <c r="D683" i="2"/>
  <c r="B683" i="2"/>
  <c r="O681" i="2"/>
  <c r="N681" i="2"/>
  <c r="H682" i="2"/>
  <c r="G682" i="2"/>
  <c r="I682" i="2" s="1"/>
  <c r="K682" i="2" s="1"/>
  <c r="F527" i="2" l="1"/>
  <c r="J527" i="2" s="1"/>
  <c r="M527" i="2" s="1"/>
  <c r="P527" i="2" s="1"/>
  <c r="O682" i="2"/>
  <c r="N682" i="2"/>
  <c r="H683" i="2"/>
  <c r="G683" i="2"/>
  <c r="I683" i="2" s="1"/>
  <c r="K683" i="2" s="1"/>
  <c r="A685" i="2"/>
  <c r="D684" i="2"/>
  <c r="B684" i="2"/>
  <c r="F528" i="2" l="1"/>
  <c r="J528" i="2" s="1"/>
  <c r="M528" i="2" s="1"/>
  <c r="P528" i="2" s="1"/>
  <c r="H684" i="2"/>
  <c r="G684" i="2"/>
  <c r="I684" i="2" s="1"/>
  <c r="K684" i="2" s="1"/>
  <c r="N683" i="2"/>
  <c r="O683" i="2"/>
  <c r="A686" i="2"/>
  <c r="D685" i="2"/>
  <c r="B685" i="2"/>
  <c r="F529" i="2" l="1"/>
  <c r="J529" i="2" s="1"/>
  <c r="M529" i="2" s="1"/>
  <c r="P529" i="2" s="1"/>
  <c r="H685" i="2"/>
  <c r="G685" i="2"/>
  <c r="I685" i="2" s="1"/>
  <c r="K685" i="2" s="1"/>
  <c r="A687" i="2"/>
  <c r="B686" i="2"/>
  <c r="D686" i="2"/>
  <c r="O684" i="2"/>
  <c r="N684" i="2"/>
  <c r="F530" i="2" l="1"/>
  <c r="J530" i="2" s="1"/>
  <c r="M530" i="2" s="1"/>
  <c r="P530" i="2" s="1"/>
  <c r="H686" i="2"/>
  <c r="G686" i="2"/>
  <c r="I686" i="2" s="1"/>
  <c r="K686" i="2" s="1"/>
  <c r="A688" i="2"/>
  <c r="D687" i="2"/>
  <c r="B687" i="2"/>
  <c r="N685" i="2"/>
  <c r="O685" i="2"/>
  <c r="F531" i="2" l="1"/>
  <c r="J531" i="2" s="1"/>
  <c r="M531" i="2" s="1"/>
  <c r="P531" i="2" s="1"/>
  <c r="H687" i="2"/>
  <c r="G687" i="2"/>
  <c r="I687" i="2" s="1"/>
  <c r="K687" i="2" s="1"/>
  <c r="O686" i="2"/>
  <c r="N686" i="2"/>
  <c r="D688" i="2"/>
  <c r="B688" i="2"/>
  <c r="A689" i="2"/>
  <c r="F532" i="2" l="1"/>
  <c r="J532" i="2" s="1"/>
  <c r="M532" i="2" s="1"/>
  <c r="P532" i="2" s="1"/>
  <c r="D689" i="2"/>
  <c r="B689" i="2"/>
  <c r="A690" i="2"/>
  <c r="G688" i="2"/>
  <c r="I688" i="2" s="1"/>
  <c r="K688" i="2" s="1"/>
  <c r="H688" i="2"/>
  <c r="O687" i="2"/>
  <c r="N687" i="2"/>
  <c r="F533" i="2" l="1"/>
  <c r="J533" i="2" s="1"/>
  <c r="M533" i="2" s="1"/>
  <c r="P533" i="2" s="1"/>
  <c r="O688" i="2"/>
  <c r="N688" i="2"/>
  <c r="A691" i="2"/>
  <c r="B690" i="2"/>
  <c r="D690" i="2"/>
  <c r="H689" i="2"/>
  <c r="G689" i="2"/>
  <c r="I689" i="2" s="1"/>
  <c r="K689" i="2" s="1"/>
  <c r="F534" i="2" l="1"/>
  <c r="J534" i="2" s="1"/>
  <c r="M534" i="2" s="1"/>
  <c r="P534" i="2" s="1"/>
  <c r="G690" i="2"/>
  <c r="I690" i="2" s="1"/>
  <c r="K690" i="2" s="1"/>
  <c r="H690" i="2"/>
  <c r="B691" i="2"/>
  <c r="D691" i="2"/>
  <c r="A692" i="2"/>
  <c r="O689" i="2"/>
  <c r="N689" i="2"/>
  <c r="F535" i="2" l="1"/>
  <c r="J535" i="2" s="1"/>
  <c r="M535" i="2" s="1"/>
  <c r="P535" i="2" s="1"/>
  <c r="A693" i="2"/>
  <c r="D692" i="2"/>
  <c r="B692" i="2"/>
  <c r="G691" i="2"/>
  <c r="I691" i="2" s="1"/>
  <c r="K691" i="2" s="1"/>
  <c r="H691" i="2"/>
  <c r="O690" i="2"/>
  <c r="N690" i="2"/>
  <c r="F536" i="2" l="1"/>
  <c r="J536" i="2" s="1"/>
  <c r="M536" i="2" s="1"/>
  <c r="P536" i="2" s="1"/>
  <c r="O691" i="2"/>
  <c r="N691" i="2"/>
  <c r="G692" i="2"/>
  <c r="I692" i="2" s="1"/>
  <c r="K692" i="2" s="1"/>
  <c r="H692" i="2"/>
  <c r="D693" i="2"/>
  <c r="B693" i="2"/>
  <c r="A694" i="2"/>
  <c r="F537" i="2" l="1"/>
  <c r="J537" i="2" s="1"/>
  <c r="M537" i="2" s="1"/>
  <c r="P537" i="2" s="1"/>
  <c r="A695" i="2"/>
  <c r="B694" i="2"/>
  <c r="D694" i="2"/>
  <c r="H693" i="2"/>
  <c r="G693" i="2"/>
  <c r="I693" i="2" s="1"/>
  <c r="K693" i="2" s="1"/>
  <c r="N692" i="2"/>
  <c r="O692" i="2"/>
  <c r="F538" i="2" l="1"/>
  <c r="J538" i="2" s="1"/>
  <c r="M538" i="2" s="1"/>
  <c r="P538" i="2" s="1"/>
  <c r="N693" i="2"/>
  <c r="O693" i="2"/>
  <c r="G694" i="2"/>
  <c r="I694" i="2" s="1"/>
  <c r="K694" i="2" s="1"/>
  <c r="H694" i="2"/>
  <c r="B695" i="2"/>
  <c r="D695" i="2"/>
  <c r="A696" i="2"/>
  <c r="F539" i="2" l="1"/>
  <c r="J539" i="2" s="1"/>
  <c r="M539" i="2" s="1"/>
  <c r="P539" i="2" s="1"/>
  <c r="G695" i="2"/>
  <c r="I695" i="2" s="1"/>
  <c r="K695" i="2" s="1"/>
  <c r="H695" i="2"/>
  <c r="A697" i="2"/>
  <c r="B696" i="2"/>
  <c r="D696" i="2"/>
  <c r="N694" i="2"/>
  <c r="O694" i="2"/>
  <c r="F540" i="2" l="1"/>
  <c r="J540" i="2" s="1"/>
  <c r="M540" i="2" s="1"/>
  <c r="P540" i="2" s="1"/>
  <c r="H696" i="2"/>
  <c r="G696" i="2"/>
  <c r="I696" i="2" s="1"/>
  <c r="K696" i="2" s="1"/>
  <c r="A698" i="2"/>
  <c r="D697" i="2"/>
  <c r="B697" i="2"/>
  <c r="N695" i="2"/>
  <c r="O695" i="2"/>
  <c r="F541" i="2" l="1"/>
  <c r="J541" i="2" s="1"/>
  <c r="M541" i="2" s="1"/>
  <c r="P541" i="2" s="1"/>
  <c r="H697" i="2"/>
  <c r="G697" i="2"/>
  <c r="I697" i="2" s="1"/>
  <c r="K697" i="2" s="1"/>
  <c r="A699" i="2"/>
  <c r="B698" i="2"/>
  <c r="D698" i="2"/>
  <c r="N696" i="2"/>
  <c r="O696" i="2"/>
  <c r="F542" i="2" l="1"/>
  <c r="J542" i="2" s="1"/>
  <c r="M542" i="2" s="1"/>
  <c r="P542" i="2" s="1"/>
  <c r="H698" i="2"/>
  <c r="G698" i="2"/>
  <c r="I698" i="2" s="1"/>
  <c r="K698" i="2" s="1"/>
  <c r="N697" i="2"/>
  <c r="O697" i="2"/>
  <c r="A700" i="2"/>
  <c r="B699" i="2"/>
  <c r="D699" i="2"/>
  <c r="F543" i="2" l="1"/>
  <c r="J543" i="2" s="1"/>
  <c r="M543" i="2" s="1"/>
  <c r="P543" i="2" s="1"/>
  <c r="H699" i="2"/>
  <c r="G699" i="2"/>
  <c r="I699" i="2" s="1"/>
  <c r="K699" i="2" s="1"/>
  <c r="A701" i="2"/>
  <c r="B700" i="2"/>
  <c r="D700" i="2"/>
  <c r="O698" i="2"/>
  <c r="N698" i="2"/>
  <c r="F544" i="2" l="1"/>
  <c r="J544" i="2" s="1"/>
  <c r="M544" i="2" s="1"/>
  <c r="P544" i="2" s="1"/>
  <c r="G700" i="2"/>
  <c r="I700" i="2" s="1"/>
  <c r="K700" i="2" s="1"/>
  <c r="H700" i="2"/>
  <c r="D701" i="2"/>
  <c r="B701" i="2"/>
  <c r="A702" i="2"/>
  <c r="N699" i="2"/>
  <c r="O699" i="2"/>
  <c r="F545" i="2" l="1"/>
  <c r="J545" i="2" s="1"/>
  <c r="M545" i="2" s="1"/>
  <c r="P545" i="2" s="1"/>
  <c r="A703" i="2"/>
  <c r="B702" i="2"/>
  <c r="D702" i="2"/>
  <c r="G701" i="2"/>
  <c r="I701" i="2" s="1"/>
  <c r="K701" i="2" s="1"/>
  <c r="H701" i="2"/>
  <c r="O700" i="2"/>
  <c r="N700" i="2"/>
  <c r="F546" i="2" l="1"/>
  <c r="J546" i="2" s="1"/>
  <c r="M546" i="2" s="1"/>
  <c r="P546" i="2" s="1"/>
  <c r="O701" i="2"/>
  <c r="N701" i="2"/>
  <c r="H702" i="2"/>
  <c r="G702" i="2"/>
  <c r="I702" i="2" s="1"/>
  <c r="K702" i="2" s="1"/>
  <c r="A704" i="2"/>
  <c r="D703" i="2"/>
  <c r="B703" i="2"/>
  <c r="F547" i="2" l="1"/>
  <c r="J547" i="2" s="1"/>
  <c r="M547" i="2" s="1"/>
  <c r="P547" i="2" s="1"/>
  <c r="G703" i="2"/>
  <c r="I703" i="2" s="1"/>
  <c r="K703" i="2" s="1"/>
  <c r="H703" i="2"/>
  <c r="B704" i="2"/>
  <c r="A705" i="2"/>
  <c r="D704" i="2"/>
  <c r="O702" i="2"/>
  <c r="N702" i="2"/>
  <c r="F548" i="2" l="1"/>
  <c r="J548" i="2" s="1"/>
  <c r="M548" i="2" s="1"/>
  <c r="P548" i="2" s="1"/>
  <c r="G704" i="2"/>
  <c r="I704" i="2" s="1"/>
  <c r="K704" i="2" s="1"/>
  <c r="H704" i="2"/>
  <c r="D705" i="2"/>
  <c r="A706" i="2"/>
  <c r="B705" i="2"/>
  <c r="N703" i="2"/>
  <c r="O703" i="2"/>
  <c r="F549" i="2" l="1"/>
  <c r="J549" i="2" s="1"/>
  <c r="M549" i="2" s="1"/>
  <c r="P549" i="2" s="1"/>
  <c r="G705" i="2"/>
  <c r="I705" i="2" s="1"/>
  <c r="K705" i="2" s="1"/>
  <c r="H705" i="2"/>
  <c r="A707" i="2"/>
  <c r="D706" i="2"/>
  <c r="B706" i="2"/>
  <c r="O704" i="2"/>
  <c r="N704" i="2"/>
  <c r="F550" i="2" l="1"/>
  <c r="J550" i="2" s="1"/>
  <c r="M550" i="2" s="1"/>
  <c r="P550" i="2" s="1"/>
  <c r="A708" i="2"/>
  <c r="B707" i="2"/>
  <c r="D707" i="2"/>
  <c r="G706" i="2"/>
  <c r="I706" i="2" s="1"/>
  <c r="K706" i="2" s="1"/>
  <c r="H706" i="2"/>
  <c r="O705" i="2"/>
  <c r="N705" i="2"/>
  <c r="F551" i="2" l="1"/>
  <c r="J551" i="2" s="1"/>
  <c r="M551" i="2" s="1"/>
  <c r="P551" i="2" s="1"/>
  <c r="N706" i="2"/>
  <c r="O706" i="2"/>
  <c r="G707" i="2"/>
  <c r="I707" i="2" s="1"/>
  <c r="K707" i="2" s="1"/>
  <c r="H707" i="2"/>
  <c r="A709" i="2"/>
  <c r="D708" i="2"/>
  <c r="B708" i="2"/>
  <c r="F552" i="2" l="1"/>
  <c r="J552" i="2" s="1"/>
  <c r="M552" i="2" s="1"/>
  <c r="P552" i="2" s="1"/>
  <c r="A710" i="2"/>
  <c r="D709" i="2"/>
  <c r="B709" i="2"/>
  <c r="N707" i="2"/>
  <c r="O707" i="2"/>
  <c r="G708" i="2"/>
  <c r="I708" i="2" s="1"/>
  <c r="K708" i="2" s="1"/>
  <c r="H708" i="2"/>
  <c r="F553" i="2" l="1"/>
  <c r="J553" i="2" s="1"/>
  <c r="M553" i="2" s="1"/>
  <c r="P553" i="2" s="1"/>
  <c r="O708" i="2"/>
  <c r="N708" i="2"/>
  <c r="G709" i="2"/>
  <c r="I709" i="2" s="1"/>
  <c r="K709" i="2" s="1"/>
  <c r="H709" i="2"/>
  <c r="A711" i="2"/>
  <c r="D710" i="2"/>
  <c r="B710" i="2"/>
  <c r="F554" i="2" l="1"/>
  <c r="J554" i="2" s="1"/>
  <c r="M554" i="2" s="1"/>
  <c r="P554" i="2" s="1"/>
  <c r="G710" i="2"/>
  <c r="I710" i="2" s="1"/>
  <c r="K710" i="2" s="1"/>
  <c r="H710" i="2"/>
  <c r="D711" i="2"/>
  <c r="B711" i="2"/>
  <c r="A712" i="2"/>
  <c r="N709" i="2"/>
  <c r="O709" i="2"/>
  <c r="F555" i="2" l="1"/>
  <c r="J555" i="2" s="1"/>
  <c r="M555" i="2" s="1"/>
  <c r="P555" i="2" s="1"/>
  <c r="A713" i="2"/>
  <c r="B712" i="2"/>
  <c r="D712" i="2"/>
  <c r="H711" i="2"/>
  <c r="G711" i="2"/>
  <c r="I711" i="2" s="1"/>
  <c r="K711" i="2" s="1"/>
  <c r="N710" i="2"/>
  <c r="O710" i="2"/>
  <c r="F556" i="2" l="1"/>
  <c r="J556" i="2" s="1"/>
  <c r="M556" i="2" s="1"/>
  <c r="P556" i="2" s="1"/>
  <c r="O711" i="2"/>
  <c r="N711" i="2"/>
  <c r="G712" i="2"/>
  <c r="I712" i="2" s="1"/>
  <c r="K712" i="2" s="1"/>
  <c r="H712" i="2"/>
  <c r="A714" i="2"/>
  <c r="B713" i="2"/>
  <c r="D713" i="2"/>
  <c r="F557" i="2" l="1"/>
  <c r="J557" i="2" s="1"/>
  <c r="M557" i="2" s="1"/>
  <c r="P557" i="2" s="1"/>
  <c r="H713" i="2"/>
  <c r="G713" i="2"/>
  <c r="I713" i="2" s="1"/>
  <c r="K713" i="2" s="1"/>
  <c r="A715" i="2"/>
  <c r="B714" i="2"/>
  <c r="D714" i="2"/>
  <c r="O712" i="2"/>
  <c r="N712" i="2"/>
  <c r="F558" i="2" l="1"/>
  <c r="J558" i="2" s="1"/>
  <c r="M558" i="2" s="1"/>
  <c r="P558" i="2" s="1"/>
  <c r="H714" i="2"/>
  <c r="G714" i="2"/>
  <c r="I714" i="2" s="1"/>
  <c r="K714" i="2" s="1"/>
  <c r="A716" i="2"/>
  <c r="D715" i="2"/>
  <c r="B715" i="2"/>
  <c r="N713" i="2"/>
  <c r="O713" i="2"/>
  <c r="F559" i="2" l="1"/>
  <c r="J559" i="2" s="1"/>
  <c r="M559" i="2" s="1"/>
  <c r="P559" i="2" s="1"/>
  <c r="H715" i="2"/>
  <c r="G715" i="2"/>
  <c r="I715" i="2" s="1"/>
  <c r="K715" i="2" s="1"/>
  <c r="D716" i="2"/>
  <c r="B716" i="2"/>
  <c r="A717" i="2"/>
  <c r="N714" i="2"/>
  <c r="O714" i="2"/>
  <c r="F560" i="2" l="1"/>
  <c r="J560" i="2" s="1"/>
  <c r="M560" i="2" s="1"/>
  <c r="P560" i="2" s="1"/>
  <c r="A718" i="2"/>
  <c r="D717" i="2"/>
  <c r="B717" i="2"/>
  <c r="G716" i="2"/>
  <c r="I716" i="2" s="1"/>
  <c r="K716" i="2" s="1"/>
  <c r="H716" i="2"/>
  <c r="O715" i="2"/>
  <c r="N715" i="2"/>
  <c r="F561" i="2" l="1"/>
  <c r="J561" i="2" s="1"/>
  <c r="M561" i="2" s="1"/>
  <c r="P561" i="2" s="1"/>
  <c r="H717" i="2"/>
  <c r="G717" i="2"/>
  <c r="I717" i="2" s="1"/>
  <c r="K717" i="2" s="1"/>
  <c r="N716" i="2"/>
  <c r="O716" i="2"/>
  <c r="D718" i="2"/>
  <c r="A719" i="2"/>
  <c r="B718" i="2"/>
  <c r="F562" i="2" l="1"/>
  <c r="J562" i="2" s="1"/>
  <c r="M562" i="2" s="1"/>
  <c r="P562" i="2" s="1"/>
  <c r="A720" i="2"/>
  <c r="B719" i="2"/>
  <c r="D719" i="2"/>
  <c r="H718" i="2"/>
  <c r="G718" i="2"/>
  <c r="I718" i="2" s="1"/>
  <c r="K718" i="2" s="1"/>
  <c r="O717" i="2"/>
  <c r="N717" i="2"/>
  <c r="F563" i="2" l="1"/>
  <c r="J563" i="2" s="1"/>
  <c r="M563" i="2" s="1"/>
  <c r="P563" i="2" s="1"/>
  <c r="N718" i="2"/>
  <c r="O718" i="2"/>
  <c r="H719" i="2"/>
  <c r="G719" i="2"/>
  <c r="I719" i="2" s="1"/>
  <c r="K719" i="2" s="1"/>
  <c r="A721" i="2"/>
  <c r="D720" i="2"/>
  <c r="B720" i="2"/>
  <c r="F564" i="2" l="1"/>
  <c r="J564" i="2" s="1"/>
  <c r="M564" i="2" s="1"/>
  <c r="P564" i="2" s="1"/>
  <c r="H720" i="2"/>
  <c r="G720" i="2"/>
  <c r="I720" i="2" s="1"/>
  <c r="K720" i="2" s="1"/>
  <c r="A722" i="2"/>
  <c r="B721" i="2"/>
  <c r="D721" i="2"/>
  <c r="N719" i="2"/>
  <c r="O719" i="2"/>
  <c r="F565" i="2" l="1"/>
  <c r="J565" i="2" s="1"/>
  <c r="M565" i="2" s="1"/>
  <c r="P565" i="2" s="1"/>
  <c r="O720" i="2"/>
  <c r="N720" i="2"/>
  <c r="G721" i="2"/>
  <c r="I721" i="2" s="1"/>
  <c r="K721" i="2" s="1"/>
  <c r="H721" i="2"/>
  <c r="B722" i="2"/>
  <c r="D722" i="2"/>
  <c r="A723" i="2"/>
  <c r="F566" i="2" l="1"/>
  <c r="J566" i="2" s="1"/>
  <c r="M566" i="2" s="1"/>
  <c r="P566" i="2" s="1"/>
  <c r="A724" i="2"/>
  <c r="D723" i="2"/>
  <c r="B723" i="2"/>
  <c r="G722" i="2"/>
  <c r="I722" i="2" s="1"/>
  <c r="K722" i="2" s="1"/>
  <c r="H722" i="2"/>
  <c r="N721" i="2"/>
  <c r="O721" i="2"/>
  <c r="F567" i="2" l="1"/>
  <c r="J567" i="2" s="1"/>
  <c r="M567" i="2" s="1"/>
  <c r="P567" i="2" s="1"/>
  <c r="H723" i="2"/>
  <c r="G723" i="2"/>
  <c r="I723" i="2" s="1"/>
  <c r="K723" i="2" s="1"/>
  <c r="N722" i="2"/>
  <c r="O722" i="2"/>
  <c r="A725" i="2"/>
  <c r="B724" i="2"/>
  <c r="D724" i="2"/>
  <c r="F568" i="2" l="1"/>
  <c r="J568" i="2" s="1"/>
  <c r="M568" i="2" s="1"/>
  <c r="P568" i="2" s="1"/>
  <c r="G724" i="2"/>
  <c r="I724" i="2" s="1"/>
  <c r="K724" i="2" s="1"/>
  <c r="H724" i="2"/>
  <c r="B725" i="2"/>
  <c r="D725" i="2"/>
  <c r="A726" i="2"/>
  <c r="N723" i="2"/>
  <c r="O723" i="2"/>
  <c r="F569" i="2" l="1"/>
  <c r="J569" i="2" s="1"/>
  <c r="M569" i="2" s="1"/>
  <c r="P569" i="2" s="1"/>
  <c r="A727" i="2"/>
  <c r="D726" i="2"/>
  <c r="B726" i="2"/>
  <c r="G725" i="2"/>
  <c r="I725" i="2" s="1"/>
  <c r="K725" i="2" s="1"/>
  <c r="H725" i="2"/>
  <c r="N724" i="2"/>
  <c r="O724" i="2"/>
  <c r="F570" i="2" l="1"/>
  <c r="J570" i="2" s="1"/>
  <c r="M570" i="2" s="1"/>
  <c r="P570" i="2" s="1"/>
  <c r="N725" i="2"/>
  <c r="O725" i="2"/>
  <c r="H726" i="2"/>
  <c r="G726" i="2"/>
  <c r="I726" i="2" s="1"/>
  <c r="K726" i="2" s="1"/>
  <c r="A728" i="2"/>
  <c r="B727" i="2"/>
  <c r="D727" i="2"/>
  <c r="F571" i="2" l="1"/>
  <c r="J571" i="2" s="1"/>
  <c r="M571" i="2" s="1"/>
  <c r="P571" i="2" s="1"/>
  <c r="G727" i="2"/>
  <c r="I727" i="2" s="1"/>
  <c r="K727" i="2" s="1"/>
  <c r="H727" i="2"/>
  <c r="B728" i="2"/>
  <c r="D728" i="2"/>
  <c r="A729" i="2"/>
  <c r="N726" i="2"/>
  <c r="O726" i="2"/>
  <c r="F572" i="2" l="1"/>
  <c r="J572" i="2" s="1"/>
  <c r="M572" i="2" s="1"/>
  <c r="P572" i="2" s="1"/>
  <c r="G728" i="2"/>
  <c r="I728" i="2" s="1"/>
  <c r="K728" i="2" s="1"/>
  <c r="H728" i="2"/>
  <c r="A730" i="2"/>
  <c r="D729" i="2"/>
  <c r="B729" i="2"/>
  <c r="N727" i="2"/>
  <c r="O727" i="2"/>
  <c r="F573" i="2" l="1"/>
  <c r="J573" i="2" s="1"/>
  <c r="M573" i="2" s="1"/>
  <c r="P573" i="2" s="1"/>
  <c r="A731" i="2"/>
  <c r="D730" i="2"/>
  <c r="B730" i="2"/>
  <c r="H729" i="2"/>
  <c r="G729" i="2"/>
  <c r="I729" i="2" s="1"/>
  <c r="K729" i="2" s="1"/>
  <c r="N728" i="2"/>
  <c r="O728" i="2"/>
  <c r="F574" i="2" l="1"/>
  <c r="J574" i="2" s="1"/>
  <c r="M574" i="2" s="1"/>
  <c r="P574" i="2" s="1"/>
  <c r="A732" i="2"/>
  <c r="D731" i="2"/>
  <c r="B731" i="2"/>
  <c r="O729" i="2"/>
  <c r="N729" i="2"/>
  <c r="H730" i="2"/>
  <c r="G730" i="2"/>
  <c r="I730" i="2" s="1"/>
  <c r="K730" i="2" s="1"/>
  <c r="F575" i="2" l="1"/>
  <c r="J575" i="2" s="1"/>
  <c r="M575" i="2" s="1"/>
  <c r="P575" i="2" s="1"/>
  <c r="H731" i="2"/>
  <c r="G731" i="2"/>
  <c r="I731" i="2" s="1"/>
  <c r="K731" i="2" s="1"/>
  <c r="O730" i="2"/>
  <c r="N730" i="2"/>
  <c r="A733" i="2"/>
  <c r="B732" i="2"/>
  <c r="D732" i="2"/>
  <c r="F576" i="2" l="1"/>
  <c r="J576" i="2" s="1"/>
  <c r="M576" i="2" s="1"/>
  <c r="P576" i="2" s="1"/>
  <c r="H732" i="2"/>
  <c r="G732" i="2"/>
  <c r="I732" i="2" s="1"/>
  <c r="K732" i="2" s="1"/>
  <c r="A734" i="2"/>
  <c r="B733" i="2"/>
  <c r="D733" i="2"/>
  <c r="N731" i="2"/>
  <c r="O731" i="2"/>
  <c r="F577" i="2" l="1"/>
  <c r="J577" i="2" s="1"/>
  <c r="M577" i="2" s="1"/>
  <c r="P577" i="2" s="1"/>
  <c r="H733" i="2"/>
  <c r="G733" i="2"/>
  <c r="I733" i="2" s="1"/>
  <c r="K733" i="2" s="1"/>
  <c r="N732" i="2"/>
  <c r="O732" i="2"/>
  <c r="A735" i="2"/>
  <c r="B734" i="2"/>
  <c r="D734" i="2"/>
  <c r="F578" i="2" l="1"/>
  <c r="J578" i="2" s="1"/>
  <c r="M578" i="2" s="1"/>
  <c r="P578" i="2" s="1"/>
  <c r="H734" i="2"/>
  <c r="G734" i="2"/>
  <c r="I734" i="2" s="1"/>
  <c r="K734" i="2" s="1"/>
  <c r="A736" i="2"/>
  <c r="B735" i="2"/>
  <c r="D735" i="2"/>
  <c r="O733" i="2"/>
  <c r="N733" i="2"/>
  <c r="F579" i="2" l="1"/>
  <c r="J579" i="2" s="1"/>
  <c r="M579" i="2" s="1"/>
  <c r="P579" i="2" s="1"/>
  <c r="H735" i="2"/>
  <c r="G735" i="2"/>
  <c r="I735" i="2" s="1"/>
  <c r="K735" i="2" s="1"/>
  <c r="A737" i="2"/>
  <c r="B736" i="2"/>
  <c r="D736" i="2"/>
  <c r="O734" i="2"/>
  <c r="N734" i="2"/>
  <c r="F580" i="2" l="1"/>
  <c r="J580" i="2" s="1"/>
  <c r="M580" i="2" s="1"/>
  <c r="P580" i="2" s="1"/>
  <c r="G736" i="2"/>
  <c r="I736" i="2" s="1"/>
  <c r="K736" i="2" s="1"/>
  <c r="H736" i="2"/>
  <c r="D737" i="2"/>
  <c r="B737" i="2"/>
  <c r="A738" i="2"/>
  <c r="N735" i="2"/>
  <c r="O735" i="2"/>
  <c r="F581" i="2" l="1"/>
  <c r="J581" i="2" s="1"/>
  <c r="M581" i="2" s="1"/>
  <c r="P581" i="2" s="1"/>
  <c r="A739" i="2"/>
  <c r="D738" i="2"/>
  <c r="B738" i="2"/>
  <c r="H737" i="2"/>
  <c r="G737" i="2"/>
  <c r="I737" i="2" s="1"/>
  <c r="K737" i="2" s="1"/>
  <c r="O736" i="2"/>
  <c r="N736" i="2"/>
  <c r="F582" i="2" l="1"/>
  <c r="J582" i="2" s="1"/>
  <c r="M582" i="2" s="1"/>
  <c r="P582" i="2" s="1"/>
  <c r="O737" i="2"/>
  <c r="N737" i="2"/>
  <c r="G738" i="2"/>
  <c r="I738" i="2" s="1"/>
  <c r="K738" i="2" s="1"/>
  <c r="H738" i="2"/>
  <c r="B739" i="2"/>
  <c r="D739" i="2"/>
  <c r="A740" i="2"/>
  <c r="F583" i="2" l="1"/>
  <c r="J583" i="2" s="1"/>
  <c r="M583" i="2" s="1"/>
  <c r="P583" i="2" s="1"/>
  <c r="G739" i="2"/>
  <c r="I739" i="2" s="1"/>
  <c r="K739" i="2" s="1"/>
  <c r="H739" i="2"/>
  <c r="A741" i="2"/>
  <c r="B740" i="2"/>
  <c r="D740" i="2"/>
  <c r="N738" i="2"/>
  <c r="O738" i="2"/>
  <c r="F584" i="2" l="1"/>
  <c r="J584" i="2" s="1"/>
  <c r="M584" i="2" s="1"/>
  <c r="P584" i="2" s="1"/>
  <c r="H740" i="2"/>
  <c r="G740" i="2"/>
  <c r="I740" i="2" s="1"/>
  <c r="K740" i="2" s="1"/>
  <c r="D741" i="2"/>
  <c r="A742" i="2"/>
  <c r="B741" i="2"/>
  <c r="O739" i="2"/>
  <c r="N739" i="2"/>
  <c r="F585" i="2" l="1"/>
  <c r="J585" i="2" s="1"/>
  <c r="M585" i="2" s="1"/>
  <c r="P585" i="2" s="1"/>
  <c r="H741" i="2"/>
  <c r="G741" i="2"/>
  <c r="I741" i="2" s="1"/>
  <c r="K741" i="2" s="1"/>
  <c r="A743" i="2"/>
  <c r="D742" i="2"/>
  <c r="B742" i="2"/>
  <c r="N740" i="2"/>
  <c r="O740" i="2"/>
  <c r="F586" i="2" l="1"/>
  <c r="J586" i="2" s="1"/>
  <c r="M586" i="2" s="1"/>
  <c r="P586" i="2" s="1"/>
  <c r="G742" i="2"/>
  <c r="I742" i="2" s="1"/>
  <c r="K742" i="2" s="1"/>
  <c r="H742" i="2"/>
  <c r="D743" i="2"/>
  <c r="B743" i="2"/>
  <c r="A744" i="2"/>
  <c r="N741" i="2"/>
  <c r="O741" i="2"/>
  <c r="F587" i="2" l="1"/>
  <c r="J587" i="2" s="1"/>
  <c r="M587" i="2" s="1"/>
  <c r="P587" i="2" s="1"/>
  <c r="G743" i="2"/>
  <c r="I743" i="2" s="1"/>
  <c r="K743" i="2" s="1"/>
  <c r="H743" i="2"/>
  <c r="D744" i="2"/>
  <c r="B744" i="2"/>
  <c r="A745" i="2"/>
  <c r="O742" i="2"/>
  <c r="N742" i="2"/>
  <c r="F588" i="2" l="1"/>
  <c r="J588" i="2" s="1"/>
  <c r="M588" i="2" s="1"/>
  <c r="P588" i="2" s="1"/>
  <c r="D745" i="2"/>
  <c r="A746" i="2"/>
  <c r="B745" i="2"/>
  <c r="H744" i="2"/>
  <c r="G744" i="2"/>
  <c r="I744" i="2" s="1"/>
  <c r="K744" i="2" s="1"/>
  <c r="N743" i="2"/>
  <c r="O743" i="2"/>
  <c r="F589" i="2" l="1"/>
  <c r="J589" i="2" s="1"/>
  <c r="M589" i="2" s="1"/>
  <c r="P589" i="2" s="1"/>
  <c r="O744" i="2"/>
  <c r="N744" i="2"/>
  <c r="A747" i="2"/>
  <c r="B746" i="2"/>
  <c r="D746" i="2"/>
  <c r="H745" i="2"/>
  <c r="G745" i="2"/>
  <c r="I745" i="2" s="1"/>
  <c r="K745" i="2" s="1"/>
  <c r="F590" i="2" l="1"/>
  <c r="J590" i="2" s="1"/>
  <c r="M590" i="2" s="1"/>
  <c r="P590" i="2" s="1"/>
  <c r="O745" i="2"/>
  <c r="N745" i="2"/>
  <c r="H746" i="2"/>
  <c r="G746" i="2"/>
  <c r="I746" i="2" s="1"/>
  <c r="K746" i="2" s="1"/>
  <c r="A748" i="2"/>
  <c r="B747" i="2"/>
  <c r="D747" i="2"/>
  <c r="F591" i="2" l="1"/>
  <c r="J591" i="2" s="1"/>
  <c r="M591" i="2" s="1"/>
  <c r="P591" i="2" s="1"/>
  <c r="D748" i="2"/>
  <c r="A749" i="2"/>
  <c r="B748" i="2"/>
  <c r="N746" i="2"/>
  <c r="O746" i="2"/>
  <c r="H747" i="2"/>
  <c r="G747" i="2"/>
  <c r="I747" i="2" s="1"/>
  <c r="K747" i="2" s="1"/>
  <c r="F592" i="2" l="1"/>
  <c r="J592" i="2" s="1"/>
  <c r="M592" i="2" s="1"/>
  <c r="P592" i="2" s="1"/>
  <c r="N747" i="2"/>
  <c r="O747" i="2"/>
  <c r="A750" i="2"/>
  <c r="B749" i="2"/>
  <c r="D749" i="2"/>
  <c r="H748" i="2"/>
  <c r="G748" i="2"/>
  <c r="I748" i="2" s="1"/>
  <c r="K748" i="2" s="1"/>
  <c r="F593" i="2" l="1"/>
  <c r="J593" i="2" s="1"/>
  <c r="M593" i="2" s="1"/>
  <c r="P593" i="2" s="1"/>
  <c r="N748" i="2"/>
  <c r="O748" i="2"/>
  <c r="H749" i="2"/>
  <c r="G749" i="2"/>
  <c r="I749" i="2" s="1"/>
  <c r="K749" i="2" s="1"/>
  <c r="A751" i="2"/>
  <c r="B750" i="2"/>
  <c r="D750" i="2"/>
  <c r="F594" i="2" l="1"/>
  <c r="J594" i="2" s="1"/>
  <c r="M594" i="2" s="1"/>
  <c r="P594" i="2" s="1"/>
  <c r="H750" i="2"/>
  <c r="G750" i="2"/>
  <c r="I750" i="2" s="1"/>
  <c r="K750" i="2" s="1"/>
  <c r="A752" i="2"/>
  <c r="B751" i="2"/>
  <c r="D751" i="2"/>
  <c r="O749" i="2"/>
  <c r="N749" i="2"/>
  <c r="F595" i="2" l="1"/>
  <c r="J595" i="2" s="1"/>
  <c r="M595" i="2" s="1"/>
  <c r="P595" i="2" s="1"/>
  <c r="B752" i="2"/>
  <c r="D752" i="2"/>
  <c r="A753" i="2"/>
  <c r="O750" i="2"/>
  <c r="N750" i="2"/>
  <c r="H751" i="2"/>
  <c r="G751" i="2"/>
  <c r="I751" i="2" s="1"/>
  <c r="K751" i="2" s="1"/>
  <c r="F596" i="2" l="1"/>
  <c r="J596" i="2" s="1"/>
  <c r="M596" i="2" s="1"/>
  <c r="P596" i="2" s="1"/>
  <c r="N751" i="2"/>
  <c r="O751" i="2"/>
  <c r="A754" i="2"/>
  <c r="D753" i="2"/>
  <c r="B753" i="2"/>
  <c r="G752" i="2"/>
  <c r="I752" i="2" s="1"/>
  <c r="K752" i="2" s="1"/>
  <c r="H752" i="2"/>
  <c r="F597" i="2" l="1"/>
  <c r="J597" i="2" s="1"/>
  <c r="M597" i="2" s="1"/>
  <c r="P597" i="2" s="1"/>
  <c r="D754" i="2"/>
  <c r="B754" i="2"/>
  <c r="A755" i="2"/>
  <c r="N752" i="2"/>
  <c r="O752" i="2"/>
  <c r="H753" i="2"/>
  <c r="G753" i="2"/>
  <c r="I753" i="2" s="1"/>
  <c r="K753" i="2" s="1"/>
  <c r="F598" i="2" l="1"/>
  <c r="J598" i="2" s="1"/>
  <c r="M598" i="2" s="1"/>
  <c r="P598" i="2" s="1"/>
  <c r="N753" i="2"/>
  <c r="O753" i="2"/>
  <c r="A756" i="2"/>
  <c r="B755" i="2"/>
  <c r="D755" i="2"/>
  <c r="G754" i="2"/>
  <c r="I754" i="2" s="1"/>
  <c r="K754" i="2" s="1"/>
  <c r="H754" i="2"/>
  <c r="F599" i="2" l="1"/>
  <c r="J599" i="2" s="1"/>
  <c r="M599" i="2" s="1"/>
  <c r="P599" i="2" s="1"/>
  <c r="O754" i="2"/>
  <c r="N754" i="2"/>
  <c r="H755" i="2"/>
  <c r="G755" i="2"/>
  <c r="I755" i="2" s="1"/>
  <c r="K755" i="2" s="1"/>
  <c r="A757" i="2"/>
  <c r="D756" i="2"/>
  <c r="B756" i="2"/>
  <c r="F600" i="2" l="1"/>
  <c r="J600" i="2" s="1"/>
  <c r="M600" i="2" s="1"/>
  <c r="P600" i="2" s="1"/>
  <c r="H756" i="2"/>
  <c r="G756" i="2"/>
  <c r="I756" i="2" s="1"/>
  <c r="K756" i="2" s="1"/>
  <c r="A758" i="2"/>
  <c r="B757" i="2"/>
  <c r="D757" i="2"/>
  <c r="N755" i="2"/>
  <c r="O755" i="2"/>
  <c r="F601" i="2" l="1"/>
  <c r="J601" i="2" s="1"/>
  <c r="M601" i="2" s="1"/>
  <c r="P601" i="2" s="1"/>
  <c r="A759" i="2"/>
  <c r="D758" i="2"/>
  <c r="B758" i="2"/>
  <c r="H757" i="2"/>
  <c r="G757" i="2"/>
  <c r="I757" i="2" s="1"/>
  <c r="K757" i="2" s="1"/>
  <c r="O756" i="2"/>
  <c r="N756" i="2"/>
  <c r="F602" i="2" l="1"/>
  <c r="J602" i="2" s="1"/>
  <c r="M602" i="2" s="1"/>
  <c r="P602" i="2" s="1"/>
  <c r="N757" i="2"/>
  <c r="O757" i="2"/>
  <c r="G758" i="2"/>
  <c r="I758" i="2" s="1"/>
  <c r="K758" i="2" s="1"/>
  <c r="H758" i="2"/>
  <c r="B759" i="2"/>
  <c r="D759" i="2"/>
  <c r="A760" i="2"/>
  <c r="F603" i="2" l="1"/>
  <c r="J603" i="2" s="1"/>
  <c r="M603" i="2" s="1"/>
  <c r="P603" i="2" s="1"/>
  <c r="D760" i="2"/>
  <c r="A761" i="2"/>
  <c r="B760" i="2"/>
  <c r="O758" i="2"/>
  <c r="N758" i="2"/>
  <c r="H759" i="2"/>
  <c r="G759" i="2"/>
  <c r="I759" i="2" s="1"/>
  <c r="K759" i="2" s="1"/>
  <c r="F604" i="2" l="1"/>
  <c r="J604" i="2" s="1"/>
  <c r="M604" i="2" s="1"/>
  <c r="P604" i="2" s="1"/>
  <c r="O759" i="2"/>
  <c r="N759" i="2"/>
  <c r="D761" i="2"/>
  <c r="B761" i="2"/>
  <c r="A762" i="2"/>
  <c r="H760" i="2"/>
  <c r="G760" i="2"/>
  <c r="I760" i="2" s="1"/>
  <c r="K760" i="2" s="1"/>
  <c r="F605" i="2" l="1"/>
  <c r="J605" i="2" s="1"/>
  <c r="M605" i="2" s="1"/>
  <c r="P605" i="2" s="1"/>
  <c r="A763" i="2"/>
  <c r="D762" i="2"/>
  <c r="B762" i="2"/>
  <c r="N760" i="2"/>
  <c r="O760" i="2"/>
  <c r="G761" i="2"/>
  <c r="I761" i="2" s="1"/>
  <c r="K761" i="2" s="1"/>
  <c r="H761" i="2"/>
  <c r="F606" i="2" l="1"/>
  <c r="J606" i="2" s="1"/>
  <c r="M606" i="2" s="1"/>
  <c r="P606" i="2" s="1"/>
  <c r="O761" i="2"/>
  <c r="N761" i="2"/>
  <c r="H762" i="2"/>
  <c r="G762" i="2"/>
  <c r="I762" i="2" s="1"/>
  <c r="K762" i="2" s="1"/>
  <c r="D763" i="2"/>
  <c r="B763" i="2"/>
  <c r="A764" i="2"/>
  <c r="F607" i="2" l="1"/>
  <c r="J607" i="2" s="1"/>
  <c r="M607" i="2" s="1"/>
  <c r="P607" i="2" s="1"/>
  <c r="A765" i="2"/>
  <c r="B764" i="2"/>
  <c r="D764" i="2"/>
  <c r="H763" i="2"/>
  <c r="G763" i="2"/>
  <c r="I763" i="2" s="1"/>
  <c r="K763" i="2" s="1"/>
  <c r="O762" i="2"/>
  <c r="N762" i="2"/>
  <c r="F608" i="2" l="1"/>
  <c r="J608" i="2" s="1"/>
  <c r="M608" i="2" s="1"/>
  <c r="P608" i="2" s="1"/>
  <c r="N763" i="2"/>
  <c r="O763" i="2"/>
  <c r="H764" i="2"/>
  <c r="G764" i="2"/>
  <c r="I764" i="2" s="1"/>
  <c r="K764" i="2" s="1"/>
  <c r="A766" i="2"/>
  <c r="D765" i="2"/>
  <c r="B765" i="2"/>
  <c r="F609" i="2" l="1"/>
  <c r="J609" i="2" s="1"/>
  <c r="M609" i="2" s="1"/>
  <c r="P609" i="2" s="1"/>
  <c r="G765" i="2"/>
  <c r="I765" i="2" s="1"/>
  <c r="K765" i="2" s="1"/>
  <c r="H765" i="2"/>
  <c r="B766" i="2"/>
  <c r="A767" i="2"/>
  <c r="D766" i="2"/>
  <c r="N764" i="2"/>
  <c r="O764" i="2"/>
  <c r="F610" i="2" l="1"/>
  <c r="J610" i="2" s="1"/>
  <c r="M610" i="2" s="1"/>
  <c r="P610" i="2" s="1"/>
  <c r="H766" i="2"/>
  <c r="G766" i="2"/>
  <c r="I766" i="2" s="1"/>
  <c r="K766" i="2" s="1"/>
  <c r="A768" i="2"/>
  <c r="D767" i="2"/>
  <c r="B767" i="2"/>
  <c r="O765" i="2"/>
  <c r="N765" i="2"/>
  <c r="F611" i="2" l="1"/>
  <c r="J611" i="2" s="1"/>
  <c r="M611" i="2" s="1"/>
  <c r="P611" i="2" s="1"/>
  <c r="B768" i="2"/>
  <c r="A769" i="2"/>
  <c r="D768" i="2"/>
  <c r="H767" i="2"/>
  <c r="G767" i="2"/>
  <c r="I767" i="2" s="1"/>
  <c r="K767" i="2" s="1"/>
  <c r="O766" i="2"/>
  <c r="N766" i="2"/>
  <c r="F612" i="2" l="1"/>
  <c r="J612" i="2" s="1"/>
  <c r="M612" i="2" s="1"/>
  <c r="P612" i="2" s="1"/>
  <c r="O767" i="2"/>
  <c r="N767" i="2"/>
  <c r="H768" i="2"/>
  <c r="G768" i="2"/>
  <c r="I768" i="2" s="1"/>
  <c r="K768" i="2" s="1"/>
  <c r="A770" i="2"/>
  <c r="D769" i="2"/>
  <c r="B769" i="2"/>
  <c r="F613" i="2" l="1"/>
  <c r="J613" i="2" s="1"/>
  <c r="M613" i="2" s="1"/>
  <c r="P613" i="2" s="1"/>
  <c r="H769" i="2"/>
  <c r="G769" i="2"/>
  <c r="I769" i="2" s="1"/>
  <c r="K769" i="2" s="1"/>
  <c r="A771" i="2"/>
  <c r="B770" i="2"/>
  <c r="D770" i="2"/>
  <c r="N768" i="2"/>
  <c r="O768" i="2"/>
  <c r="F614" i="2" l="1"/>
  <c r="J614" i="2" s="1"/>
  <c r="M614" i="2" s="1"/>
  <c r="P614" i="2" s="1"/>
  <c r="H770" i="2"/>
  <c r="G770" i="2"/>
  <c r="I770" i="2" s="1"/>
  <c r="K770" i="2" s="1"/>
  <c r="A772" i="2"/>
  <c r="D771" i="2"/>
  <c r="B771" i="2"/>
  <c r="O769" i="2"/>
  <c r="N769" i="2"/>
  <c r="F615" i="2" l="1"/>
  <c r="J615" i="2" s="1"/>
  <c r="M615" i="2" s="1"/>
  <c r="P615" i="2" s="1"/>
  <c r="G771" i="2"/>
  <c r="I771" i="2" s="1"/>
  <c r="K771" i="2" s="1"/>
  <c r="H771" i="2"/>
  <c r="A773" i="2"/>
  <c r="B772" i="2"/>
  <c r="D772" i="2"/>
  <c r="O770" i="2"/>
  <c r="N770" i="2"/>
  <c r="F616" i="2" l="1"/>
  <c r="J616" i="2" s="1"/>
  <c r="M616" i="2" s="1"/>
  <c r="P616" i="2" s="1"/>
  <c r="G772" i="2"/>
  <c r="I772" i="2" s="1"/>
  <c r="K772" i="2" s="1"/>
  <c r="H772" i="2"/>
  <c r="D773" i="2"/>
  <c r="B773" i="2"/>
  <c r="A774" i="2"/>
  <c r="N771" i="2"/>
  <c r="O771" i="2"/>
  <c r="F617" i="2" l="1"/>
  <c r="J617" i="2" s="1"/>
  <c r="M617" i="2" s="1"/>
  <c r="P617" i="2" s="1"/>
  <c r="A775" i="2"/>
  <c r="D774" i="2"/>
  <c r="B774" i="2"/>
  <c r="H773" i="2"/>
  <c r="G773" i="2"/>
  <c r="I773" i="2" s="1"/>
  <c r="K773" i="2" s="1"/>
  <c r="O772" i="2"/>
  <c r="N772" i="2"/>
  <c r="F618" i="2" l="1"/>
  <c r="J618" i="2" s="1"/>
  <c r="M618" i="2" s="1"/>
  <c r="P618" i="2" s="1"/>
  <c r="N773" i="2"/>
  <c r="O773" i="2"/>
  <c r="G774" i="2"/>
  <c r="I774" i="2" s="1"/>
  <c r="K774" i="2" s="1"/>
  <c r="H774" i="2"/>
  <c r="B775" i="2"/>
  <c r="D775" i="2"/>
  <c r="A776" i="2"/>
  <c r="F619" i="2" l="1"/>
  <c r="J619" i="2" s="1"/>
  <c r="M619" i="2" s="1"/>
  <c r="P619" i="2" s="1"/>
  <c r="A777" i="2"/>
  <c r="D776" i="2"/>
  <c r="B776" i="2"/>
  <c r="G775" i="2"/>
  <c r="I775" i="2" s="1"/>
  <c r="K775" i="2" s="1"/>
  <c r="H775" i="2"/>
  <c r="N774" i="2"/>
  <c r="O774" i="2"/>
  <c r="F620" i="2" l="1"/>
  <c r="J620" i="2" s="1"/>
  <c r="M620" i="2" s="1"/>
  <c r="P620" i="2" s="1"/>
  <c r="N775" i="2"/>
  <c r="O775" i="2"/>
  <c r="H776" i="2"/>
  <c r="G776" i="2"/>
  <c r="I776" i="2" s="1"/>
  <c r="K776" i="2" s="1"/>
  <c r="A778" i="2"/>
  <c r="D777" i="2"/>
  <c r="B777" i="2"/>
  <c r="F621" i="2" l="1"/>
  <c r="J621" i="2" s="1"/>
  <c r="M621" i="2" s="1"/>
  <c r="P621" i="2" s="1"/>
  <c r="A779" i="2"/>
  <c r="D778" i="2"/>
  <c r="B778" i="2"/>
  <c r="O776" i="2"/>
  <c r="N776" i="2"/>
  <c r="H777" i="2"/>
  <c r="G777" i="2"/>
  <c r="I777" i="2" s="1"/>
  <c r="K777" i="2" s="1"/>
  <c r="F622" i="2" l="1"/>
  <c r="J622" i="2" s="1"/>
  <c r="M622" i="2" s="1"/>
  <c r="P622" i="2" s="1"/>
  <c r="N777" i="2"/>
  <c r="O777" i="2"/>
  <c r="H778" i="2"/>
  <c r="G778" i="2"/>
  <c r="I778" i="2" s="1"/>
  <c r="K778" i="2" s="1"/>
  <c r="A780" i="2"/>
  <c r="D779" i="2"/>
  <c r="B779" i="2"/>
  <c r="F623" i="2" l="1"/>
  <c r="J623" i="2" s="1"/>
  <c r="M623" i="2" s="1"/>
  <c r="P623" i="2" s="1"/>
  <c r="H779" i="2"/>
  <c r="G779" i="2"/>
  <c r="I779" i="2" s="1"/>
  <c r="K779" i="2" s="1"/>
  <c r="D780" i="2"/>
  <c r="A781" i="2"/>
  <c r="B780" i="2"/>
  <c r="N778" i="2"/>
  <c r="O778" i="2"/>
  <c r="F624" i="2" l="1"/>
  <c r="J624" i="2" s="1"/>
  <c r="M624" i="2" s="1"/>
  <c r="P624" i="2" s="1"/>
  <c r="A782" i="2"/>
  <c r="D781" i="2"/>
  <c r="B781" i="2"/>
  <c r="H780" i="2"/>
  <c r="G780" i="2"/>
  <c r="I780" i="2" s="1"/>
  <c r="K780" i="2" s="1"/>
  <c r="O779" i="2"/>
  <c r="N779" i="2"/>
  <c r="F625" i="2" l="1"/>
  <c r="J625" i="2" s="1"/>
  <c r="M625" i="2" s="1"/>
  <c r="P625" i="2" s="1"/>
  <c r="O780" i="2"/>
  <c r="N780" i="2"/>
  <c r="G781" i="2"/>
  <c r="I781" i="2" s="1"/>
  <c r="K781" i="2" s="1"/>
  <c r="H781" i="2"/>
  <c r="D782" i="2"/>
  <c r="B782" i="2"/>
  <c r="A783" i="2"/>
  <c r="F626" i="2" l="1"/>
  <c r="J626" i="2" s="1"/>
  <c r="M626" i="2" s="1"/>
  <c r="P626" i="2" s="1"/>
  <c r="D783" i="2"/>
  <c r="B783" i="2"/>
  <c r="A784" i="2"/>
  <c r="H782" i="2"/>
  <c r="G782" i="2"/>
  <c r="I782" i="2" s="1"/>
  <c r="K782" i="2" s="1"/>
  <c r="O781" i="2"/>
  <c r="N781" i="2"/>
  <c r="F627" i="2" l="1"/>
  <c r="J627" i="2" s="1"/>
  <c r="M627" i="2" s="1"/>
  <c r="P627" i="2" s="1"/>
  <c r="O782" i="2"/>
  <c r="N782" i="2"/>
  <c r="A785" i="2"/>
  <c r="B784" i="2"/>
  <c r="D784" i="2"/>
  <c r="H783" i="2"/>
  <c r="G783" i="2"/>
  <c r="I783" i="2" s="1"/>
  <c r="K783" i="2" s="1"/>
  <c r="F628" i="2" l="1"/>
  <c r="J628" i="2" s="1"/>
  <c r="M628" i="2" s="1"/>
  <c r="P628" i="2" s="1"/>
  <c r="N783" i="2"/>
  <c r="O783" i="2"/>
  <c r="H784" i="2"/>
  <c r="G784" i="2"/>
  <c r="I784" i="2" s="1"/>
  <c r="K784" i="2" s="1"/>
  <c r="A786" i="2"/>
  <c r="D785" i="2"/>
  <c r="B785" i="2"/>
  <c r="F629" i="2" l="1"/>
  <c r="J629" i="2" s="1"/>
  <c r="M629" i="2" s="1"/>
  <c r="P629" i="2" s="1"/>
  <c r="G785" i="2"/>
  <c r="I785" i="2" s="1"/>
  <c r="K785" i="2" s="1"/>
  <c r="H785" i="2"/>
  <c r="B786" i="2"/>
  <c r="D786" i="2"/>
  <c r="A787" i="2"/>
  <c r="O784" i="2"/>
  <c r="N784" i="2"/>
  <c r="F630" i="2" l="1"/>
  <c r="J630" i="2" s="1"/>
  <c r="M630" i="2" s="1"/>
  <c r="P630" i="2" s="1"/>
  <c r="A788" i="2"/>
  <c r="D787" i="2"/>
  <c r="B787" i="2"/>
  <c r="H786" i="2"/>
  <c r="G786" i="2"/>
  <c r="I786" i="2" s="1"/>
  <c r="K786" i="2" s="1"/>
  <c r="N785" i="2"/>
  <c r="O785" i="2"/>
  <c r="F631" i="2" l="1"/>
  <c r="J631" i="2" s="1"/>
  <c r="M631" i="2" s="1"/>
  <c r="P631" i="2" s="1"/>
  <c r="N786" i="2"/>
  <c r="O786" i="2"/>
  <c r="H787" i="2"/>
  <c r="G787" i="2"/>
  <c r="I787" i="2" s="1"/>
  <c r="K787" i="2" s="1"/>
  <c r="A789" i="2"/>
  <c r="D788" i="2"/>
  <c r="B788" i="2"/>
  <c r="F632" i="2" l="1"/>
  <c r="J632" i="2" s="1"/>
  <c r="M632" i="2" s="1"/>
  <c r="P632" i="2" s="1"/>
  <c r="B789" i="2"/>
  <c r="D789" i="2"/>
  <c r="A790" i="2"/>
  <c r="H788" i="2"/>
  <c r="G788" i="2"/>
  <c r="I788" i="2" s="1"/>
  <c r="K788" i="2" s="1"/>
  <c r="O787" i="2"/>
  <c r="N787" i="2"/>
  <c r="F633" i="2" l="1"/>
  <c r="J633" i="2" s="1"/>
  <c r="M633" i="2" s="1"/>
  <c r="P633" i="2" s="1"/>
  <c r="N788" i="2"/>
  <c r="O788" i="2"/>
  <c r="D790" i="2"/>
  <c r="A791" i="2"/>
  <c r="B790" i="2"/>
  <c r="G789" i="2"/>
  <c r="I789" i="2" s="1"/>
  <c r="K789" i="2" s="1"/>
  <c r="H789" i="2"/>
  <c r="F634" i="2" l="1"/>
  <c r="J634" i="2" s="1"/>
  <c r="M634" i="2" s="1"/>
  <c r="P634" i="2" s="1"/>
  <c r="A792" i="2"/>
  <c r="D791" i="2"/>
  <c r="B791" i="2"/>
  <c r="G790" i="2"/>
  <c r="I790" i="2" s="1"/>
  <c r="K790" i="2" s="1"/>
  <c r="H790" i="2"/>
  <c r="N789" i="2"/>
  <c r="O789" i="2"/>
  <c r="F635" i="2" l="1"/>
  <c r="J635" i="2" s="1"/>
  <c r="M635" i="2" s="1"/>
  <c r="P635" i="2" s="1"/>
  <c r="O790" i="2"/>
  <c r="N790" i="2"/>
  <c r="H791" i="2"/>
  <c r="G791" i="2"/>
  <c r="I791" i="2" s="1"/>
  <c r="K791" i="2" s="1"/>
  <c r="A793" i="2"/>
  <c r="B792" i="2"/>
  <c r="D792" i="2"/>
  <c r="F636" i="2" l="1"/>
  <c r="J636" i="2" s="1"/>
  <c r="M636" i="2" s="1"/>
  <c r="P636" i="2" s="1"/>
  <c r="G792" i="2"/>
  <c r="I792" i="2" s="1"/>
  <c r="K792" i="2" s="1"/>
  <c r="H792" i="2"/>
  <c r="D793" i="2"/>
  <c r="B793" i="2"/>
  <c r="A794" i="2"/>
  <c r="N791" i="2"/>
  <c r="O791" i="2"/>
  <c r="F637" i="2" l="1"/>
  <c r="J637" i="2" s="1"/>
  <c r="M637" i="2" s="1"/>
  <c r="P637" i="2" s="1"/>
  <c r="G793" i="2"/>
  <c r="I793" i="2" s="1"/>
  <c r="K793" i="2" s="1"/>
  <c r="H793" i="2"/>
  <c r="A795" i="2"/>
  <c r="D794" i="2"/>
  <c r="B794" i="2"/>
  <c r="N792" i="2"/>
  <c r="O792" i="2"/>
  <c r="F638" i="2" l="1"/>
  <c r="J638" i="2" s="1"/>
  <c r="M638" i="2" s="1"/>
  <c r="P638" i="2" s="1"/>
  <c r="H794" i="2"/>
  <c r="G794" i="2"/>
  <c r="I794" i="2" s="1"/>
  <c r="K794" i="2" s="1"/>
  <c r="A796" i="2"/>
  <c r="B795" i="2"/>
  <c r="D795" i="2"/>
  <c r="N793" i="2"/>
  <c r="O793" i="2"/>
  <c r="F639" i="2" l="1"/>
  <c r="J639" i="2" s="1"/>
  <c r="M639" i="2" s="1"/>
  <c r="P639" i="2" s="1"/>
  <c r="H795" i="2"/>
  <c r="G795" i="2"/>
  <c r="I795" i="2" s="1"/>
  <c r="K795" i="2" s="1"/>
  <c r="A797" i="2"/>
  <c r="B796" i="2"/>
  <c r="D796" i="2"/>
  <c r="O794" i="2"/>
  <c r="N794" i="2"/>
  <c r="F640" i="2" l="1"/>
  <c r="J640" i="2" s="1"/>
  <c r="M640" i="2" s="1"/>
  <c r="P640" i="2" s="1"/>
  <c r="H796" i="2"/>
  <c r="G796" i="2"/>
  <c r="I796" i="2" s="1"/>
  <c r="K796" i="2" s="1"/>
  <c r="A798" i="2"/>
  <c r="D797" i="2"/>
  <c r="B797" i="2"/>
  <c r="O795" i="2"/>
  <c r="N795" i="2"/>
  <c r="F641" i="2" l="1"/>
  <c r="J641" i="2" s="1"/>
  <c r="M641" i="2" s="1"/>
  <c r="P641" i="2" s="1"/>
  <c r="H797" i="2"/>
  <c r="G797" i="2"/>
  <c r="I797" i="2" s="1"/>
  <c r="K797" i="2" s="1"/>
  <c r="A799" i="2"/>
  <c r="D798" i="2"/>
  <c r="B798" i="2"/>
  <c r="N796" i="2"/>
  <c r="O796" i="2"/>
  <c r="F642" i="2" l="1"/>
  <c r="J642" i="2" s="1"/>
  <c r="M642" i="2" s="1"/>
  <c r="P642" i="2" s="1"/>
  <c r="G798" i="2"/>
  <c r="I798" i="2" s="1"/>
  <c r="K798" i="2" s="1"/>
  <c r="H798" i="2"/>
  <c r="N797" i="2"/>
  <c r="O797" i="2"/>
  <c r="B799" i="2"/>
  <c r="D799" i="2"/>
  <c r="A800" i="2"/>
  <c r="F643" i="2" l="1"/>
  <c r="J643" i="2" s="1"/>
  <c r="M643" i="2" s="1"/>
  <c r="P643" i="2" s="1"/>
  <c r="A801" i="2"/>
  <c r="D800" i="2"/>
  <c r="B800" i="2"/>
  <c r="G799" i="2"/>
  <c r="I799" i="2" s="1"/>
  <c r="K799" i="2" s="1"/>
  <c r="H799" i="2"/>
  <c r="N798" i="2"/>
  <c r="O798" i="2"/>
  <c r="F644" i="2" l="1"/>
  <c r="J644" i="2" s="1"/>
  <c r="M644" i="2" s="1"/>
  <c r="P644" i="2" s="1"/>
  <c r="N799" i="2"/>
  <c r="O799" i="2"/>
  <c r="H800" i="2"/>
  <c r="G800" i="2"/>
  <c r="I800" i="2" s="1"/>
  <c r="K800" i="2" s="1"/>
  <c r="A802" i="2"/>
  <c r="D801" i="2"/>
  <c r="B801" i="2"/>
  <c r="F645" i="2" l="1"/>
  <c r="J645" i="2" s="1"/>
  <c r="M645" i="2" s="1"/>
  <c r="P645" i="2" s="1"/>
  <c r="A803" i="2"/>
  <c r="B802" i="2"/>
  <c r="D802" i="2"/>
  <c r="H801" i="2"/>
  <c r="G801" i="2"/>
  <c r="I801" i="2" s="1"/>
  <c r="K801" i="2" s="1"/>
  <c r="O800" i="2"/>
  <c r="N800" i="2"/>
  <c r="F646" i="2" l="1"/>
  <c r="J646" i="2" s="1"/>
  <c r="M646" i="2" s="1"/>
  <c r="P646" i="2" s="1"/>
  <c r="O801" i="2"/>
  <c r="N801" i="2"/>
  <c r="G802" i="2"/>
  <c r="I802" i="2" s="1"/>
  <c r="K802" i="2" s="1"/>
  <c r="H802" i="2"/>
  <c r="D803" i="2"/>
  <c r="A804" i="2"/>
  <c r="B803" i="2"/>
  <c r="F647" i="2" l="1"/>
  <c r="J647" i="2" s="1"/>
  <c r="M647" i="2" s="1"/>
  <c r="P647" i="2" s="1"/>
  <c r="A805" i="2"/>
  <c r="B804" i="2"/>
  <c r="D804" i="2"/>
  <c r="H803" i="2"/>
  <c r="G803" i="2"/>
  <c r="I803" i="2" s="1"/>
  <c r="K803" i="2" s="1"/>
  <c r="N802" i="2"/>
  <c r="O802" i="2"/>
  <c r="F648" i="2" l="1"/>
  <c r="J648" i="2" s="1"/>
  <c r="M648" i="2" s="1"/>
  <c r="P648" i="2" s="1"/>
  <c r="N803" i="2"/>
  <c r="O803" i="2"/>
  <c r="G804" i="2"/>
  <c r="I804" i="2" s="1"/>
  <c r="K804" i="2" s="1"/>
  <c r="H804" i="2"/>
  <c r="D805" i="2"/>
  <c r="B805" i="2"/>
  <c r="A806" i="2"/>
  <c r="F649" i="2" l="1"/>
  <c r="J649" i="2" s="1"/>
  <c r="M649" i="2" s="1"/>
  <c r="P649" i="2" s="1"/>
  <c r="D806" i="2"/>
  <c r="A807" i="2"/>
  <c r="B806" i="2"/>
  <c r="G805" i="2"/>
  <c r="I805" i="2" s="1"/>
  <c r="K805" i="2" s="1"/>
  <c r="H805" i="2"/>
  <c r="O804" i="2"/>
  <c r="N804" i="2"/>
  <c r="F650" i="2" l="1"/>
  <c r="J650" i="2" s="1"/>
  <c r="M650" i="2" s="1"/>
  <c r="P650" i="2" s="1"/>
  <c r="N805" i="2"/>
  <c r="O805" i="2"/>
  <c r="A808" i="2"/>
  <c r="B807" i="2"/>
  <c r="D807" i="2"/>
  <c r="H806" i="2"/>
  <c r="G806" i="2"/>
  <c r="I806" i="2" s="1"/>
  <c r="K806" i="2" s="1"/>
  <c r="F651" i="2" l="1"/>
  <c r="J651" i="2" s="1"/>
  <c r="M651" i="2" s="1"/>
  <c r="P651" i="2" s="1"/>
  <c r="O806" i="2"/>
  <c r="N806" i="2"/>
  <c r="H807" i="2"/>
  <c r="G807" i="2"/>
  <c r="I807" i="2" s="1"/>
  <c r="K807" i="2" s="1"/>
  <c r="A809" i="2"/>
  <c r="D808" i="2"/>
  <c r="B808" i="2"/>
  <c r="F652" i="2" l="1"/>
  <c r="J652" i="2" s="1"/>
  <c r="M652" i="2" s="1"/>
  <c r="P652" i="2" s="1"/>
  <c r="G808" i="2"/>
  <c r="I808" i="2" s="1"/>
  <c r="K808" i="2" s="1"/>
  <c r="H808" i="2"/>
  <c r="A810" i="2"/>
  <c r="B809" i="2"/>
  <c r="D809" i="2"/>
  <c r="N807" i="2"/>
  <c r="O807" i="2"/>
  <c r="F653" i="2" l="1"/>
  <c r="J653" i="2" s="1"/>
  <c r="M653" i="2" s="1"/>
  <c r="P653" i="2" s="1"/>
  <c r="G809" i="2"/>
  <c r="I809" i="2" s="1"/>
  <c r="K809" i="2" s="1"/>
  <c r="H809" i="2"/>
  <c r="A811" i="2"/>
  <c r="D810" i="2"/>
  <c r="B810" i="2"/>
  <c r="N808" i="2"/>
  <c r="O808" i="2"/>
  <c r="F654" i="2" l="1"/>
  <c r="J654" i="2" s="1"/>
  <c r="M654" i="2" s="1"/>
  <c r="P654" i="2" s="1"/>
  <c r="G810" i="2"/>
  <c r="I810" i="2" s="1"/>
  <c r="K810" i="2" s="1"/>
  <c r="H810" i="2"/>
  <c r="D811" i="2"/>
  <c r="A812" i="2"/>
  <c r="B811" i="2"/>
  <c r="N809" i="2"/>
  <c r="O809" i="2"/>
  <c r="F655" i="2" l="1"/>
  <c r="J655" i="2" s="1"/>
  <c r="M655" i="2" s="1"/>
  <c r="P655" i="2" s="1"/>
  <c r="A813" i="2"/>
  <c r="D812" i="2"/>
  <c r="B812" i="2"/>
  <c r="H811" i="2"/>
  <c r="G811" i="2"/>
  <c r="I811" i="2" s="1"/>
  <c r="K811" i="2" s="1"/>
  <c r="N810" i="2"/>
  <c r="O810" i="2"/>
  <c r="F656" i="2" l="1"/>
  <c r="J656" i="2" s="1"/>
  <c r="M656" i="2" s="1"/>
  <c r="P656" i="2" s="1"/>
  <c r="O811" i="2"/>
  <c r="N811" i="2"/>
  <c r="H812" i="2"/>
  <c r="G812" i="2"/>
  <c r="I812" i="2" s="1"/>
  <c r="K812" i="2" s="1"/>
  <c r="A814" i="2"/>
  <c r="B813" i="2"/>
  <c r="D813" i="2"/>
  <c r="F657" i="2" l="1"/>
  <c r="J657" i="2" s="1"/>
  <c r="M657" i="2" s="1"/>
  <c r="P657" i="2" s="1"/>
  <c r="G813" i="2"/>
  <c r="I813" i="2" s="1"/>
  <c r="K813" i="2" s="1"/>
  <c r="H813" i="2"/>
  <c r="D814" i="2"/>
  <c r="B814" i="2"/>
  <c r="A815" i="2"/>
  <c r="O812" i="2"/>
  <c r="N812" i="2"/>
  <c r="F658" i="2" l="1"/>
  <c r="J658" i="2" s="1"/>
  <c r="M658" i="2" s="1"/>
  <c r="P658" i="2" s="1"/>
  <c r="D815" i="2"/>
  <c r="A816" i="2"/>
  <c r="B815" i="2"/>
  <c r="G814" i="2"/>
  <c r="I814" i="2" s="1"/>
  <c r="K814" i="2" s="1"/>
  <c r="H814" i="2"/>
  <c r="N813" i="2"/>
  <c r="O813" i="2"/>
  <c r="F659" i="2" l="1"/>
  <c r="J659" i="2" s="1"/>
  <c r="M659" i="2" s="1"/>
  <c r="P659" i="2" s="1"/>
  <c r="N814" i="2"/>
  <c r="O814" i="2"/>
  <c r="D816" i="2"/>
  <c r="A817" i="2"/>
  <c r="B816" i="2"/>
  <c r="H815" i="2"/>
  <c r="G815" i="2"/>
  <c r="I815" i="2" s="1"/>
  <c r="K815" i="2" s="1"/>
  <c r="F660" i="2" l="1"/>
  <c r="J660" i="2" s="1"/>
  <c r="M660" i="2" s="1"/>
  <c r="P660" i="2" s="1"/>
  <c r="N815" i="2"/>
  <c r="O815" i="2"/>
  <c r="A818" i="2"/>
  <c r="D817" i="2"/>
  <c r="B817" i="2"/>
  <c r="H816" i="2"/>
  <c r="G816" i="2"/>
  <c r="I816" i="2" s="1"/>
  <c r="K816" i="2" s="1"/>
  <c r="F661" i="2" l="1"/>
  <c r="J661" i="2" s="1"/>
  <c r="M661" i="2" s="1"/>
  <c r="P661" i="2" s="1"/>
  <c r="O816" i="2"/>
  <c r="N816" i="2"/>
  <c r="H817" i="2"/>
  <c r="G817" i="2"/>
  <c r="I817" i="2" s="1"/>
  <c r="K817" i="2" s="1"/>
  <c r="B818" i="2"/>
  <c r="A819" i="2"/>
  <c r="D818" i="2"/>
  <c r="F662" i="2" l="1"/>
  <c r="J662" i="2" s="1"/>
  <c r="M662" i="2" s="1"/>
  <c r="P662" i="2" s="1"/>
  <c r="G818" i="2"/>
  <c r="I818" i="2" s="1"/>
  <c r="K818" i="2" s="1"/>
  <c r="H818" i="2"/>
  <c r="D819" i="2"/>
  <c r="B819" i="2"/>
  <c r="A820" i="2"/>
  <c r="N817" i="2"/>
  <c r="O817" i="2"/>
  <c r="F663" i="2" l="1"/>
  <c r="J663" i="2" s="1"/>
  <c r="M663" i="2" s="1"/>
  <c r="P663" i="2" s="1"/>
  <c r="B820" i="2"/>
  <c r="A821" i="2"/>
  <c r="D820" i="2"/>
  <c r="G819" i="2"/>
  <c r="I819" i="2" s="1"/>
  <c r="K819" i="2" s="1"/>
  <c r="H819" i="2"/>
  <c r="O818" i="2"/>
  <c r="N818" i="2"/>
  <c r="F664" i="2" l="1"/>
  <c r="J664" i="2" s="1"/>
  <c r="M664" i="2" s="1"/>
  <c r="P664" i="2" s="1"/>
  <c r="O819" i="2"/>
  <c r="N819" i="2"/>
  <c r="G820" i="2"/>
  <c r="I820" i="2" s="1"/>
  <c r="K820" i="2" s="1"/>
  <c r="H820" i="2"/>
  <c r="B821" i="2"/>
  <c r="D821" i="2"/>
  <c r="A822" i="2"/>
  <c r="F665" i="2" l="1"/>
  <c r="J665" i="2" s="1"/>
  <c r="M665" i="2" s="1"/>
  <c r="P665" i="2" s="1"/>
  <c r="A823" i="2"/>
  <c r="D822" i="2"/>
  <c r="B822" i="2"/>
  <c r="O820" i="2"/>
  <c r="N820" i="2"/>
  <c r="G821" i="2"/>
  <c r="I821" i="2" s="1"/>
  <c r="K821" i="2" s="1"/>
  <c r="H821" i="2"/>
  <c r="F666" i="2" l="1"/>
  <c r="J666" i="2" s="1"/>
  <c r="M666" i="2" s="1"/>
  <c r="P666" i="2" s="1"/>
  <c r="N821" i="2"/>
  <c r="O821" i="2"/>
  <c r="G822" i="2"/>
  <c r="I822" i="2" s="1"/>
  <c r="K822" i="2" s="1"/>
  <c r="H822" i="2"/>
  <c r="D823" i="2"/>
  <c r="B823" i="2"/>
  <c r="A824" i="2"/>
  <c r="F667" i="2" l="1"/>
  <c r="J667" i="2" s="1"/>
  <c r="M667" i="2" s="1"/>
  <c r="P667" i="2" s="1"/>
  <c r="B824" i="2"/>
  <c r="D824" i="2"/>
  <c r="A825" i="2"/>
  <c r="G823" i="2"/>
  <c r="I823" i="2" s="1"/>
  <c r="K823" i="2" s="1"/>
  <c r="H823" i="2"/>
  <c r="O822" i="2"/>
  <c r="N822" i="2"/>
  <c r="F668" i="2" l="1"/>
  <c r="J668" i="2" s="1"/>
  <c r="M668" i="2" s="1"/>
  <c r="P668" i="2" s="1"/>
  <c r="G824" i="2"/>
  <c r="I824" i="2" s="1"/>
  <c r="K824" i="2" s="1"/>
  <c r="H824" i="2"/>
  <c r="O823" i="2"/>
  <c r="N823" i="2"/>
  <c r="A826" i="2"/>
  <c r="D825" i="2"/>
  <c r="B825" i="2"/>
  <c r="F669" i="2" l="1"/>
  <c r="J669" i="2" s="1"/>
  <c r="M669" i="2" s="1"/>
  <c r="P669" i="2" s="1"/>
  <c r="H825" i="2"/>
  <c r="G825" i="2"/>
  <c r="I825" i="2" s="1"/>
  <c r="K825" i="2" s="1"/>
  <c r="A827" i="2"/>
  <c r="B826" i="2"/>
  <c r="D826" i="2"/>
  <c r="O824" i="2"/>
  <c r="N824" i="2"/>
  <c r="F670" i="2" l="1"/>
  <c r="J670" i="2" s="1"/>
  <c r="M670" i="2" s="1"/>
  <c r="P670" i="2" s="1"/>
  <c r="A828" i="2"/>
  <c r="D827" i="2"/>
  <c r="B827" i="2"/>
  <c r="H826" i="2"/>
  <c r="G826" i="2"/>
  <c r="I826" i="2" s="1"/>
  <c r="K826" i="2" s="1"/>
  <c r="O825" i="2"/>
  <c r="N825" i="2"/>
  <c r="F671" i="2" l="1"/>
  <c r="J671" i="2" s="1"/>
  <c r="M671" i="2" s="1"/>
  <c r="P671" i="2" s="1"/>
  <c r="O826" i="2"/>
  <c r="N826" i="2"/>
  <c r="H827" i="2"/>
  <c r="G827" i="2"/>
  <c r="I827" i="2" s="1"/>
  <c r="K827" i="2" s="1"/>
  <c r="A829" i="2"/>
  <c r="D828" i="2"/>
  <c r="B828" i="2"/>
  <c r="F672" i="2" l="1"/>
  <c r="J672" i="2" s="1"/>
  <c r="M672" i="2" s="1"/>
  <c r="P672" i="2" s="1"/>
  <c r="H828" i="2"/>
  <c r="G828" i="2"/>
  <c r="I828" i="2" s="1"/>
  <c r="K828" i="2" s="1"/>
  <c r="A830" i="2"/>
  <c r="D829" i="2"/>
  <c r="B829" i="2"/>
  <c r="O827" i="2"/>
  <c r="N827" i="2"/>
  <c r="F673" i="2" l="1"/>
  <c r="J673" i="2" s="1"/>
  <c r="M673" i="2" s="1"/>
  <c r="P673" i="2" s="1"/>
  <c r="H829" i="2"/>
  <c r="G829" i="2"/>
  <c r="I829" i="2" s="1"/>
  <c r="K829" i="2" s="1"/>
  <c r="B830" i="2"/>
  <c r="A831" i="2"/>
  <c r="D830" i="2"/>
  <c r="N828" i="2"/>
  <c r="O828" i="2"/>
  <c r="F674" i="2" l="1"/>
  <c r="J674" i="2" s="1"/>
  <c r="M674" i="2" s="1"/>
  <c r="P674" i="2" s="1"/>
  <c r="H830" i="2"/>
  <c r="G830" i="2"/>
  <c r="I830" i="2" s="1"/>
  <c r="K830" i="2" s="1"/>
  <c r="A832" i="2"/>
  <c r="D831" i="2"/>
  <c r="B831" i="2"/>
  <c r="O829" i="2"/>
  <c r="N829" i="2"/>
  <c r="F675" i="2" l="1"/>
  <c r="J675" i="2" s="1"/>
  <c r="M675" i="2" s="1"/>
  <c r="P675" i="2" s="1"/>
  <c r="H831" i="2"/>
  <c r="G831" i="2"/>
  <c r="I831" i="2" s="1"/>
  <c r="K831" i="2" s="1"/>
  <c r="D832" i="2"/>
  <c r="B832" i="2"/>
  <c r="A833" i="2"/>
  <c r="O830" i="2"/>
  <c r="N830" i="2"/>
  <c r="F676" i="2" l="1"/>
  <c r="J676" i="2" s="1"/>
  <c r="M676" i="2" s="1"/>
  <c r="P676" i="2" s="1"/>
  <c r="A834" i="2"/>
  <c r="D833" i="2"/>
  <c r="B833" i="2"/>
  <c r="H832" i="2"/>
  <c r="G832" i="2"/>
  <c r="I832" i="2" s="1"/>
  <c r="K832" i="2" s="1"/>
  <c r="N831" i="2"/>
  <c r="O831" i="2"/>
  <c r="F677" i="2" l="1"/>
  <c r="J677" i="2" s="1"/>
  <c r="M677" i="2" s="1"/>
  <c r="P677" i="2" s="1"/>
  <c r="O832" i="2"/>
  <c r="N832" i="2"/>
  <c r="H833" i="2"/>
  <c r="G833" i="2"/>
  <c r="I833" i="2" s="1"/>
  <c r="K833" i="2" s="1"/>
  <c r="A835" i="2"/>
  <c r="B834" i="2"/>
  <c r="D834" i="2"/>
  <c r="F678" i="2" l="1"/>
  <c r="J678" i="2" s="1"/>
  <c r="M678" i="2" s="1"/>
  <c r="P678" i="2" s="1"/>
  <c r="H834" i="2"/>
  <c r="G834" i="2"/>
  <c r="I834" i="2" s="1"/>
  <c r="K834" i="2" s="1"/>
  <c r="O833" i="2"/>
  <c r="N833" i="2"/>
  <c r="A836" i="2"/>
  <c r="D835" i="2"/>
  <c r="B835" i="2"/>
  <c r="F679" i="2" l="1"/>
  <c r="J679" i="2" s="1"/>
  <c r="M679" i="2" s="1"/>
  <c r="P679" i="2" s="1"/>
  <c r="G835" i="2"/>
  <c r="I835" i="2" s="1"/>
  <c r="K835" i="2" s="1"/>
  <c r="H835" i="2"/>
  <c r="D836" i="2"/>
  <c r="B836" i="2"/>
  <c r="A837" i="2"/>
  <c r="N834" i="2"/>
  <c r="O834" i="2"/>
  <c r="F680" i="2" l="1"/>
  <c r="J680" i="2" s="1"/>
  <c r="M680" i="2" s="1"/>
  <c r="P680" i="2" s="1"/>
  <c r="N835" i="2"/>
  <c r="O835" i="2"/>
  <c r="G836" i="2"/>
  <c r="I836" i="2" s="1"/>
  <c r="K836" i="2" s="1"/>
  <c r="H836" i="2"/>
  <c r="A838" i="2"/>
  <c r="B837" i="2"/>
  <c r="D837" i="2"/>
  <c r="F681" i="2" l="1"/>
  <c r="J681" i="2" s="1"/>
  <c r="M681" i="2" s="1"/>
  <c r="P681" i="2" s="1"/>
  <c r="H837" i="2"/>
  <c r="G837" i="2"/>
  <c r="I837" i="2" s="1"/>
  <c r="K837" i="2" s="1"/>
  <c r="A839" i="2"/>
  <c r="B838" i="2"/>
  <c r="D838" i="2"/>
  <c r="O836" i="2"/>
  <c r="N836" i="2"/>
  <c r="F682" i="2" l="1"/>
  <c r="J682" i="2" s="1"/>
  <c r="M682" i="2" s="1"/>
  <c r="P682" i="2" s="1"/>
  <c r="H838" i="2"/>
  <c r="G838" i="2"/>
  <c r="I838" i="2" s="1"/>
  <c r="K838" i="2" s="1"/>
  <c r="A840" i="2"/>
  <c r="B839" i="2"/>
  <c r="D839" i="2"/>
  <c r="N837" i="2"/>
  <c r="O837" i="2"/>
  <c r="F683" i="2" l="1"/>
  <c r="J683" i="2" s="1"/>
  <c r="M683" i="2" s="1"/>
  <c r="P683" i="2" s="1"/>
  <c r="B840" i="2"/>
  <c r="A841" i="2"/>
  <c r="D840" i="2"/>
  <c r="H839" i="2"/>
  <c r="G839" i="2"/>
  <c r="I839" i="2" s="1"/>
  <c r="K839" i="2" s="1"/>
  <c r="N838" i="2"/>
  <c r="O838" i="2"/>
  <c r="F684" i="2" l="1"/>
  <c r="J684" i="2" s="1"/>
  <c r="M684" i="2" s="1"/>
  <c r="P684" i="2" s="1"/>
  <c r="N839" i="2"/>
  <c r="O839" i="2"/>
  <c r="G840" i="2"/>
  <c r="I840" i="2" s="1"/>
  <c r="K840" i="2" s="1"/>
  <c r="H840" i="2"/>
  <c r="A842" i="2"/>
  <c r="D841" i="2"/>
  <c r="B841" i="2"/>
  <c r="F685" i="2" l="1"/>
  <c r="J685" i="2" s="1"/>
  <c r="M685" i="2" s="1"/>
  <c r="P685" i="2" s="1"/>
  <c r="O840" i="2"/>
  <c r="N840" i="2"/>
  <c r="H841" i="2"/>
  <c r="G841" i="2"/>
  <c r="I841" i="2" s="1"/>
  <c r="K841" i="2" s="1"/>
  <c r="A843" i="2"/>
  <c r="D842" i="2"/>
  <c r="B842" i="2"/>
  <c r="F686" i="2" l="1"/>
  <c r="J686" i="2" s="1"/>
  <c r="M686" i="2" s="1"/>
  <c r="P686" i="2" s="1"/>
  <c r="N841" i="2"/>
  <c r="O841" i="2"/>
  <c r="H842" i="2"/>
  <c r="G842" i="2"/>
  <c r="I842" i="2" s="1"/>
  <c r="K842" i="2" s="1"/>
  <c r="A844" i="2"/>
  <c r="D843" i="2"/>
  <c r="B843" i="2"/>
  <c r="F687" i="2" l="1"/>
  <c r="J687" i="2" s="1"/>
  <c r="M687" i="2" s="1"/>
  <c r="P687" i="2" s="1"/>
  <c r="O842" i="2"/>
  <c r="N842" i="2"/>
  <c r="H843" i="2"/>
  <c r="G843" i="2"/>
  <c r="I843" i="2" s="1"/>
  <c r="K843" i="2" s="1"/>
  <c r="D844" i="2"/>
  <c r="B844" i="2"/>
  <c r="A845" i="2"/>
  <c r="F688" i="2" l="1"/>
  <c r="J688" i="2" s="1"/>
  <c r="M688" i="2" s="1"/>
  <c r="P688" i="2" s="1"/>
  <c r="A846" i="2"/>
  <c r="B845" i="2"/>
  <c r="D845" i="2"/>
  <c r="G844" i="2"/>
  <c r="I844" i="2" s="1"/>
  <c r="K844" i="2" s="1"/>
  <c r="H844" i="2"/>
  <c r="N843" i="2"/>
  <c r="O843" i="2"/>
  <c r="F689" i="2" l="1"/>
  <c r="J689" i="2" s="1"/>
  <c r="M689" i="2" s="1"/>
  <c r="P689" i="2" s="1"/>
  <c r="O844" i="2"/>
  <c r="N844" i="2"/>
  <c r="H845" i="2"/>
  <c r="G845" i="2"/>
  <c r="I845" i="2" s="1"/>
  <c r="K845" i="2" s="1"/>
  <c r="B846" i="2"/>
  <c r="D846" i="2"/>
  <c r="A847" i="2"/>
  <c r="F690" i="2" l="1"/>
  <c r="J690" i="2" s="1"/>
  <c r="M690" i="2" s="1"/>
  <c r="P690" i="2" s="1"/>
  <c r="A848" i="2"/>
  <c r="D847" i="2"/>
  <c r="B847" i="2"/>
  <c r="N845" i="2"/>
  <c r="O845" i="2"/>
  <c r="H846" i="2"/>
  <c r="G846" i="2"/>
  <c r="I846" i="2" s="1"/>
  <c r="K846" i="2" s="1"/>
  <c r="F691" i="2" l="1"/>
  <c r="J691" i="2" s="1"/>
  <c r="M691" i="2" s="1"/>
  <c r="P691" i="2" s="1"/>
  <c r="O846" i="2"/>
  <c r="N846" i="2"/>
  <c r="G847" i="2"/>
  <c r="I847" i="2" s="1"/>
  <c r="K847" i="2" s="1"/>
  <c r="H847" i="2"/>
  <c r="B848" i="2"/>
  <c r="D848" i="2"/>
  <c r="A849" i="2"/>
  <c r="F692" i="2" l="1"/>
  <c r="J692" i="2" s="1"/>
  <c r="M692" i="2" s="1"/>
  <c r="P692" i="2" s="1"/>
  <c r="G848" i="2"/>
  <c r="I848" i="2" s="1"/>
  <c r="K848" i="2" s="1"/>
  <c r="H848" i="2"/>
  <c r="B849" i="2"/>
  <c r="D849" i="2"/>
  <c r="A850" i="2"/>
  <c r="O847" i="2"/>
  <c r="N847" i="2"/>
  <c r="F693" i="2" l="1"/>
  <c r="J693" i="2" s="1"/>
  <c r="M693" i="2" s="1"/>
  <c r="P693" i="2" s="1"/>
  <c r="A851" i="2"/>
  <c r="B850" i="2"/>
  <c r="D850" i="2"/>
  <c r="H849" i="2"/>
  <c r="G849" i="2"/>
  <c r="I849" i="2" s="1"/>
  <c r="K849" i="2" s="1"/>
  <c r="N848" i="2"/>
  <c r="O848" i="2"/>
  <c r="F694" i="2" l="1"/>
  <c r="J694" i="2" s="1"/>
  <c r="M694" i="2" s="1"/>
  <c r="P694" i="2" s="1"/>
  <c r="N849" i="2"/>
  <c r="O849" i="2"/>
  <c r="G850" i="2"/>
  <c r="I850" i="2" s="1"/>
  <c r="K850" i="2" s="1"/>
  <c r="H850" i="2"/>
  <c r="B851" i="2"/>
  <c r="D851" i="2"/>
  <c r="A852" i="2"/>
  <c r="F695" i="2" l="1"/>
  <c r="J695" i="2" s="1"/>
  <c r="M695" i="2" s="1"/>
  <c r="P695" i="2" s="1"/>
  <c r="A853" i="2"/>
  <c r="D852" i="2"/>
  <c r="B852" i="2"/>
  <c r="H851" i="2"/>
  <c r="G851" i="2"/>
  <c r="I851" i="2" s="1"/>
  <c r="K851" i="2" s="1"/>
  <c r="N850" i="2"/>
  <c r="O850" i="2"/>
  <c r="F696" i="2" l="1"/>
  <c r="J696" i="2" s="1"/>
  <c r="M696" i="2" s="1"/>
  <c r="P696" i="2" s="1"/>
  <c r="O851" i="2"/>
  <c r="N851" i="2"/>
  <c r="H852" i="2"/>
  <c r="G852" i="2"/>
  <c r="I852" i="2" s="1"/>
  <c r="K852" i="2" s="1"/>
  <c r="A854" i="2"/>
  <c r="B853" i="2"/>
  <c r="D853" i="2"/>
  <c r="F697" i="2" l="1"/>
  <c r="J697" i="2" s="1"/>
  <c r="M697" i="2" s="1"/>
  <c r="P697" i="2" s="1"/>
  <c r="N852" i="2"/>
  <c r="O852" i="2"/>
  <c r="G853" i="2"/>
  <c r="I853" i="2" s="1"/>
  <c r="K853" i="2" s="1"/>
  <c r="H853" i="2"/>
  <c r="B854" i="2"/>
  <c r="D854" i="2"/>
  <c r="A855" i="2"/>
  <c r="F698" i="2" l="1"/>
  <c r="J698" i="2" s="1"/>
  <c r="M698" i="2" s="1"/>
  <c r="P698" i="2" s="1"/>
  <c r="A856" i="2"/>
  <c r="B855" i="2"/>
  <c r="D855" i="2"/>
  <c r="G854" i="2"/>
  <c r="I854" i="2" s="1"/>
  <c r="K854" i="2" s="1"/>
  <c r="H854" i="2"/>
  <c r="N853" i="2"/>
  <c r="O853" i="2"/>
  <c r="F699" i="2" l="1"/>
  <c r="J699" i="2" s="1"/>
  <c r="M699" i="2" s="1"/>
  <c r="P699" i="2" s="1"/>
  <c r="N854" i="2"/>
  <c r="O854" i="2"/>
  <c r="H855" i="2"/>
  <c r="G855" i="2"/>
  <c r="I855" i="2" s="1"/>
  <c r="K855" i="2" s="1"/>
  <c r="D856" i="2"/>
  <c r="B856" i="2"/>
  <c r="A857" i="2"/>
  <c r="F700" i="2" l="1"/>
  <c r="J700" i="2" s="1"/>
  <c r="M700" i="2" s="1"/>
  <c r="P700" i="2" s="1"/>
  <c r="B857" i="2"/>
  <c r="D857" i="2"/>
  <c r="A858" i="2"/>
  <c r="H856" i="2"/>
  <c r="G856" i="2"/>
  <c r="I856" i="2" s="1"/>
  <c r="K856" i="2" s="1"/>
  <c r="O855" i="2"/>
  <c r="N855" i="2"/>
  <c r="F701" i="2" l="1"/>
  <c r="J701" i="2" s="1"/>
  <c r="M701" i="2" s="1"/>
  <c r="P701" i="2" s="1"/>
  <c r="O856" i="2"/>
  <c r="N856" i="2"/>
  <c r="D858" i="2"/>
  <c r="B858" i="2"/>
  <c r="A859" i="2"/>
  <c r="G857" i="2"/>
  <c r="I857" i="2" s="1"/>
  <c r="K857" i="2" s="1"/>
  <c r="H857" i="2"/>
  <c r="F702" i="2" l="1"/>
  <c r="J702" i="2" s="1"/>
  <c r="M702" i="2" s="1"/>
  <c r="P702" i="2" s="1"/>
  <c r="N857" i="2"/>
  <c r="O857" i="2"/>
  <c r="A860" i="2"/>
  <c r="B859" i="2"/>
  <c r="D859" i="2"/>
  <c r="G858" i="2"/>
  <c r="I858" i="2" s="1"/>
  <c r="K858" i="2" s="1"/>
  <c r="H858" i="2"/>
  <c r="F703" i="2" l="1"/>
  <c r="J703" i="2" s="1"/>
  <c r="M703" i="2" s="1"/>
  <c r="P703" i="2" s="1"/>
  <c r="H859" i="2"/>
  <c r="G859" i="2"/>
  <c r="I859" i="2" s="1"/>
  <c r="K859" i="2" s="1"/>
  <c r="A861" i="2"/>
  <c r="B860" i="2"/>
  <c r="D860" i="2"/>
  <c r="O858" i="2"/>
  <c r="N858" i="2"/>
  <c r="F704" i="2" l="1"/>
  <c r="J704" i="2" s="1"/>
  <c r="M704" i="2" s="1"/>
  <c r="P704" i="2" s="1"/>
  <c r="G860" i="2"/>
  <c r="I860" i="2" s="1"/>
  <c r="K860" i="2" s="1"/>
  <c r="H860" i="2"/>
  <c r="B861" i="2"/>
  <c r="D861" i="2"/>
  <c r="A862" i="2"/>
  <c r="N859" i="2"/>
  <c r="O859" i="2"/>
  <c r="F705" i="2" l="1"/>
  <c r="J705" i="2" s="1"/>
  <c r="M705" i="2" s="1"/>
  <c r="P705" i="2" s="1"/>
  <c r="G861" i="2"/>
  <c r="I861" i="2" s="1"/>
  <c r="K861" i="2" s="1"/>
  <c r="H861" i="2"/>
  <c r="A863" i="2"/>
  <c r="D862" i="2"/>
  <c r="B862" i="2"/>
  <c r="N860" i="2"/>
  <c r="O860" i="2"/>
  <c r="F706" i="2" l="1"/>
  <c r="J706" i="2" s="1"/>
  <c r="M706" i="2" s="1"/>
  <c r="P706" i="2" s="1"/>
  <c r="H862" i="2"/>
  <c r="G862" i="2"/>
  <c r="I862" i="2" s="1"/>
  <c r="K862" i="2" s="1"/>
  <c r="A864" i="2"/>
  <c r="D863" i="2"/>
  <c r="B863" i="2"/>
  <c r="O861" i="2"/>
  <c r="N861" i="2"/>
  <c r="F707" i="2" l="1"/>
  <c r="J707" i="2" s="1"/>
  <c r="M707" i="2" s="1"/>
  <c r="P707" i="2" s="1"/>
  <c r="H863" i="2"/>
  <c r="G863" i="2"/>
  <c r="I863" i="2" s="1"/>
  <c r="K863" i="2" s="1"/>
  <c r="A865" i="2"/>
  <c r="D864" i="2"/>
  <c r="B864" i="2"/>
  <c r="O862" i="2"/>
  <c r="N862" i="2"/>
  <c r="F708" i="2" l="1"/>
  <c r="J708" i="2" s="1"/>
  <c r="M708" i="2" s="1"/>
  <c r="P708" i="2" s="1"/>
  <c r="B865" i="2"/>
  <c r="D865" i="2"/>
  <c r="A866" i="2"/>
  <c r="G864" i="2"/>
  <c r="I864" i="2" s="1"/>
  <c r="K864" i="2" s="1"/>
  <c r="H864" i="2"/>
  <c r="N863" i="2"/>
  <c r="O863" i="2"/>
  <c r="F709" i="2" l="1"/>
  <c r="J709" i="2" s="1"/>
  <c r="M709" i="2" s="1"/>
  <c r="P709" i="2" s="1"/>
  <c r="O864" i="2"/>
  <c r="N864" i="2"/>
  <c r="A867" i="2"/>
  <c r="D866" i="2"/>
  <c r="B866" i="2"/>
  <c r="G865" i="2"/>
  <c r="I865" i="2" s="1"/>
  <c r="K865" i="2" s="1"/>
  <c r="H865" i="2"/>
  <c r="F710" i="2" l="1"/>
  <c r="J710" i="2" s="1"/>
  <c r="M710" i="2" s="1"/>
  <c r="P710" i="2" s="1"/>
  <c r="N865" i="2"/>
  <c r="O865" i="2"/>
  <c r="A868" i="2"/>
  <c r="D867" i="2"/>
  <c r="B867" i="2"/>
  <c r="H866" i="2"/>
  <c r="G866" i="2"/>
  <c r="I866" i="2" s="1"/>
  <c r="K866" i="2" s="1"/>
  <c r="F711" i="2" l="1"/>
  <c r="J711" i="2" s="1"/>
  <c r="M711" i="2" s="1"/>
  <c r="P711" i="2" s="1"/>
  <c r="O866" i="2"/>
  <c r="N866" i="2"/>
  <c r="H867" i="2"/>
  <c r="G867" i="2"/>
  <c r="I867" i="2" s="1"/>
  <c r="K867" i="2" s="1"/>
  <c r="A869" i="2"/>
  <c r="D868" i="2"/>
  <c r="B868" i="2"/>
  <c r="F712" i="2" l="1"/>
  <c r="J712" i="2" s="1"/>
  <c r="M712" i="2" s="1"/>
  <c r="P712" i="2" s="1"/>
  <c r="A870" i="2"/>
  <c r="B869" i="2"/>
  <c r="D869" i="2"/>
  <c r="N867" i="2"/>
  <c r="O867" i="2"/>
  <c r="H868" i="2"/>
  <c r="G868" i="2"/>
  <c r="I868" i="2" s="1"/>
  <c r="K868" i="2" s="1"/>
  <c r="F713" i="2" l="1"/>
  <c r="J713" i="2" s="1"/>
  <c r="M713" i="2" s="1"/>
  <c r="P713" i="2" s="1"/>
  <c r="N868" i="2"/>
  <c r="O868" i="2"/>
  <c r="G869" i="2"/>
  <c r="I869" i="2" s="1"/>
  <c r="K869" i="2" s="1"/>
  <c r="H869" i="2"/>
  <c r="D870" i="2"/>
  <c r="B870" i="2"/>
  <c r="A871" i="2"/>
  <c r="F714" i="2" l="1"/>
  <c r="J714" i="2" s="1"/>
  <c r="M714" i="2" s="1"/>
  <c r="P714" i="2" s="1"/>
  <c r="D871" i="2"/>
  <c r="A872" i="2"/>
  <c r="B871" i="2"/>
  <c r="G870" i="2"/>
  <c r="I870" i="2" s="1"/>
  <c r="K870" i="2" s="1"/>
  <c r="H870" i="2"/>
  <c r="N869" i="2"/>
  <c r="O869" i="2"/>
  <c r="F715" i="2" l="1"/>
  <c r="J715" i="2" s="1"/>
  <c r="M715" i="2" s="1"/>
  <c r="P715" i="2" s="1"/>
  <c r="O870" i="2"/>
  <c r="N870" i="2"/>
  <c r="A873" i="2"/>
  <c r="D872" i="2"/>
  <c r="B872" i="2"/>
  <c r="H871" i="2"/>
  <c r="G871" i="2"/>
  <c r="I871" i="2" s="1"/>
  <c r="K871" i="2" s="1"/>
  <c r="F716" i="2" l="1"/>
  <c r="J716" i="2" s="1"/>
  <c r="M716" i="2" s="1"/>
  <c r="P716" i="2" s="1"/>
  <c r="N871" i="2"/>
  <c r="O871" i="2"/>
  <c r="G872" i="2"/>
  <c r="I872" i="2" s="1"/>
  <c r="K872" i="2" s="1"/>
  <c r="H872" i="2"/>
  <c r="D873" i="2"/>
  <c r="B873" i="2"/>
  <c r="A874" i="2"/>
  <c r="F717" i="2" l="1"/>
  <c r="J717" i="2" s="1"/>
  <c r="M717" i="2" s="1"/>
  <c r="P717" i="2" s="1"/>
  <c r="D874" i="2"/>
  <c r="B874" i="2"/>
  <c r="A875" i="2"/>
  <c r="G873" i="2"/>
  <c r="I873" i="2" s="1"/>
  <c r="K873" i="2" s="1"/>
  <c r="H873" i="2"/>
  <c r="N872" i="2"/>
  <c r="O872" i="2"/>
  <c r="F718" i="2" l="1"/>
  <c r="J718" i="2" s="1"/>
  <c r="M718" i="2" s="1"/>
  <c r="P718" i="2" s="1"/>
  <c r="N873" i="2"/>
  <c r="O873" i="2"/>
  <c r="B875" i="2"/>
  <c r="A876" i="2"/>
  <c r="D875" i="2"/>
  <c r="H874" i="2"/>
  <c r="G874" i="2"/>
  <c r="I874" i="2" s="1"/>
  <c r="K874" i="2" s="1"/>
  <c r="F719" i="2" l="1"/>
  <c r="J719" i="2" s="1"/>
  <c r="M719" i="2" s="1"/>
  <c r="P719" i="2" s="1"/>
  <c r="N874" i="2"/>
  <c r="O874" i="2"/>
  <c r="H875" i="2"/>
  <c r="G875" i="2"/>
  <c r="I875" i="2" s="1"/>
  <c r="K875" i="2" s="1"/>
  <c r="A877" i="2"/>
  <c r="B876" i="2"/>
  <c r="D876" i="2"/>
  <c r="F720" i="2" l="1"/>
  <c r="J720" i="2" s="1"/>
  <c r="M720" i="2" s="1"/>
  <c r="P720" i="2" s="1"/>
  <c r="H876" i="2"/>
  <c r="G876" i="2"/>
  <c r="I876" i="2" s="1"/>
  <c r="K876" i="2" s="1"/>
  <c r="A878" i="2"/>
  <c r="B877" i="2"/>
  <c r="D877" i="2"/>
  <c r="N875" i="2"/>
  <c r="O875" i="2"/>
  <c r="F721" i="2" l="1"/>
  <c r="J721" i="2" s="1"/>
  <c r="M721" i="2" s="1"/>
  <c r="P721" i="2" s="1"/>
  <c r="H877" i="2"/>
  <c r="G877" i="2"/>
  <c r="I877" i="2" s="1"/>
  <c r="K877" i="2" s="1"/>
  <c r="A879" i="2"/>
  <c r="D878" i="2"/>
  <c r="B878" i="2"/>
  <c r="O876" i="2"/>
  <c r="N876" i="2"/>
  <c r="F722" i="2" l="1"/>
  <c r="J722" i="2" s="1"/>
  <c r="M722" i="2" s="1"/>
  <c r="P722" i="2" s="1"/>
  <c r="H878" i="2"/>
  <c r="G878" i="2"/>
  <c r="I878" i="2" s="1"/>
  <c r="K878" i="2" s="1"/>
  <c r="A880" i="2"/>
  <c r="B879" i="2"/>
  <c r="D879" i="2"/>
  <c r="O877" i="2"/>
  <c r="N877" i="2"/>
  <c r="F723" i="2" l="1"/>
  <c r="J723" i="2" s="1"/>
  <c r="M723" i="2" s="1"/>
  <c r="P723" i="2" s="1"/>
  <c r="H879" i="2"/>
  <c r="G879" i="2"/>
  <c r="I879" i="2" s="1"/>
  <c r="K879" i="2" s="1"/>
  <c r="A881" i="2"/>
  <c r="D880" i="2"/>
  <c r="B880" i="2"/>
  <c r="O878" i="2"/>
  <c r="N878" i="2"/>
  <c r="F724" i="2" l="1"/>
  <c r="J724" i="2" s="1"/>
  <c r="M724" i="2" s="1"/>
  <c r="P724" i="2" s="1"/>
  <c r="A882" i="2"/>
  <c r="B881" i="2"/>
  <c r="D881" i="2"/>
  <c r="H880" i="2"/>
  <c r="G880" i="2"/>
  <c r="I880" i="2" s="1"/>
  <c r="K880" i="2" s="1"/>
  <c r="N879" i="2"/>
  <c r="O879" i="2"/>
  <c r="F725" i="2" l="1"/>
  <c r="J725" i="2" s="1"/>
  <c r="M725" i="2" s="1"/>
  <c r="P725" i="2" s="1"/>
  <c r="O880" i="2"/>
  <c r="N880" i="2"/>
  <c r="G881" i="2"/>
  <c r="I881" i="2" s="1"/>
  <c r="K881" i="2" s="1"/>
  <c r="H881" i="2"/>
  <c r="D882" i="2"/>
  <c r="B882" i="2"/>
  <c r="A883" i="2"/>
  <c r="F726" i="2" l="1"/>
  <c r="J726" i="2" s="1"/>
  <c r="M726" i="2" s="1"/>
  <c r="P726" i="2" s="1"/>
  <c r="D883" i="2"/>
  <c r="B883" i="2"/>
  <c r="A884" i="2"/>
  <c r="G882" i="2"/>
  <c r="I882" i="2" s="1"/>
  <c r="K882" i="2" s="1"/>
  <c r="H882" i="2"/>
  <c r="O881" i="2"/>
  <c r="N881" i="2"/>
  <c r="F727" i="2" l="1"/>
  <c r="J727" i="2" s="1"/>
  <c r="M727" i="2" s="1"/>
  <c r="P727" i="2" s="1"/>
  <c r="D884" i="2"/>
  <c r="B884" i="2"/>
  <c r="A885" i="2"/>
  <c r="N882" i="2"/>
  <c r="O882" i="2"/>
  <c r="G883" i="2"/>
  <c r="I883" i="2" s="1"/>
  <c r="K883" i="2" s="1"/>
  <c r="H883" i="2"/>
  <c r="F728" i="2" l="1"/>
  <c r="J728" i="2" s="1"/>
  <c r="M728" i="2" s="1"/>
  <c r="P728" i="2" s="1"/>
  <c r="D885" i="2"/>
  <c r="B885" i="2"/>
  <c r="A886" i="2"/>
  <c r="N883" i="2"/>
  <c r="O883" i="2"/>
  <c r="G884" i="2"/>
  <c r="I884" i="2" s="1"/>
  <c r="K884" i="2" s="1"/>
  <c r="H884" i="2"/>
  <c r="F729" i="2" l="1"/>
  <c r="J729" i="2" s="1"/>
  <c r="M729" i="2" s="1"/>
  <c r="P729" i="2" s="1"/>
  <c r="N884" i="2"/>
  <c r="O884" i="2"/>
  <c r="D886" i="2"/>
  <c r="A887" i="2"/>
  <c r="B886" i="2"/>
  <c r="H885" i="2"/>
  <c r="G885" i="2"/>
  <c r="I885" i="2" s="1"/>
  <c r="K885" i="2" s="1"/>
  <c r="F730" i="2" l="1"/>
  <c r="J730" i="2" s="1"/>
  <c r="M730" i="2" s="1"/>
  <c r="P730" i="2" s="1"/>
  <c r="A888" i="2"/>
  <c r="D887" i="2"/>
  <c r="B887" i="2"/>
  <c r="O885" i="2"/>
  <c r="N885" i="2"/>
  <c r="H886" i="2"/>
  <c r="G886" i="2"/>
  <c r="I886" i="2" s="1"/>
  <c r="K886" i="2" s="1"/>
  <c r="F731" i="2" l="1"/>
  <c r="J731" i="2" s="1"/>
  <c r="M731" i="2" s="1"/>
  <c r="P731" i="2" s="1"/>
  <c r="N886" i="2"/>
  <c r="O886" i="2"/>
  <c r="H887" i="2"/>
  <c r="G887" i="2"/>
  <c r="I887" i="2" s="1"/>
  <c r="K887" i="2" s="1"/>
  <c r="A889" i="2"/>
  <c r="D888" i="2"/>
  <c r="B888" i="2"/>
  <c r="F732" i="2" l="1"/>
  <c r="J732" i="2" s="1"/>
  <c r="M732" i="2" s="1"/>
  <c r="P732" i="2" s="1"/>
  <c r="G888" i="2"/>
  <c r="I888" i="2" s="1"/>
  <c r="K888" i="2" s="1"/>
  <c r="H888" i="2"/>
  <c r="B889" i="2"/>
  <c r="D889" i="2"/>
  <c r="A890" i="2"/>
  <c r="O887" i="2"/>
  <c r="N887" i="2"/>
  <c r="F733" i="2" l="1"/>
  <c r="J733" i="2" s="1"/>
  <c r="M733" i="2" s="1"/>
  <c r="P733" i="2" s="1"/>
  <c r="A891" i="2"/>
  <c r="B890" i="2"/>
  <c r="D890" i="2"/>
  <c r="G889" i="2"/>
  <c r="I889" i="2" s="1"/>
  <c r="K889" i="2" s="1"/>
  <c r="H889" i="2"/>
  <c r="N888" i="2"/>
  <c r="O888" i="2"/>
  <c r="F734" i="2" l="1"/>
  <c r="J734" i="2" s="1"/>
  <c r="M734" i="2" s="1"/>
  <c r="P734" i="2" s="1"/>
  <c r="H890" i="2"/>
  <c r="G890" i="2"/>
  <c r="I890" i="2" s="1"/>
  <c r="K890" i="2" s="1"/>
  <c r="O889" i="2"/>
  <c r="N889" i="2"/>
  <c r="A892" i="2"/>
  <c r="B891" i="2"/>
  <c r="D891" i="2"/>
  <c r="F735" i="2" l="1"/>
  <c r="J735" i="2" s="1"/>
  <c r="M735" i="2" s="1"/>
  <c r="P735" i="2" s="1"/>
  <c r="H891" i="2"/>
  <c r="G891" i="2"/>
  <c r="I891" i="2" s="1"/>
  <c r="K891" i="2" s="1"/>
  <c r="D892" i="2"/>
  <c r="A893" i="2"/>
  <c r="B892" i="2"/>
  <c r="N890" i="2"/>
  <c r="O890" i="2"/>
  <c r="F736" i="2" l="1"/>
  <c r="J736" i="2" s="1"/>
  <c r="M736" i="2" s="1"/>
  <c r="P736" i="2" s="1"/>
  <c r="B893" i="2"/>
  <c r="D893" i="2"/>
  <c r="A894" i="2"/>
  <c r="G892" i="2"/>
  <c r="I892" i="2" s="1"/>
  <c r="K892" i="2" s="1"/>
  <c r="H892" i="2"/>
  <c r="O891" i="2"/>
  <c r="N891" i="2"/>
  <c r="F737" i="2" l="1"/>
  <c r="J737" i="2" s="1"/>
  <c r="M737" i="2" s="1"/>
  <c r="P737" i="2" s="1"/>
  <c r="N892" i="2"/>
  <c r="O892" i="2"/>
  <c r="B894" i="2"/>
  <c r="D894" i="2"/>
  <c r="A895" i="2"/>
  <c r="G893" i="2"/>
  <c r="I893" i="2" s="1"/>
  <c r="K893" i="2" s="1"/>
  <c r="H893" i="2"/>
  <c r="F738" i="2" l="1"/>
  <c r="J738" i="2" s="1"/>
  <c r="M738" i="2" s="1"/>
  <c r="P738" i="2" s="1"/>
  <c r="O893" i="2"/>
  <c r="N893" i="2"/>
  <c r="D895" i="2"/>
  <c r="A896" i="2"/>
  <c r="B895" i="2"/>
  <c r="H894" i="2"/>
  <c r="G894" i="2"/>
  <c r="I894" i="2" s="1"/>
  <c r="K894" i="2" s="1"/>
  <c r="F739" i="2" l="1"/>
  <c r="J739" i="2" s="1"/>
  <c r="M739" i="2" s="1"/>
  <c r="P739" i="2" s="1"/>
  <c r="N894" i="2"/>
  <c r="O894" i="2"/>
  <c r="A897" i="2"/>
  <c r="B896" i="2"/>
  <c r="D896" i="2"/>
  <c r="H895" i="2"/>
  <c r="G895" i="2"/>
  <c r="I895" i="2" s="1"/>
  <c r="K895" i="2" s="1"/>
  <c r="F740" i="2" l="1"/>
  <c r="J740" i="2" s="1"/>
  <c r="M740" i="2" s="1"/>
  <c r="P740" i="2" s="1"/>
  <c r="N895" i="2"/>
  <c r="O895" i="2"/>
  <c r="H896" i="2"/>
  <c r="G896" i="2"/>
  <c r="I896" i="2" s="1"/>
  <c r="K896" i="2" s="1"/>
  <c r="A898" i="2"/>
  <c r="D897" i="2"/>
  <c r="B897" i="2"/>
  <c r="F741" i="2" l="1"/>
  <c r="J741" i="2" s="1"/>
  <c r="M741" i="2" s="1"/>
  <c r="P741" i="2" s="1"/>
  <c r="G897" i="2"/>
  <c r="I897" i="2" s="1"/>
  <c r="K897" i="2" s="1"/>
  <c r="H897" i="2"/>
  <c r="B898" i="2"/>
  <c r="A899" i="2"/>
  <c r="D898" i="2"/>
  <c r="N896" i="2"/>
  <c r="O896" i="2"/>
  <c r="F742" i="2" l="1"/>
  <c r="J742" i="2" s="1"/>
  <c r="M742" i="2" s="1"/>
  <c r="P742" i="2" s="1"/>
  <c r="G898" i="2"/>
  <c r="I898" i="2" s="1"/>
  <c r="K898" i="2" s="1"/>
  <c r="H898" i="2"/>
  <c r="A900" i="2"/>
  <c r="B899" i="2"/>
  <c r="D899" i="2"/>
  <c r="O897" i="2"/>
  <c r="N897" i="2"/>
  <c r="F743" i="2" l="1"/>
  <c r="J743" i="2" s="1"/>
  <c r="M743" i="2" s="1"/>
  <c r="P743" i="2" s="1"/>
  <c r="H899" i="2"/>
  <c r="G899" i="2"/>
  <c r="I899" i="2" s="1"/>
  <c r="K899" i="2" s="1"/>
  <c r="B900" i="2"/>
  <c r="A901" i="2"/>
  <c r="D900" i="2"/>
  <c r="N898" i="2"/>
  <c r="O898" i="2"/>
  <c r="F744" i="2" l="1"/>
  <c r="J744" i="2" s="1"/>
  <c r="M744" i="2" s="1"/>
  <c r="P744" i="2" s="1"/>
  <c r="H900" i="2"/>
  <c r="G900" i="2"/>
  <c r="I900" i="2" s="1"/>
  <c r="K900" i="2" s="1"/>
  <c r="A902" i="2"/>
  <c r="B901" i="2"/>
  <c r="D901" i="2"/>
  <c r="N899" i="2"/>
  <c r="O899" i="2"/>
  <c r="F745" i="2" l="1"/>
  <c r="J745" i="2" s="1"/>
  <c r="M745" i="2" s="1"/>
  <c r="P745" i="2" s="1"/>
  <c r="H901" i="2"/>
  <c r="G901" i="2"/>
  <c r="I901" i="2" s="1"/>
  <c r="K901" i="2" s="1"/>
  <c r="A903" i="2"/>
  <c r="B902" i="2"/>
  <c r="D902" i="2"/>
  <c r="O900" i="2"/>
  <c r="N900" i="2"/>
  <c r="F746" i="2" l="1"/>
  <c r="J746" i="2" s="1"/>
  <c r="M746" i="2" s="1"/>
  <c r="P746" i="2" s="1"/>
  <c r="G902" i="2"/>
  <c r="I902" i="2" s="1"/>
  <c r="K902" i="2" s="1"/>
  <c r="H902" i="2"/>
  <c r="B903" i="2"/>
  <c r="D903" i="2"/>
  <c r="A904" i="2"/>
  <c r="O901" i="2"/>
  <c r="N901" i="2"/>
  <c r="F747" i="2" l="1"/>
  <c r="J747" i="2" s="1"/>
  <c r="M747" i="2" s="1"/>
  <c r="P747" i="2" s="1"/>
  <c r="A905" i="2"/>
  <c r="B904" i="2"/>
  <c r="D904" i="2"/>
  <c r="G903" i="2"/>
  <c r="I903" i="2" s="1"/>
  <c r="K903" i="2" s="1"/>
  <c r="H903" i="2"/>
  <c r="O902" i="2"/>
  <c r="N902" i="2"/>
  <c r="F748" i="2" l="1"/>
  <c r="J748" i="2" s="1"/>
  <c r="M748" i="2" s="1"/>
  <c r="P748" i="2" s="1"/>
  <c r="O903" i="2"/>
  <c r="N903" i="2"/>
  <c r="H904" i="2"/>
  <c r="G904" i="2"/>
  <c r="I904" i="2" s="1"/>
  <c r="K904" i="2" s="1"/>
  <c r="D905" i="2"/>
  <c r="A906" i="2"/>
  <c r="B905" i="2"/>
  <c r="F749" i="2" l="1"/>
  <c r="J749" i="2" s="1"/>
  <c r="M749" i="2" s="1"/>
  <c r="P749" i="2" s="1"/>
  <c r="D906" i="2"/>
  <c r="B906" i="2"/>
  <c r="A907" i="2"/>
  <c r="H905" i="2"/>
  <c r="G905" i="2"/>
  <c r="I905" i="2" s="1"/>
  <c r="K905" i="2" s="1"/>
  <c r="N904" i="2"/>
  <c r="O904" i="2"/>
  <c r="F750" i="2" l="1"/>
  <c r="J750" i="2" s="1"/>
  <c r="M750" i="2" s="1"/>
  <c r="P750" i="2" s="1"/>
  <c r="O905" i="2"/>
  <c r="N905" i="2"/>
  <c r="A908" i="2"/>
  <c r="D907" i="2"/>
  <c r="B907" i="2"/>
  <c r="G906" i="2"/>
  <c r="I906" i="2" s="1"/>
  <c r="K906" i="2" s="1"/>
  <c r="H906" i="2"/>
  <c r="F751" i="2" l="1"/>
  <c r="J751" i="2" s="1"/>
  <c r="M751" i="2" s="1"/>
  <c r="P751" i="2" s="1"/>
  <c r="N906" i="2"/>
  <c r="O906" i="2"/>
  <c r="H907" i="2"/>
  <c r="G907" i="2"/>
  <c r="I907" i="2" s="1"/>
  <c r="K907" i="2" s="1"/>
  <c r="A909" i="2"/>
  <c r="D908" i="2"/>
  <c r="B908" i="2"/>
  <c r="F752" i="2" l="1"/>
  <c r="J752" i="2" s="1"/>
  <c r="M752" i="2" s="1"/>
  <c r="P752" i="2" s="1"/>
  <c r="H908" i="2"/>
  <c r="G908" i="2"/>
  <c r="I908" i="2" s="1"/>
  <c r="K908" i="2" s="1"/>
  <c r="A910" i="2"/>
  <c r="D909" i="2"/>
  <c r="B909" i="2"/>
  <c r="N907" i="2"/>
  <c r="O907" i="2"/>
  <c r="F753" i="2" l="1"/>
  <c r="J753" i="2" s="1"/>
  <c r="M753" i="2" s="1"/>
  <c r="P753" i="2" s="1"/>
  <c r="H909" i="2"/>
  <c r="G909" i="2"/>
  <c r="I909" i="2" s="1"/>
  <c r="K909" i="2" s="1"/>
  <c r="A911" i="2"/>
  <c r="D910" i="2"/>
  <c r="B910" i="2"/>
  <c r="O908" i="2"/>
  <c r="N908" i="2"/>
  <c r="F754" i="2" l="1"/>
  <c r="J754" i="2" s="1"/>
  <c r="M754" i="2" s="1"/>
  <c r="P754" i="2" s="1"/>
  <c r="H910" i="2"/>
  <c r="G910" i="2"/>
  <c r="I910" i="2" s="1"/>
  <c r="K910" i="2" s="1"/>
  <c r="A912" i="2"/>
  <c r="D911" i="2"/>
  <c r="B911" i="2"/>
  <c r="N909" i="2"/>
  <c r="O909" i="2"/>
  <c r="F755" i="2" l="1"/>
  <c r="J755" i="2" s="1"/>
  <c r="M755" i="2" s="1"/>
  <c r="P755" i="2" s="1"/>
  <c r="H911" i="2"/>
  <c r="G911" i="2"/>
  <c r="I911" i="2" s="1"/>
  <c r="K911" i="2" s="1"/>
  <c r="A913" i="2"/>
  <c r="B912" i="2"/>
  <c r="D912" i="2"/>
  <c r="N910" i="2"/>
  <c r="O910" i="2"/>
  <c r="F756" i="2" l="1"/>
  <c r="J756" i="2" s="1"/>
  <c r="M756" i="2" s="1"/>
  <c r="P756" i="2" s="1"/>
  <c r="H912" i="2"/>
  <c r="G912" i="2"/>
  <c r="I912" i="2" s="1"/>
  <c r="K912" i="2" s="1"/>
  <c r="A914" i="2"/>
  <c r="D913" i="2"/>
  <c r="B913" i="2"/>
  <c r="O911" i="2"/>
  <c r="N911" i="2"/>
  <c r="F757" i="2" l="1"/>
  <c r="J757" i="2" s="1"/>
  <c r="M757" i="2" s="1"/>
  <c r="P757" i="2" s="1"/>
  <c r="H913" i="2"/>
  <c r="G913" i="2"/>
  <c r="I913" i="2" s="1"/>
  <c r="K913" i="2" s="1"/>
  <c r="A915" i="2"/>
  <c r="B914" i="2"/>
  <c r="D914" i="2"/>
  <c r="O912" i="2"/>
  <c r="N912" i="2"/>
  <c r="F758" i="2" l="1"/>
  <c r="J758" i="2" s="1"/>
  <c r="M758" i="2" s="1"/>
  <c r="P758" i="2" s="1"/>
  <c r="H914" i="2"/>
  <c r="G914" i="2"/>
  <c r="I914" i="2" s="1"/>
  <c r="K914" i="2" s="1"/>
  <c r="D915" i="2"/>
  <c r="A916" i="2"/>
  <c r="B915" i="2"/>
  <c r="N913" i="2"/>
  <c r="O913" i="2"/>
  <c r="F759" i="2" l="1"/>
  <c r="J759" i="2" s="1"/>
  <c r="M759" i="2" s="1"/>
  <c r="P759" i="2" s="1"/>
  <c r="A917" i="2"/>
  <c r="D916" i="2"/>
  <c r="B916" i="2"/>
  <c r="H915" i="2"/>
  <c r="G915" i="2"/>
  <c r="I915" i="2" s="1"/>
  <c r="K915" i="2" s="1"/>
  <c r="O914" i="2"/>
  <c r="N914" i="2"/>
  <c r="F760" i="2" l="1"/>
  <c r="J760" i="2" s="1"/>
  <c r="M760" i="2" s="1"/>
  <c r="P760" i="2" s="1"/>
  <c r="N915" i="2"/>
  <c r="O915" i="2"/>
  <c r="H916" i="2"/>
  <c r="G916" i="2"/>
  <c r="I916" i="2" s="1"/>
  <c r="K916" i="2" s="1"/>
  <c r="A918" i="2"/>
  <c r="B917" i="2"/>
  <c r="D917" i="2"/>
  <c r="F761" i="2" l="1"/>
  <c r="J761" i="2" s="1"/>
  <c r="M761" i="2" s="1"/>
  <c r="P761" i="2" s="1"/>
  <c r="H917" i="2"/>
  <c r="G917" i="2"/>
  <c r="I917" i="2" s="1"/>
  <c r="K917" i="2" s="1"/>
  <c r="A919" i="2"/>
  <c r="D918" i="2"/>
  <c r="B918" i="2"/>
  <c r="N916" i="2"/>
  <c r="O916" i="2"/>
  <c r="F762" i="2" l="1"/>
  <c r="J762" i="2" s="1"/>
  <c r="M762" i="2" s="1"/>
  <c r="P762" i="2" s="1"/>
  <c r="H918" i="2"/>
  <c r="G918" i="2"/>
  <c r="I918" i="2" s="1"/>
  <c r="K918" i="2" s="1"/>
  <c r="A920" i="2"/>
  <c r="B919" i="2"/>
  <c r="D919" i="2"/>
  <c r="N917" i="2"/>
  <c r="O917" i="2"/>
  <c r="F763" i="2" l="1"/>
  <c r="J763" i="2" s="1"/>
  <c r="M763" i="2" s="1"/>
  <c r="P763" i="2" s="1"/>
  <c r="H919" i="2"/>
  <c r="G919" i="2"/>
  <c r="I919" i="2" s="1"/>
  <c r="K919" i="2" s="1"/>
  <c r="A921" i="2"/>
  <c r="D920" i="2"/>
  <c r="B920" i="2"/>
  <c r="N918" i="2"/>
  <c r="O918" i="2"/>
  <c r="F764" i="2" l="1"/>
  <c r="J764" i="2" s="1"/>
  <c r="M764" i="2" s="1"/>
  <c r="P764" i="2" s="1"/>
  <c r="H920" i="2"/>
  <c r="G920" i="2"/>
  <c r="I920" i="2" s="1"/>
  <c r="K920" i="2" s="1"/>
  <c r="A922" i="2"/>
  <c r="D921" i="2"/>
  <c r="B921" i="2"/>
  <c r="O919" i="2"/>
  <c r="N919" i="2"/>
  <c r="F765" i="2" l="1"/>
  <c r="J765" i="2" s="1"/>
  <c r="M765" i="2" s="1"/>
  <c r="P765" i="2" s="1"/>
  <c r="H921" i="2"/>
  <c r="G921" i="2"/>
  <c r="I921" i="2" s="1"/>
  <c r="K921" i="2" s="1"/>
  <c r="D922" i="2"/>
  <c r="A923" i="2"/>
  <c r="B922" i="2"/>
  <c r="O920" i="2"/>
  <c r="N920" i="2"/>
  <c r="F766" i="2" l="1"/>
  <c r="J766" i="2" s="1"/>
  <c r="M766" i="2" s="1"/>
  <c r="P766" i="2" s="1"/>
  <c r="A924" i="2"/>
  <c r="D923" i="2"/>
  <c r="B923" i="2"/>
  <c r="G922" i="2"/>
  <c r="I922" i="2" s="1"/>
  <c r="K922" i="2" s="1"/>
  <c r="H922" i="2"/>
  <c r="N921" i="2"/>
  <c r="O921" i="2"/>
  <c r="F767" i="2" l="1"/>
  <c r="J767" i="2" s="1"/>
  <c r="M767" i="2" s="1"/>
  <c r="P767" i="2" s="1"/>
  <c r="O922" i="2"/>
  <c r="N922" i="2"/>
  <c r="H923" i="2"/>
  <c r="G923" i="2"/>
  <c r="I923" i="2" s="1"/>
  <c r="K923" i="2" s="1"/>
  <c r="A925" i="2"/>
  <c r="B924" i="2"/>
  <c r="D924" i="2"/>
  <c r="F768" i="2" l="1"/>
  <c r="J768" i="2" s="1"/>
  <c r="M768" i="2" s="1"/>
  <c r="P768" i="2" s="1"/>
  <c r="G924" i="2"/>
  <c r="I924" i="2" s="1"/>
  <c r="K924" i="2" s="1"/>
  <c r="H924" i="2"/>
  <c r="B925" i="2"/>
  <c r="D925" i="2"/>
  <c r="A926" i="2"/>
  <c r="N923" i="2"/>
  <c r="O923" i="2"/>
  <c r="F769" i="2" l="1"/>
  <c r="J769" i="2" s="1"/>
  <c r="M769" i="2" s="1"/>
  <c r="P769" i="2" s="1"/>
  <c r="A927" i="2"/>
  <c r="B926" i="2"/>
  <c r="D926" i="2"/>
  <c r="G925" i="2"/>
  <c r="I925" i="2" s="1"/>
  <c r="K925" i="2" s="1"/>
  <c r="H925" i="2"/>
  <c r="O924" i="2"/>
  <c r="N924" i="2"/>
  <c r="F770" i="2" l="1"/>
  <c r="J770" i="2" s="1"/>
  <c r="M770" i="2" s="1"/>
  <c r="P770" i="2" s="1"/>
  <c r="N925" i="2"/>
  <c r="O925" i="2"/>
  <c r="H926" i="2"/>
  <c r="G926" i="2"/>
  <c r="I926" i="2" s="1"/>
  <c r="K926" i="2" s="1"/>
  <c r="A928" i="2"/>
  <c r="B927" i="2"/>
  <c r="D927" i="2"/>
  <c r="F771" i="2" l="1"/>
  <c r="J771" i="2" s="1"/>
  <c r="M771" i="2" s="1"/>
  <c r="P771" i="2" s="1"/>
  <c r="H927" i="2"/>
  <c r="G927" i="2"/>
  <c r="I927" i="2" s="1"/>
  <c r="K927" i="2" s="1"/>
  <c r="A929" i="2"/>
  <c r="B928" i="2"/>
  <c r="D928" i="2"/>
  <c r="N926" i="2"/>
  <c r="O926" i="2"/>
  <c r="F772" i="2" l="1"/>
  <c r="J772" i="2" s="1"/>
  <c r="M772" i="2" s="1"/>
  <c r="P772" i="2" s="1"/>
  <c r="H928" i="2"/>
  <c r="G928" i="2"/>
  <c r="I928" i="2" s="1"/>
  <c r="K928" i="2" s="1"/>
  <c r="D929" i="2"/>
  <c r="B929" i="2"/>
  <c r="A930" i="2"/>
  <c r="O927" i="2"/>
  <c r="N927" i="2"/>
  <c r="F773" i="2" l="1"/>
  <c r="J773" i="2" s="1"/>
  <c r="M773" i="2" s="1"/>
  <c r="P773" i="2" s="1"/>
  <c r="A931" i="2"/>
  <c r="D930" i="2"/>
  <c r="B930" i="2"/>
  <c r="G929" i="2"/>
  <c r="I929" i="2" s="1"/>
  <c r="K929" i="2" s="1"/>
  <c r="H929" i="2"/>
  <c r="O928" i="2"/>
  <c r="N928" i="2"/>
  <c r="F774" i="2" l="1"/>
  <c r="J774" i="2" s="1"/>
  <c r="M774" i="2" s="1"/>
  <c r="P774" i="2" s="1"/>
  <c r="N929" i="2"/>
  <c r="O929" i="2"/>
  <c r="G930" i="2"/>
  <c r="I930" i="2" s="1"/>
  <c r="K930" i="2" s="1"/>
  <c r="H930" i="2"/>
  <c r="B931" i="2"/>
  <c r="A932" i="2"/>
  <c r="D931" i="2"/>
  <c r="F775" i="2" l="1"/>
  <c r="J775" i="2" s="1"/>
  <c r="M775" i="2" s="1"/>
  <c r="P775" i="2" s="1"/>
  <c r="N930" i="2"/>
  <c r="O930" i="2"/>
  <c r="G931" i="2"/>
  <c r="I931" i="2" s="1"/>
  <c r="K931" i="2" s="1"/>
  <c r="H931" i="2"/>
  <c r="B932" i="2"/>
  <c r="D932" i="2"/>
  <c r="A933" i="2"/>
  <c r="F776" i="2" l="1"/>
  <c r="J776" i="2" s="1"/>
  <c r="M776" i="2" s="1"/>
  <c r="P776" i="2" s="1"/>
  <c r="D933" i="2"/>
  <c r="B933" i="2"/>
  <c r="A934" i="2"/>
  <c r="H932" i="2"/>
  <c r="G932" i="2"/>
  <c r="I932" i="2" s="1"/>
  <c r="K932" i="2" s="1"/>
  <c r="N931" i="2"/>
  <c r="O931" i="2"/>
  <c r="F777" i="2" l="1"/>
  <c r="J777" i="2" s="1"/>
  <c r="M777" i="2" s="1"/>
  <c r="P777" i="2" s="1"/>
  <c r="A935" i="2"/>
  <c r="D934" i="2"/>
  <c r="B934" i="2"/>
  <c r="O932" i="2"/>
  <c r="N932" i="2"/>
  <c r="H933" i="2"/>
  <c r="G933" i="2"/>
  <c r="I933" i="2" s="1"/>
  <c r="K933" i="2" s="1"/>
  <c r="F778" i="2" l="1"/>
  <c r="J778" i="2" s="1"/>
  <c r="M778" i="2" s="1"/>
  <c r="P778" i="2" s="1"/>
  <c r="O933" i="2"/>
  <c r="N933" i="2"/>
  <c r="G934" i="2"/>
  <c r="I934" i="2" s="1"/>
  <c r="K934" i="2" s="1"/>
  <c r="H934" i="2"/>
  <c r="A936" i="2"/>
  <c r="B935" i="2"/>
  <c r="D935" i="2"/>
  <c r="F779" i="2" l="1"/>
  <c r="J779" i="2" s="1"/>
  <c r="M779" i="2" s="1"/>
  <c r="P779" i="2" s="1"/>
  <c r="B936" i="2"/>
  <c r="D936" i="2"/>
  <c r="A937" i="2"/>
  <c r="G935" i="2"/>
  <c r="I935" i="2" s="1"/>
  <c r="K935" i="2" s="1"/>
  <c r="H935" i="2"/>
  <c r="N934" i="2"/>
  <c r="O934" i="2"/>
  <c r="F780" i="2" l="1"/>
  <c r="J780" i="2" s="1"/>
  <c r="M780" i="2" s="1"/>
  <c r="P780" i="2" s="1"/>
  <c r="A938" i="2"/>
  <c r="D937" i="2"/>
  <c r="B937" i="2"/>
  <c r="G936" i="2"/>
  <c r="I936" i="2" s="1"/>
  <c r="K936" i="2" s="1"/>
  <c r="H936" i="2"/>
  <c r="O935" i="2"/>
  <c r="N935" i="2"/>
  <c r="F781" i="2" l="1"/>
  <c r="J781" i="2" s="1"/>
  <c r="M781" i="2" s="1"/>
  <c r="P781" i="2" s="1"/>
  <c r="D938" i="2"/>
  <c r="B938" i="2"/>
  <c r="A939" i="2"/>
  <c r="N936" i="2"/>
  <c r="O936" i="2"/>
  <c r="G937" i="2"/>
  <c r="I937" i="2" s="1"/>
  <c r="K937" i="2" s="1"/>
  <c r="H937" i="2"/>
  <c r="F782" i="2" l="1"/>
  <c r="J782" i="2" s="1"/>
  <c r="M782" i="2" s="1"/>
  <c r="P782" i="2" s="1"/>
  <c r="N937" i="2"/>
  <c r="O937" i="2"/>
  <c r="D939" i="2"/>
  <c r="B939" i="2"/>
  <c r="A940" i="2"/>
  <c r="G938" i="2"/>
  <c r="I938" i="2" s="1"/>
  <c r="K938" i="2" s="1"/>
  <c r="H938" i="2"/>
  <c r="F783" i="2" l="1"/>
  <c r="J783" i="2" s="1"/>
  <c r="M783" i="2" s="1"/>
  <c r="P783" i="2" s="1"/>
  <c r="O938" i="2"/>
  <c r="N938" i="2"/>
  <c r="A941" i="2"/>
  <c r="B940" i="2"/>
  <c r="D940" i="2"/>
  <c r="H939" i="2"/>
  <c r="G939" i="2"/>
  <c r="I939" i="2" s="1"/>
  <c r="K939" i="2" s="1"/>
  <c r="F784" i="2" l="1"/>
  <c r="J784" i="2" s="1"/>
  <c r="M784" i="2" s="1"/>
  <c r="P784" i="2" s="1"/>
  <c r="O939" i="2"/>
  <c r="N939" i="2"/>
  <c r="H940" i="2"/>
  <c r="G940" i="2"/>
  <c r="I940" i="2" s="1"/>
  <c r="K940" i="2" s="1"/>
  <c r="D941" i="2"/>
  <c r="A942" i="2"/>
  <c r="B941" i="2"/>
  <c r="F785" i="2" l="1"/>
  <c r="J785" i="2" s="1"/>
  <c r="M785" i="2" s="1"/>
  <c r="P785" i="2" s="1"/>
  <c r="D942" i="2"/>
  <c r="A943" i="2"/>
  <c r="B942" i="2"/>
  <c r="H941" i="2"/>
  <c r="G941" i="2"/>
  <c r="I941" i="2" s="1"/>
  <c r="K941" i="2" s="1"/>
  <c r="N940" i="2"/>
  <c r="O940" i="2"/>
  <c r="F786" i="2" l="1"/>
  <c r="J786" i="2" s="1"/>
  <c r="M786" i="2" s="1"/>
  <c r="P786" i="2" s="1"/>
  <c r="A944" i="2"/>
  <c r="D943" i="2"/>
  <c r="B943" i="2"/>
  <c r="N941" i="2"/>
  <c r="O941" i="2"/>
  <c r="H942" i="2"/>
  <c r="G942" i="2"/>
  <c r="I942" i="2" s="1"/>
  <c r="K942" i="2" s="1"/>
  <c r="F787" i="2" l="1"/>
  <c r="J787" i="2" s="1"/>
  <c r="M787" i="2" s="1"/>
  <c r="P787" i="2" s="1"/>
  <c r="O942" i="2"/>
  <c r="N942" i="2"/>
  <c r="H943" i="2"/>
  <c r="G943" i="2"/>
  <c r="I943" i="2" s="1"/>
  <c r="K943" i="2" s="1"/>
  <c r="A945" i="2"/>
  <c r="B944" i="2"/>
  <c r="D944" i="2"/>
  <c r="F788" i="2" l="1"/>
  <c r="J788" i="2" s="1"/>
  <c r="M788" i="2" s="1"/>
  <c r="P788" i="2" s="1"/>
  <c r="H944" i="2"/>
  <c r="G944" i="2"/>
  <c r="I944" i="2" s="1"/>
  <c r="K944" i="2" s="1"/>
  <c r="A946" i="2"/>
  <c r="D945" i="2"/>
  <c r="B945" i="2"/>
  <c r="N943" i="2"/>
  <c r="O943" i="2"/>
  <c r="F789" i="2" l="1"/>
  <c r="J789" i="2" s="1"/>
  <c r="M789" i="2" s="1"/>
  <c r="P789" i="2" s="1"/>
  <c r="O944" i="2"/>
  <c r="N944" i="2"/>
  <c r="H945" i="2"/>
  <c r="G945" i="2"/>
  <c r="I945" i="2" s="1"/>
  <c r="K945" i="2" s="1"/>
  <c r="B946" i="2"/>
  <c r="A947" i="2"/>
  <c r="D946" i="2"/>
  <c r="F790" i="2" l="1"/>
  <c r="J790" i="2" s="1"/>
  <c r="M790" i="2" s="1"/>
  <c r="P790" i="2" s="1"/>
  <c r="A948" i="2"/>
  <c r="D947" i="2"/>
  <c r="B947" i="2"/>
  <c r="H946" i="2"/>
  <c r="G946" i="2"/>
  <c r="I946" i="2" s="1"/>
  <c r="K946" i="2" s="1"/>
  <c r="N945" i="2"/>
  <c r="O945" i="2"/>
  <c r="F791" i="2" l="1"/>
  <c r="J791" i="2" s="1"/>
  <c r="M791" i="2" s="1"/>
  <c r="P791" i="2" s="1"/>
  <c r="N946" i="2"/>
  <c r="O946" i="2"/>
  <c r="H947" i="2"/>
  <c r="G947" i="2"/>
  <c r="I947" i="2" s="1"/>
  <c r="K947" i="2" s="1"/>
  <c r="A949" i="2"/>
  <c r="D948" i="2"/>
  <c r="B948" i="2"/>
  <c r="F792" i="2" l="1"/>
  <c r="J792" i="2" s="1"/>
  <c r="M792" i="2" s="1"/>
  <c r="P792" i="2" s="1"/>
  <c r="G948" i="2"/>
  <c r="I948" i="2" s="1"/>
  <c r="K948" i="2" s="1"/>
  <c r="H948" i="2"/>
  <c r="D949" i="2"/>
  <c r="B949" i="2"/>
  <c r="A950" i="2"/>
  <c r="N947" i="2"/>
  <c r="O947" i="2"/>
  <c r="F793" i="2" l="1"/>
  <c r="J793" i="2" s="1"/>
  <c r="M793" i="2" s="1"/>
  <c r="P793" i="2" s="1"/>
  <c r="A951" i="2"/>
  <c r="B950" i="2"/>
  <c r="D950" i="2"/>
  <c r="H949" i="2"/>
  <c r="G949" i="2"/>
  <c r="I949" i="2" s="1"/>
  <c r="K949" i="2" s="1"/>
  <c r="N948" i="2"/>
  <c r="O948" i="2"/>
  <c r="F794" i="2" l="1"/>
  <c r="J794" i="2" s="1"/>
  <c r="M794" i="2" s="1"/>
  <c r="P794" i="2" s="1"/>
  <c r="H950" i="2"/>
  <c r="G950" i="2"/>
  <c r="I950" i="2" s="1"/>
  <c r="K950" i="2" s="1"/>
  <c r="O949" i="2"/>
  <c r="N949" i="2"/>
  <c r="A952" i="2"/>
  <c r="D951" i="2"/>
  <c r="B951" i="2"/>
  <c r="F795" i="2" l="1"/>
  <c r="J795" i="2" s="1"/>
  <c r="M795" i="2" s="1"/>
  <c r="P795" i="2" s="1"/>
  <c r="N950" i="2"/>
  <c r="O950" i="2"/>
  <c r="H951" i="2"/>
  <c r="G951" i="2"/>
  <c r="I951" i="2" s="1"/>
  <c r="K951" i="2" s="1"/>
  <c r="A953" i="2"/>
  <c r="D952" i="2"/>
  <c r="B952" i="2"/>
  <c r="F796" i="2" l="1"/>
  <c r="J796" i="2" s="1"/>
  <c r="M796" i="2" s="1"/>
  <c r="P796" i="2" s="1"/>
  <c r="H952" i="2"/>
  <c r="G952" i="2"/>
  <c r="I952" i="2" s="1"/>
  <c r="K952" i="2" s="1"/>
  <c r="A954" i="2"/>
  <c r="D953" i="2"/>
  <c r="B953" i="2"/>
  <c r="O951" i="2"/>
  <c r="N951" i="2"/>
  <c r="F797" i="2" l="1"/>
  <c r="J797" i="2" s="1"/>
  <c r="M797" i="2" s="1"/>
  <c r="P797" i="2" s="1"/>
  <c r="H953" i="2"/>
  <c r="G953" i="2"/>
  <c r="I953" i="2" s="1"/>
  <c r="K953" i="2" s="1"/>
  <c r="A955" i="2"/>
  <c r="D954" i="2"/>
  <c r="B954" i="2"/>
  <c r="O952" i="2"/>
  <c r="N952" i="2"/>
  <c r="F798" i="2" l="1"/>
  <c r="J798" i="2" s="1"/>
  <c r="M798" i="2" s="1"/>
  <c r="P798" i="2" s="1"/>
  <c r="G954" i="2"/>
  <c r="I954" i="2" s="1"/>
  <c r="K954" i="2" s="1"/>
  <c r="H954" i="2"/>
  <c r="D955" i="2"/>
  <c r="B955" i="2"/>
  <c r="A956" i="2"/>
  <c r="N953" i="2"/>
  <c r="O953" i="2"/>
  <c r="F799" i="2" l="1"/>
  <c r="J799" i="2" s="1"/>
  <c r="M799" i="2" s="1"/>
  <c r="P799" i="2" s="1"/>
  <c r="A957" i="2"/>
  <c r="B956" i="2"/>
  <c r="D956" i="2"/>
  <c r="G955" i="2"/>
  <c r="I955" i="2" s="1"/>
  <c r="K955" i="2" s="1"/>
  <c r="H955" i="2"/>
  <c r="N954" i="2"/>
  <c r="O954" i="2"/>
  <c r="F800" i="2" l="1"/>
  <c r="J800" i="2" s="1"/>
  <c r="M800" i="2" s="1"/>
  <c r="P800" i="2" s="1"/>
  <c r="N955" i="2"/>
  <c r="O955" i="2"/>
  <c r="H956" i="2"/>
  <c r="G956" i="2"/>
  <c r="I956" i="2" s="1"/>
  <c r="K956" i="2" s="1"/>
  <c r="A958" i="2"/>
  <c r="D957" i="2"/>
  <c r="B957" i="2"/>
  <c r="F801" i="2" l="1"/>
  <c r="J801" i="2" s="1"/>
  <c r="M801" i="2" s="1"/>
  <c r="P801" i="2" s="1"/>
  <c r="H957" i="2"/>
  <c r="G957" i="2"/>
  <c r="I957" i="2" s="1"/>
  <c r="K957" i="2" s="1"/>
  <c r="A959" i="2"/>
  <c r="B958" i="2"/>
  <c r="D958" i="2"/>
  <c r="O956" i="2"/>
  <c r="N956" i="2"/>
  <c r="F802" i="2" l="1"/>
  <c r="J802" i="2" s="1"/>
  <c r="M802" i="2" s="1"/>
  <c r="P802" i="2" s="1"/>
  <c r="H958" i="2"/>
  <c r="G958" i="2"/>
  <c r="I958" i="2" s="1"/>
  <c r="K958" i="2" s="1"/>
  <c r="A960" i="2"/>
  <c r="B959" i="2"/>
  <c r="D959" i="2"/>
  <c r="O957" i="2"/>
  <c r="N957" i="2"/>
  <c r="F803" i="2" l="1"/>
  <c r="J803" i="2" s="1"/>
  <c r="M803" i="2" s="1"/>
  <c r="P803" i="2" s="1"/>
  <c r="N958" i="2"/>
  <c r="O958" i="2"/>
  <c r="H959" i="2"/>
  <c r="G959" i="2"/>
  <c r="I959" i="2" s="1"/>
  <c r="K959" i="2" s="1"/>
  <c r="A961" i="2"/>
  <c r="B960" i="2"/>
  <c r="D960" i="2"/>
  <c r="F804" i="2" l="1"/>
  <c r="J804" i="2" s="1"/>
  <c r="M804" i="2" s="1"/>
  <c r="P804" i="2" s="1"/>
  <c r="H960" i="2"/>
  <c r="G960" i="2"/>
  <c r="I960" i="2" s="1"/>
  <c r="K960" i="2" s="1"/>
  <c r="A962" i="2"/>
  <c r="D961" i="2"/>
  <c r="B961" i="2"/>
  <c r="N959" i="2"/>
  <c r="O959" i="2"/>
  <c r="F805" i="2" l="1"/>
  <c r="J805" i="2" s="1"/>
  <c r="M805" i="2" s="1"/>
  <c r="P805" i="2" s="1"/>
  <c r="H961" i="2"/>
  <c r="G961" i="2"/>
  <c r="I961" i="2" s="1"/>
  <c r="K961" i="2" s="1"/>
  <c r="A963" i="2"/>
  <c r="B962" i="2"/>
  <c r="D962" i="2"/>
  <c r="N960" i="2"/>
  <c r="O960" i="2"/>
  <c r="F806" i="2" l="1"/>
  <c r="J806" i="2" s="1"/>
  <c r="M806" i="2" s="1"/>
  <c r="P806" i="2" s="1"/>
  <c r="H962" i="2"/>
  <c r="G962" i="2"/>
  <c r="I962" i="2" s="1"/>
  <c r="K962" i="2" s="1"/>
  <c r="D963" i="2"/>
  <c r="B963" i="2"/>
  <c r="A964" i="2"/>
  <c r="N961" i="2"/>
  <c r="O961" i="2"/>
  <c r="F807" i="2" l="1"/>
  <c r="J807" i="2" s="1"/>
  <c r="M807" i="2" s="1"/>
  <c r="P807" i="2" s="1"/>
  <c r="N962" i="2"/>
  <c r="O962" i="2"/>
  <c r="A965" i="2"/>
  <c r="B964" i="2"/>
  <c r="D964" i="2"/>
  <c r="H963" i="2"/>
  <c r="G963" i="2"/>
  <c r="I963" i="2" s="1"/>
  <c r="K963" i="2" s="1"/>
  <c r="F808" i="2" l="1"/>
  <c r="J808" i="2" s="1"/>
  <c r="M808" i="2" s="1"/>
  <c r="P808" i="2" s="1"/>
  <c r="N963" i="2"/>
  <c r="O963" i="2"/>
  <c r="H964" i="2"/>
  <c r="G964" i="2"/>
  <c r="I964" i="2" s="1"/>
  <c r="K964" i="2" s="1"/>
  <c r="A966" i="2"/>
  <c r="D965" i="2"/>
  <c r="B965" i="2"/>
  <c r="F809" i="2" l="1"/>
  <c r="J809" i="2" s="1"/>
  <c r="M809" i="2" s="1"/>
  <c r="P809" i="2" s="1"/>
  <c r="H965" i="2"/>
  <c r="G965" i="2"/>
  <c r="I965" i="2" s="1"/>
  <c r="K965" i="2" s="1"/>
  <c r="A967" i="2"/>
  <c r="B966" i="2"/>
  <c r="D966" i="2"/>
  <c r="O964" i="2"/>
  <c r="N964" i="2"/>
  <c r="F810" i="2" l="1"/>
  <c r="J810" i="2" s="1"/>
  <c r="M810" i="2" s="1"/>
  <c r="P810" i="2" s="1"/>
  <c r="H966" i="2"/>
  <c r="G966" i="2"/>
  <c r="I966" i="2" s="1"/>
  <c r="K966" i="2" s="1"/>
  <c r="A968" i="2"/>
  <c r="B967" i="2"/>
  <c r="D967" i="2"/>
  <c r="O965" i="2"/>
  <c r="N965" i="2"/>
  <c r="F811" i="2" l="1"/>
  <c r="J811" i="2" s="1"/>
  <c r="M811" i="2" s="1"/>
  <c r="P811" i="2" s="1"/>
  <c r="H967" i="2"/>
  <c r="G967" i="2"/>
  <c r="I967" i="2" s="1"/>
  <c r="K967" i="2" s="1"/>
  <c r="A969" i="2"/>
  <c r="B968" i="2"/>
  <c r="D968" i="2"/>
  <c r="N966" i="2"/>
  <c r="O966" i="2"/>
  <c r="F812" i="2" l="1"/>
  <c r="J812" i="2" s="1"/>
  <c r="M812" i="2" s="1"/>
  <c r="P812" i="2" s="1"/>
  <c r="H968" i="2"/>
  <c r="G968" i="2"/>
  <c r="I968" i="2" s="1"/>
  <c r="K968" i="2" s="1"/>
  <c r="A970" i="2"/>
  <c r="D969" i="2"/>
  <c r="B969" i="2"/>
  <c r="N967" i="2"/>
  <c r="O967" i="2"/>
  <c r="F813" i="2" l="1"/>
  <c r="J813" i="2" s="1"/>
  <c r="M813" i="2" s="1"/>
  <c r="P813" i="2" s="1"/>
  <c r="H969" i="2"/>
  <c r="G969" i="2"/>
  <c r="I969" i="2" s="1"/>
  <c r="K969" i="2" s="1"/>
  <c r="A971" i="2"/>
  <c r="D970" i="2"/>
  <c r="B970" i="2"/>
  <c r="O968" i="2"/>
  <c r="N968" i="2"/>
  <c r="F814" i="2" l="1"/>
  <c r="J814" i="2" s="1"/>
  <c r="M814" i="2" s="1"/>
  <c r="P814" i="2" s="1"/>
  <c r="H970" i="2"/>
  <c r="G970" i="2"/>
  <c r="I970" i="2" s="1"/>
  <c r="K970" i="2" s="1"/>
  <c r="A972" i="2"/>
  <c r="D971" i="2"/>
  <c r="B971" i="2"/>
  <c r="N969" i="2"/>
  <c r="O969" i="2"/>
  <c r="F815" i="2" l="1"/>
  <c r="J815" i="2" s="1"/>
  <c r="M815" i="2" s="1"/>
  <c r="P815" i="2" s="1"/>
  <c r="H971" i="2"/>
  <c r="G971" i="2"/>
  <c r="I971" i="2" s="1"/>
  <c r="K971" i="2" s="1"/>
  <c r="A973" i="2"/>
  <c r="B972" i="2"/>
  <c r="D972" i="2"/>
  <c r="O970" i="2"/>
  <c r="N970" i="2"/>
  <c r="F816" i="2" l="1"/>
  <c r="J816" i="2" s="1"/>
  <c r="M816" i="2" s="1"/>
  <c r="P816" i="2" s="1"/>
  <c r="H972" i="2"/>
  <c r="G972" i="2"/>
  <c r="I972" i="2" s="1"/>
  <c r="K972" i="2" s="1"/>
  <c r="A974" i="2"/>
  <c r="D973" i="2"/>
  <c r="B973" i="2"/>
  <c r="O971" i="2"/>
  <c r="N971" i="2"/>
  <c r="F817" i="2" l="1"/>
  <c r="J817" i="2" s="1"/>
  <c r="M817" i="2" s="1"/>
  <c r="P817" i="2" s="1"/>
  <c r="H973" i="2"/>
  <c r="G973" i="2"/>
  <c r="I973" i="2" s="1"/>
  <c r="K973" i="2" s="1"/>
  <c r="A975" i="2"/>
  <c r="D974" i="2"/>
  <c r="B974" i="2"/>
  <c r="O972" i="2"/>
  <c r="N972" i="2"/>
  <c r="F818" i="2" l="1"/>
  <c r="J818" i="2" s="1"/>
  <c r="M818" i="2" s="1"/>
  <c r="P818" i="2" s="1"/>
  <c r="H974" i="2"/>
  <c r="G974" i="2"/>
  <c r="I974" i="2" s="1"/>
  <c r="K974" i="2" s="1"/>
  <c r="A976" i="2"/>
  <c r="D975" i="2"/>
  <c r="B975" i="2"/>
  <c r="O973" i="2"/>
  <c r="N973" i="2"/>
  <c r="F819" i="2" l="1"/>
  <c r="J819" i="2" s="1"/>
  <c r="M819" i="2" s="1"/>
  <c r="P819" i="2" s="1"/>
  <c r="H975" i="2"/>
  <c r="G975" i="2"/>
  <c r="I975" i="2" s="1"/>
  <c r="K975" i="2" s="1"/>
  <c r="A977" i="2"/>
  <c r="D976" i="2"/>
  <c r="B976" i="2"/>
  <c r="N974" i="2"/>
  <c r="O974" i="2"/>
  <c r="F820" i="2" l="1"/>
  <c r="J820" i="2" s="1"/>
  <c r="M820" i="2" s="1"/>
  <c r="P820" i="2" s="1"/>
  <c r="H976" i="2"/>
  <c r="G976" i="2"/>
  <c r="I976" i="2" s="1"/>
  <c r="K976" i="2" s="1"/>
  <c r="A978" i="2"/>
  <c r="D977" i="2"/>
  <c r="B977" i="2"/>
  <c r="N975" i="2"/>
  <c r="O975" i="2"/>
  <c r="F821" i="2" l="1"/>
  <c r="J821" i="2" s="1"/>
  <c r="M821" i="2" s="1"/>
  <c r="P821" i="2" s="1"/>
  <c r="H977" i="2"/>
  <c r="G977" i="2"/>
  <c r="I977" i="2" s="1"/>
  <c r="K977" i="2" s="1"/>
  <c r="B978" i="2"/>
  <c r="A979" i="2"/>
  <c r="D978" i="2"/>
  <c r="O976" i="2"/>
  <c r="N976" i="2"/>
  <c r="F822" i="2" l="1"/>
  <c r="J822" i="2" s="1"/>
  <c r="M822" i="2" s="1"/>
  <c r="P822" i="2" s="1"/>
  <c r="O977" i="2"/>
  <c r="N977" i="2"/>
  <c r="H978" i="2"/>
  <c r="G978" i="2"/>
  <c r="I978" i="2" s="1"/>
  <c r="K978" i="2" s="1"/>
  <c r="A980" i="2"/>
  <c r="D979" i="2"/>
  <c r="B979" i="2"/>
  <c r="F823" i="2" l="1"/>
  <c r="J823" i="2" s="1"/>
  <c r="M823" i="2" s="1"/>
  <c r="P823" i="2" s="1"/>
  <c r="H979" i="2"/>
  <c r="G979" i="2"/>
  <c r="I979" i="2" s="1"/>
  <c r="K979" i="2" s="1"/>
  <c r="A981" i="2"/>
  <c r="B980" i="2"/>
  <c r="D980" i="2"/>
  <c r="O978" i="2"/>
  <c r="N978" i="2"/>
  <c r="F824" i="2" l="1"/>
  <c r="J824" i="2" s="1"/>
  <c r="M824" i="2" s="1"/>
  <c r="P824" i="2" s="1"/>
  <c r="O979" i="2"/>
  <c r="N979" i="2"/>
  <c r="H980" i="2"/>
  <c r="G980" i="2"/>
  <c r="I980" i="2" s="1"/>
  <c r="K980" i="2" s="1"/>
  <c r="A982" i="2"/>
  <c r="D981" i="2"/>
  <c r="B981" i="2"/>
  <c r="F825" i="2" l="1"/>
  <c r="J825" i="2" s="1"/>
  <c r="M825" i="2" s="1"/>
  <c r="P825" i="2" s="1"/>
  <c r="H981" i="2"/>
  <c r="G981" i="2"/>
  <c r="I981" i="2" s="1"/>
  <c r="K981" i="2" s="1"/>
  <c r="A983" i="2"/>
  <c r="B982" i="2"/>
  <c r="D982" i="2"/>
  <c r="O980" i="2"/>
  <c r="N980" i="2"/>
  <c r="F826" i="2" l="1"/>
  <c r="J826" i="2" s="1"/>
  <c r="M826" i="2" s="1"/>
  <c r="P826" i="2" s="1"/>
  <c r="H982" i="2"/>
  <c r="G982" i="2"/>
  <c r="I982" i="2" s="1"/>
  <c r="K982" i="2" s="1"/>
  <c r="A984" i="2"/>
  <c r="B983" i="2"/>
  <c r="D983" i="2"/>
  <c r="O981" i="2"/>
  <c r="N981" i="2"/>
  <c r="F827" i="2" l="1"/>
  <c r="J827" i="2" s="1"/>
  <c r="M827" i="2" s="1"/>
  <c r="P827" i="2" s="1"/>
  <c r="G983" i="2"/>
  <c r="I983" i="2" s="1"/>
  <c r="K983" i="2" s="1"/>
  <c r="H983" i="2"/>
  <c r="B984" i="2"/>
  <c r="D984" i="2"/>
  <c r="A985" i="2"/>
  <c r="O982" i="2"/>
  <c r="N982" i="2"/>
  <c r="F828" i="2" l="1"/>
  <c r="J828" i="2" s="1"/>
  <c r="M828" i="2" s="1"/>
  <c r="P828" i="2" s="1"/>
  <c r="A986" i="2"/>
  <c r="D985" i="2"/>
  <c r="B985" i="2"/>
  <c r="G984" i="2"/>
  <c r="I984" i="2" s="1"/>
  <c r="K984" i="2" s="1"/>
  <c r="H984" i="2"/>
  <c r="O983" i="2"/>
  <c r="N983" i="2"/>
  <c r="F829" i="2" l="1"/>
  <c r="J829" i="2" s="1"/>
  <c r="M829" i="2" s="1"/>
  <c r="P829" i="2" s="1"/>
  <c r="N984" i="2"/>
  <c r="O984" i="2"/>
  <c r="H985" i="2"/>
  <c r="G985" i="2"/>
  <c r="I985" i="2" s="1"/>
  <c r="K985" i="2" s="1"/>
  <c r="A987" i="2"/>
  <c r="D986" i="2"/>
  <c r="B986" i="2"/>
  <c r="F830" i="2" l="1"/>
  <c r="J830" i="2" s="1"/>
  <c r="M830" i="2" s="1"/>
  <c r="P830" i="2" s="1"/>
  <c r="O985" i="2"/>
  <c r="N985" i="2"/>
  <c r="H986" i="2"/>
  <c r="G986" i="2"/>
  <c r="I986" i="2" s="1"/>
  <c r="K986" i="2" s="1"/>
  <c r="D987" i="2"/>
  <c r="B987" i="2"/>
  <c r="A988" i="2"/>
  <c r="F831" i="2" l="1"/>
  <c r="J831" i="2" s="1"/>
  <c r="M831" i="2" s="1"/>
  <c r="P831" i="2" s="1"/>
  <c r="N986" i="2"/>
  <c r="O986" i="2"/>
  <c r="A989" i="2"/>
  <c r="B988" i="2"/>
  <c r="D988" i="2"/>
  <c r="H987" i="2"/>
  <c r="G987" i="2"/>
  <c r="I987" i="2" s="1"/>
  <c r="K987" i="2" s="1"/>
  <c r="F832" i="2" l="1"/>
  <c r="J832" i="2" s="1"/>
  <c r="M832" i="2" s="1"/>
  <c r="P832" i="2" s="1"/>
  <c r="O987" i="2"/>
  <c r="N987" i="2"/>
  <c r="H988" i="2"/>
  <c r="G988" i="2"/>
  <c r="I988" i="2" s="1"/>
  <c r="K988" i="2" s="1"/>
  <c r="A990" i="2"/>
  <c r="B989" i="2"/>
  <c r="D989" i="2"/>
  <c r="F833" i="2" l="1"/>
  <c r="J833" i="2" s="1"/>
  <c r="M833" i="2" s="1"/>
  <c r="P833" i="2" s="1"/>
  <c r="H989" i="2"/>
  <c r="G989" i="2"/>
  <c r="I989" i="2" s="1"/>
  <c r="K989" i="2" s="1"/>
  <c r="D990" i="2"/>
  <c r="B990" i="2"/>
  <c r="A991" i="2"/>
  <c r="N988" i="2"/>
  <c r="O988" i="2"/>
  <c r="F834" i="2" l="1"/>
  <c r="J834" i="2" s="1"/>
  <c r="M834" i="2" s="1"/>
  <c r="P834" i="2" s="1"/>
  <c r="D991" i="2"/>
  <c r="B991" i="2"/>
  <c r="A992" i="2"/>
  <c r="G990" i="2"/>
  <c r="I990" i="2" s="1"/>
  <c r="K990" i="2" s="1"/>
  <c r="H990" i="2"/>
  <c r="N989" i="2"/>
  <c r="O989" i="2"/>
  <c r="F835" i="2" l="1"/>
  <c r="J835" i="2" s="1"/>
  <c r="M835" i="2" s="1"/>
  <c r="P835" i="2" s="1"/>
  <c r="N990" i="2"/>
  <c r="O990" i="2"/>
  <c r="A993" i="2"/>
  <c r="B992" i="2"/>
  <c r="D992" i="2"/>
  <c r="H991" i="2"/>
  <c r="G991" i="2"/>
  <c r="I991" i="2" s="1"/>
  <c r="K991" i="2" s="1"/>
  <c r="F836" i="2" l="1"/>
  <c r="J836" i="2" s="1"/>
  <c r="M836" i="2" s="1"/>
  <c r="P836" i="2" s="1"/>
  <c r="O991" i="2"/>
  <c r="N991" i="2"/>
  <c r="H992" i="2"/>
  <c r="G992" i="2"/>
  <c r="I992" i="2" s="1"/>
  <c r="K992" i="2" s="1"/>
  <c r="A994" i="2"/>
  <c r="D993" i="2"/>
  <c r="B993" i="2"/>
  <c r="F837" i="2" l="1"/>
  <c r="J837" i="2" s="1"/>
  <c r="M837" i="2" s="1"/>
  <c r="P837" i="2" s="1"/>
  <c r="H993" i="2"/>
  <c r="G993" i="2"/>
  <c r="I993" i="2" s="1"/>
  <c r="K993" i="2" s="1"/>
  <c r="A995" i="2"/>
  <c r="D994" i="2"/>
  <c r="B994" i="2"/>
  <c r="O992" i="2"/>
  <c r="N992" i="2"/>
  <c r="F838" i="2" l="1"/>
  <c r="J838" i="2" s="1"/>
  <c r="M838" i="2" s="1"/>
  <c r="P838" i="2" s="1"/>
  <c r="H994" i="2"/>
  <c r="G994" i="2"/>
  <c r="I994" i="2" s="1"/>
  <c r="K994" i="2" s="1"/>
  <c r="A996" i="2"/>
  <c r="D995" i="2"/>
  <c r="B995" i="2"/>
  <c r="O993" i="2"/>
  <c r="N993" i="2"/>
  <c r="F839" i="2" l="1"/>
  <c r="J839" i="2" s="1"/>
  <c r="M839" i="2" s="1"/>
  <c r="P839" i="2" s="1"/>
  <c r="H995" i="2"/>
  <c r="G995" i="2"/>
  <c r="I995" i="2" s="1"/>
  <c r="K995" i="2" s="1"/>
  <c r="A997" i="2"/>
  <c r="B996" i="2"/>
  <c r="D996" i="2"/>
  <c r="O994" i="2"/>
  <c r="N994" i="2"/>
  <c r="F840" i="2" l="1"/>
  <c r="J840" i="2" s="1"/>
  <c r="M840" i="2" s="1"/>
  <c r="P840" i="2" s="1"/>
  <c r="H996" i="2"/>
  <c r="G996" i="2"/>
  <c r="I996" i="2" s="1"/>
  <c r="K996" i="2" s="1"/>
  <c r="A998" i="2"/>
  <c r="D997" i="2"/>
  <c r="B997" i="2"/>
  <c r="N995" i="2"/>
  <c r="O995" i="2"/>
  <c r="F841" i="2" l="1"/>
  <c r="J841" i="2" s="1"/>
  <c r="M841" i="2" s="1"/>
  <c r="P841" i="2" s="1"/>
  <c r="H997" i="2"/>
  <c r="G997" i="2"/>
  <c r="I997" i="2" s="1"/>
  <c r="K997" i="2" s="1"/>
  <c r="A999" i="2"/>
  <c r="B998" i="2"/>
  <c r="D998" i="2"/>
  <c r="O996" i="2"/>
  <c r="N996" i="2"/>
  <c r="F842" i="2" l="1"/>
  <c r="J842" i="2" s="1"/>
  <c r="M842" i="2" s="1"/>
  <c r="P842" i="2" s="1"/>
  <c r="H998" i="2"/>
  <c r="G998" i="2"/>
  <c r="I998" i="2" s="1"/>
  <c r="K998" i="2" s="1"/>
  <c r="B999" i="2"/>
  <c r="D999" i="2"/>
  <c r="A1000" i="2"/>
  <c r="N997" i="2"/>
  <c r="O997" i="2"/>
  <c r="F843" i="2" l="1"/>
  <c r="J843" i="2" s="1"/>
  <c r="M843" i="2" s="1"/>
  <c r="P843" i="2" s="1"/>
  <c r="A1001" i="2"/>
  <c r="B1000" i="2"/>
  <c r="D1000" i="2"/>
  <c r="H999" i="2"/>
  <c r="G999" i="2"/>
  <c r="I999" i="2" s="1"/>
  <c r="K999" i="2" s="1"/>
  <c r="N998" i="2"/>
  <c r="O998" i="2"/>
  <c r="F844" i="2" l="1"/>
  <c r="J844" i="2" s="1"/>
  <c r="M844" i="2" s="1"/>
  <c r="P844" i="2" s="1"/>
  <c r="N999" i="2"/>
  <c r="O999" i="2"/>
  <c r="H1000" i="2"/>
  <c r="G1000" i="2"/>
  <c r="I1000" i="2" s="1"/>
  <c r="K1000" i="2" s="1"/>
  <c r="D1001" i="2"/>
  <c r="B1001" i="2"/>
  <c r="A1002" i="2"/>
  <c r="F845" i="2" l="1"/>
  <c r="J845" i="2" s="1"/>
  <c r="M845" i="2" s="1"/>
  <c r="P845" i="2" s="1"/>
  <c r="D1002" i="2"/>
  <c r="B1002" i="2"/>
  <c r="A1003" i="2"/>
  <c r="G1001" i="2"/>
  <c r="I1001" i="2" s="1"/>
  <c r="K1001" i="2" s="1"/>
  <c r="H1001" i="2"/>
  <c r="O1000" i="2"/>
  <c r="N1000" i="2"/>
  <c r="F846" i="2" l="1"/>
  <c r="J846" i="2" s="1"/>
  <c r="M846" i="2" s="1"/>
  <c r="P846" i="2" s="1"/>
  <c r="N1001" i="2"/>
  <c r="O1001" i="2"/>
  <c r="A1004" i="2"/>
  <c r="D1003" i="2"/>
  <c r="B1003" i="2"/>
  <c r="G1002" i="2"/>
  <c r="I1002" i="2" s="1"/>
  <c r="K1002" i="2" s="1"/>
  <c r="H1002" i="2"/>
  <c r="F847" i="2" l="1"/>
  <c r="J847" i="2" s="1"/>
  <c r="M847" i="2" s="1"/>
  <c r="P847" i="2" s="1"/>
  <c r="O1002" i="2"/>
  <c r="N1002" i="2"/>
  <c r="H1003" i="2"/>
  <c r="G1003" i="2"/>
  <c r="I1003" i="2" s="1"/>
  <c r="K1003" i="2" s="1"/>
  <c r="A1005" i="2"/>
  <c r="B1004" i="2"/>
  <c r="D1004" i="2"/>
  <c r="F848" i="2" l="1"/>
  <c r="J848" i="2" s="1"/>
  <c r="M848" i="2" s="1"/>
  <c r="P848" i="2" s="1"/>
  <c r="N1003" i="2"/>
  <c r="O1003" i="2"/>
  <c r="H1004" i="2"/>
  <c r="G1004" i="2"/>
  <c r="I1004" i="2" s="1"/>
  <c r="K1004" i="2" s="1"/>
  <c r="A1006" i="2"/>
  <c r="D1005" i="2"/>
  <c r="B1005" i="2"/>
  <c r="F849" i="2" l="1"/>
  <c r="J849" i="2" s="1"/>
  <c r="M849" i="2" s="1"/>
  <c r="P849" i="2" s="1"/>
  <c r="H1005" i="2"/>
  <c r="G1005" i="2"/>
  <c r="I1005" i="2" s="1"/>
  <c r="K1005" i="2" s="1"/>
  <c r="B1006" i="2"/>
  <c r="A1007" i="2"/>
  <c r="D1006" i="2"/>
  <c r="N1004" i="2"/>
  <c r="O1004" i="2"/>
  <c r="F850" i="2" l="1"/>
  <c r="J850" i="2" s="1"/>
  <c r="M850" i="2" s="1"/>
  <c r="P850" i="2" s="1"/>
  <c r="H1006" i="2"/>
  <c r="G1006" i="2"/>
  <c r="I1006" i="2" s="1"/>
  <c r="K1006" i="2" s="1"/>
  <c r="A1008" i="2"/>
  <c r="B1007" i="2"/>
  <c r="D1007" i="2"/>
  <c r="N1005" i="2"/>
  <c r="O1005" i="2"/>
  <c r="F851" i="2" l="1"/>
  <c r="J851" i="2" s="1"/>
  <c r="M851" i="2" s="1"/>
  <c r="P851" i="2" s="1"/>
  <c r="H1007" i="2"/>
  <c r="G1007" i="2"/>
  <c r="I1007" i="2" s="1"/>
  <c r="K1007" i="2" s="1"/>
  <c r="A1009" i="2"/>
  <c r="B1008" i="2"/>
  <c r="D1008" i="2"/>
  <c r="N1006" i="2"/>
  <c r="O1006" i="2"/>
  <c r="F852" i="2" l="1"/>
  <c r="J852" i="2" s="1"/>
  <c r="M852" i="2" s="1"/>
  <c r="P852" i="2" s="1"/>
  <c r="A1010" i="2"/>
  <c r="D1009" i="2"/>
  <c r="B1009" i="2"/>
  <c r="H1008" i="2"/>
  <c r="G1008" i="2"/>
  <c r="I1008" i="2" s="1"/>
  <c r="K1008" i="2" s="1"/>
  <c r="N1007" i="2"/>
  <c r="O1007" i="2"/>
  <c r="F853" i="2" l="1"/>
  <c r="J853" i="2" s="1"/>
  <c r="M853" i="2" s="1"/>
  <c r="P853" i="2" s="1"/>
  <c r="O1008" i="2"/>
  <c r="N1008" i="2"/>
  <c r="H1009" i="2"/>
  <c r="G1009" i="2"/>
  <c r="I1009" i="2" s="1"/>
  <c r="K1009" i="2" s="1"/>
  <c r="D1010" i="2"/>
  <c r="B1010" i="2"/>
  <c r="A1011" i="2"/>
  <c r="F854" i="2" l="1"/>
  <c r="J854" i="2" s="1"/>
  <c r="M854" i="2" s="1"/>
  <c r="P854" i="2" s="1"/>
  <c r="O1009" i="2"/>
  <c r="N1009" i="2"/>
  <c r="H1010" i="2"/>
  <c r="G1010" i="2"/>
  <c r="I1010" i="2" s="1"/>
  <c r="K1010" i="2" s="1"/>
  <c r="A1012" i="2"/>
  <c r="B1011" i="2"/>
  <c r="D1011" i="2"/>
  <c r="F855" i="2" l="1"/>
  <c r="J855" i="2" s="1"/>
  <c r="M855" i="2" s="1"/>
  <c r="P855" i="2" s="1"/>
  <c r="A1013" i="2"/>
  <c r="B1012" i="2"/>
  <c r="D1012" i="2"/>
  <c r="H1011" i="2"/>
  <c r="G1011" i="2"/>
  <c r="I1011" i="2" s="1"/>
  <c r="K1011" i="2" s="1"/>
  <c r="N1010" i="2"/>
  <c r="O1010" i="2"/>
  <c r="F856" i="2" l="1"/>
  <c r="J856" i="2" s="1"/>
  <c r="M856" i="2" s="1"/>
  <c r="P856" i="2" s="1"/>
  <c r="O1011" i="2"/>
  <c r="N1011" i="2"/>
  <c r="G1012" i="2"/>
  <c r="I1012" i="2" s="1"/>
  <c r="K1012" i="2" s="1"/>
  <c r="H1012" i="2"/>
  <c r="D1013" i="2"/>
  <c r="B1013" i="2"/>
  <c r="A1014" i="2"/>
  <c r="F857" i="2" l="1"/>
  <c r="J857" i="2" s="1"/>
  <c r="M857" i="2" s="1"/>
  <c r="P857" i="2" s="1"/>
  <c r="N1012" i="2"/>
  <c r="O1012" i="2"/>
  <c r="A1015" i="2"/>
  <c r="D1014" i="2"/>
  <c r="B1014" i="2"/>
  <c r="G1013" i="2"/>
  <c r="I1013" i="2" s="1"/>
  <c r="K1013" i="2" s="1"/>
  <c r="H1013" i="2"/>
  <c r="F858" i="2" l="1"/>
  <c r="J858" i="2" s="1"/>
  <c r="M858" i="2" s="1"/>
  <c r="P858" i="2" s="1"/>
  <c r="N1013" i="2"/>
  <c r="O1013" i="2"/>
  <c r="H1014" i="2"/>
  <c r="G1014" i="2"/>
  <c r="I1014" i="2" s="1"/>
  <c r="K1014" i="2" s="1"/>
  <c r="A1016" i="2"/>
  <c r="D1015" i="2"/>
  <c r="B1015" i="2"/>
  <c r="F859" i="2" l="1"/>
  <c r="J859" i="2" s="1"/>
  <c r="M859" i="2" s="1"/>
  <c r="P859" i="2" s="1"/>
  <c r="H1015" i="2"/>
  <c r="G1015" i="2"/>
  <c r="I1015" i="2" s="1"/>
  <c r="K1015" i="2" s="1"/>
  <c r="A1017" i="2"/>
  <c r="B1016" i="2"/>
  <c r="D1016" i="2"/>
  <c r="N1014" i="2"/>
  <c r="O1014" i="2"/>
  <c r="F860" i="2" l="1"/>
  <c r="J860" i="2" s="1"/>
  <c r="M860" i="2" s="1"/>
  <c r="P860" i="2" s="1"/>
  <c r="H1016" i="2"/>
  <c r="G1016" i="2"/>
  <c r="I1016" i="2" s="1"/>
  <c r="K1016" i="2" s="1"/>
  <c r="A1018" i="2"/>
  <c r="D1017" i="2"/>
  <c r="B1017" i="2"/>
  <c r="O1015" i="2"/>
  <c r="N1015" i="2"/>
  <c r="F861" i="2" l="1"/>
  <c r="J861" i="2" s="1"/>
  <c r="M861" i="2" s="1"/>
  <c r="P861" i="2" s="1"/>
  <c r="H1017" i="2"/>
  <c r="G1017" i="2"/>
  <c r="I1017" i="2" s="1"/>
  <c r="K1017" i="2" s="1"/>
  <c r="A1019" i="2"/>
  <c r="D1018" i="2"/>
  <c r="B1018" i="2"/>
  <c r="O1016" i="2"/>
  <c r="N1016" i="2"/>
  <c r="F862" i="2" l="1"/>
  <c r="J862" i="2" s="1"/>
  <c r="M862" i="2" s="1"/>
  <c r="P862" i="2" s="1"/>
  <c r="H1018" i="2"/>
  <c r="G1018" i="2"/>
  <c r="I1018" i="2" s="1"/>
  <c r="K1018" i="2" s="1"/>
  <c r="A1020" i="2"/>
  <c r="D1019" i="2"/>
  <c r="B1019" i="2"/>
  <c r="N1017" i="2"/>
  <c r="O1017" i="2"/>
  <c r="F863" i="2" l="1"/>
  <c r="J863" i="2" s="1"/>
  <c r="M863" i="2" s="1"/>
  <c r="P863" i="2" s="1"/>
  <c r="H1019" i="2"/>
  <c r="G1019" i="2"/>
  <c r="I1019" i="2" s="1"/>
  <c r="K1019" i="2" s="1"/>
  <c r="A1021" i="2"/>
  <c r="B1020" i="2"/>
  <c r="D1020" i="2"/>
  <c r="O1018" i="2"/>
  <c r="N1018" i="2"/>
  <c r="F864" i="2" l="1"/>
  <c r="J864" i="2" s="1"/>
  <c r="M864" i="2" s="1"/>
  <c r="P864" i="2" s="1"/>
  <c r="H1020" i="2"/>
  <c r="G1020" i="2"/>
  <c r="I1020" i="2" s="1"/>
  <c r="K1020" i="2" s="1"/>
  <c r="D1021" i="2"/>
  <c r="A1022" i="2"/>
  <c r="B1021" i="2"/>
  <c r="N1019" i="2"/>
  <c r="O1019" i="2"/>
  <c r="F865" i="2" l="1"/>
  <c r="J865" i="2" s="1"/>
  <c r="M865" i="2" s="1"/>
  <c r="P865" i="2" s="1"/>
  <c r="A1023" i="2"/>
  <c r="B1022" i="2"/>
  <c r="D1022" i="2"/>
  <c r="H1021" i="2"/>
  <c r="G1021" i="2"/>
  <c r="I1021" i="2" s="1"/>
  <c r="K1021" i="2" s="1"/>
  <c r="N1020" i="2"/>
  <c r="O1020" i="2"/>
  <c r="F866" i="2" l="1"/>
  <c r="J866" i="2" s="1"/>
  <c r="M866" i="2" s="1"/>
  <c r="P866" i="2" s="1"/>
  <c r="N1021" i="2"/>
  <c r="O1021" i="2"/>
  <c r="H1022" i="2"/>
  <c r="G1022" i="2"/>
  <c r="I1022" i="2" s="1"/>
  <c r="K1022" i="2" s="1"/>
  <c r="A1024" i="2"/>
  <c r="B1023" i="2"/>
  <c r="D1023" i="2"/>
  <c r="F867" i="2" l="1"/>
  <c r="J867" i="2" s="1"/>
  <c r="M867" i="2" s="1"/>
  <c r="P867" i="2" s="1"/>
  <c r="H1023" i="2"/>
  <c r="G1023" i="2"/>
  <c r="I1023" i="2" s="1"/>
  <c r="K1023" i="2" s="1"/>
  <c r="A1025" i="2"/>
  <c r="B1024" i="2"/>
  <c r="D1024" i="2"/>
  <c r="N1022" i="2"/>
  <c r="O1022" i="2"/>
  <c r="F868" i="2" l="1"/>
  <c r="J868" i="2" s="1"/>
  <c r="M868" i="2" s="1"/>
  <c r="P868" i="2" s="1"/>
  <c r="H1024" i="2"/>
  <c r="G1024" i="2"/>
  <c r="I1024" i="2" s="1"/>
  <c r="K1024" i="2" s="1"/>
  <c r="A1026" i="2"/>
  <c r="D1025" i="2"/>
  <c r="B1025" i="2"/>
  <c r="N1023" i="2"/>
  <c r="O1023" i="2"/>
  <c r="F869" i="2" l="1"/>
  <c r="J869" i="2" s="1"/>
  <c r="M869" i="2" s="1"/>
  <c r="P869" i="2" s="1"/>
  <c r="N1024" i="2"/>
  <c r="O1024" i="2"/>
  <c r="H1025" i="2"/>
  <c r="G1025" i="2"/>
  <c r="I1025" i="2" s="1"/>
  <c r="K1025" i="2" s="1"/>
  <c r="A1027" i="2"/>
  <c r="B1026" i="2"/>
  <c r="D1026" i="2"/>
  <c r="F870" i="2" l="1"/>
  <c r="J870" i="2" s="1"/>
  <c r="M870" i="2" s="1"/>
  <c r="P870" i="2" s="1"/>
  <c r="H1026" i="2"/>
  <c r="G1026" i="2"/>
  <c r="I1026" i="2" s="1"/>
  <c r="K1026" i="2" s="1"/>
  <c r="A1028" i="2"/>
  <c r="D1027" i="2"/>
  <c r="B1027" i="2"/>
  <c r="O1025" i="2"/>
  <c r="N1025" i="2"/>
  <c r="F871" i="2" l="1"/>
  <c r="J871" i="2" s="1"/>
  <c r="M871" i="2" s="1"/>
  <c r="P871" i="2" s="1"/>
  <c r="O1026" i="2"/>
  <c r="N1026" i="2"/>
  <c r="H1027" i="2"/>
  <c r="G1027" i="2"/>
  <c r="I1027" i="2" s="1"/>
  <c r="K1027" i="2" s="1"/>
  <c r="A1029" i="2"/>
  <c r="B1028" i="2"/>
  <c r="D1028" i="2"/>
  <c r="F872" i="2" l="1"/>
  <c r="J872" i="2" s="1"/>
  <c r="M872" i="2" s="1"/>
  <c r="P872" i="2" s="1"/>
  <c r="G1028" i="2"/>
  <c r="I1028" i="2" s="1"/>
  <c r="K1028" i="2" s="1"/>
  <c r="H1028" i="2"/>
  <c r="D1029" i="2"/>
  <c r="B1029" i="2"/>
  <c r="A1030" i="2"/>
  <c r="O1027" i="2"/>
  <c r="N1027" i="2"/>
  <c r="F873" i="2" l="1"/>
  <c r="J873" i="2" s="1"/>
  <c r="M873" i="2" s="1"/>
  <c r="P873" i="2" s="1"/>
  <c r="A1031" i="2"/>
  <c r="B1030" i="2"/>
  <c r="D1030" i="2"/>
  <c r="G1029" i="2"/>
  <c r="I1029" i="2" s="1"/>
  <c r="K1029" i="2" s="1"/>
  <c r="H1029" i="2"/>
  <c r="O1028" i="2"/>
  <c r="N1028" i="2"/>
  <c r="F874" i="2" l="1"/>
  <c r="J874" i="2" s="1"/>
  <c r="M874" i="2" s="1"/>
  <c r="P874" i="2" s="1"/>
  <c r="N1029" i="2"/>
  <c r="O1029" i="2"/>
  <c r="G1030" i="2"/>
  <c r="I1030" i="2" s="1"/>
  <c r="K1030" i="2" s="1"/>
  <c r="H1030" i="2"/>
  <c r="D1031" i="2"/>
  <c r="B1031" i="2"/>
  <c r="A1032" i="2"/>
  <c r="F875" i="2" l="1"/>
  <c r="J875" i="2" s="1"/>
  <c r="M875" i="2" s="1"/>
  <c r="P875" i="2" s="1"/>
  <c r="A1033" i="2"/>
  <c r="B1032" i="2"/>
  <c r="D1032" i="2"/>
  <c r="H1031" i="2"/>
  <c r="G1031" i="2"/>
  <c r="I1031" i="2" s="1"/>
  <c r="K1031" i="2" s="1"/>
  <c r="N1030" i="2"/>
  <c r="O1030" i="2"/>
  <c r="F876" i="2" l="1"/>
  <c r="J876" i="2" s="1"/>
  <c r="M876" i="2" s="1"/>
  <c r="P876" i="2" s="1"/>
  <c r="O1031" i="2"/>
  <c r="N1031" i="2"/>
  <c r="H1032" i="2"/>
  <c r="G1032" i="2"/>
  <c r="I1032" i="2" s="1"/>
  <c r="K1032" i="2" s="1"/>
  <c r="B1033" i="2"/>
  <c r="D1033" i="2"/>
  <c r="A1034" i="2"/>
  <c r="F877" i="2" l="1"/>
  <c r="J877" i="2" s="1"/>
  <c r="M877" i="2" s="1"/>
  <c r="P877" i="2" s="1"/>
  <c r="G1033" i="2"/>
  <c r="I1033" i="2" s="1"/>
  <c r="K1033" i="2" s="1"/>
  <c r="H1033" i="2"/>
  <c r="N1032" i="2"/>
  <c r="O1032" i="2"/>
  <c r="A1035" i="2"/>
  <c r="D1034" i="2"/>
  <c r="B1034" i="2"/>
  <c r="F878" i="2" l="1"/>
  <c r="J878" i="2" s="1"/>
  <c r="M878" i="2" s="1"/>
  <c r="P878" i="2" s="1"/>
  <c r="H1034" i="2"/>
  <c r="G1034" i="2"/>
  <c r="I1034" i="2" s="1"/>
  <c r="K1034" i="2" s="1"/>
  <c r="A1036" i="2"/>
  <c r="D1035" i="2"/>
  <c r="B1035" i="2"/>
  <c r="O1033" i="2"/>
  <c r="N1033" i="2"/>
  <c r="F879" i="2" l="1"/>
  <c r="J879" i="2" s="1"/>
  <c r="M879" i="2" s="1"/>
  <c r="P879" i="2" s="1"/>
  <c r="H1035" i="2"/>
  <c r="G1035" i="2"/>
  <c r="I1035" i="2" s="1"/>
  <c r="K1035" i="2" s="1"/>
  <c r="A1037" i="2"/>
  <c r="B1036" i="2"/>
  <c r="D1036" i="2"/>
  <c r="N1034" i="2"/>
  <c r="O1034" i="2"/>
  <c r="F880" i="2" l="1"/>
  <c r="J880" i="2" s="1"/>
  <c r="M880" i="2" s="1"/>
  <c r="P880" i="2" s="1"/>
  <c r="G1036" i="2"/>
  <c r="I1036" i="2" s="1"/>
  <c r="K1036" i="2" s="1"/>
  <c r="H1036" i="2"/>
  <c r="A1038" i="2"/>
  <c r="D1037" i="2"/>
  <c r="B1037" i="2"/>
  <c r="O1035" i="2"/>
  <c r="N1035" i="2"/>
  <c r="F881" i="2" l="1"/>
  <c r="J881" i="2" s="1"/>
  <c r="M881" i="2" s="1"/>
  <c r="P881" i="2" s="1"/>
  <c r="H1037" i="2"/>
  <c r="G1037" i="2"/>
  <c r="I1037" i="2" s="1"/>
  <c r="K1037" i="2" s="1"/>
  <c r="A1039" i="2"/>
  <c r="D1038" i="2"/>
  <c r="B1038" i="2"/>
  <c r="N1036" i="2"/>
  <c r="O1036" i="2"/>
  <c r="F882" i="2" l="1"/>
  <c r="J882" i="2" s="1"/>
  <c r="M882" i="2" s="1"/>
  <c r="P882" i="2" s="1"/>
  <c r="G1038" i="2"/>
  <c r="I1038" i="2" s="1"/>
  <c r="K1038" i="2" s="1"/>
  <c r="H1038" i="2"/>
  <c r="D1039" i="2"/>
  <c r="B1039" i="2"/>
  <c r="A1040" i="2"/>
  <c r="N1037" i="2"/>
  <c r="O1037" i="2"/>
  <c r="F883" i="2" l="1"/>
  <c r="J883" i="2" s="1"/>
  <c r="M883" i="2" s="1"/>
  <c r="P883" i="2" s="1"/>
  <c r="A1041" i="2"/>
  <c r="B1040" i="2"/>
  <c r="D1040" i="2"/>
  <c r="H1039" i="2"/>
  <c r="G1039" i="2"/>
  <c r="I1039" i="2" s="1"/>
  <c r="K1039" i="2" s="1"/>
  <c r="F884" i="2" l="1"/>
  <c r="J884" i="2" s="1"/>
  <c r="M884" i="2" s="1"/>
  <c r="P884" i="2" s="1"/>
  <c r="H1040" i="2"/>
  <c r="G1040" i="2"/>
  <c r="I1040" i="2" s="1"/>
  <c r="K1040" i="2" s="1"/>
  <c r="A1042" i="2"/>
  <c r="B1041" i="2"/>
  <c r="D1041" i="2"/>
  <c r="F885" i="2" l="1"/>
  <c r="J885" i="2" s="1"/>
  <c r="M885" i="2" s="1"/>
  <c r="P885" i="2" s="1"/>
  <c r="H1041" i="2"/>
  <c r="G1041" i="2"/>
  <c r="I1041" i="2" s="1"/>
  <c r="K1041" i="2" s="1"/>
  <c r="A1043" i="2"/>
  <c r="D1042" i="2"/>
  <c r="B1042" i="2"/>
  <c r="F886" i="2" l="1"/>
  <c r="J886" i="2" s="1"/>
  <c r="M886" i="2" s="1"/>
  <c r="P886" i="2" s="1"/>
  <c r="H1042" i="2"/>
  <c r="G1042" i="2"/>
  <c r="I1042" i="2" s="1"/>
  <c r="K1042" i="2" s="1"/>
  <c r="A1044" i="2"/>
  <c r="B1043" i="2"/>
  <c r="D1043" i="2"/>
  <c r="F887" i="2" l="1"/>
  <c r="J887" i="2" s="1"/>
  <c r="M887" i="2" s="1"/>
  <c r="P887" i="2" s="1"/>
  <c r="H1043" i="2"/>
  <c r="G1043" i="2"/>
  <c r="I1043" i="2" s="1"/>
  <c r="K1043" i="2" s="1"/>
  <c r="A1045" i="2"/>
  <c r="D1044" i="2"/>
  <c r="B1044" i="2"/>
  <c r="F888" i="2" l="1"/>
  <c r="J888" i="2" s="1"/>
  <c r="M888" i="2" s="1"/>
  <c r="P888" i="2" s="1"/>
  <c r="H1044" i="2"/>
  <c r="G1044" i="2"/>
  <c r="I1044" i="2" s="1"/>
  <c r="K1044" i="2" s="1"/>
  <c r="A1046" i="2"/>
  <c r="D1045" i="2"/>
  <c r="B1045" i="2"/>
  <c r="F889" i="2" l="1"/>
  <c r="J889" i="2" s="1"/>
  <c r="M889" i="2" s="1"/>
  <c r="P889" i="2" s="1"/>
  <c r="H1045" i="2"/>
  <c r="G1045" i="2"/>
  <c r="I1045" i="2" s="1"/>
  <c r="K1045" i="2" s="1"/>
  <c r="A1047" i="2"/>
  <c r="D1046" i="2"/>
  <c r="B1046" i="2"/>
  <c r="F890" i="2" l="1"/>
  <c r="J890" i="2" s="1"/>
  <c r="M890" i="2" s="1"/>
  <c r="P890" i="2" s="1"/>
  <c r="H1046" i="2"/>
  <c r="G1046" i="2"/>
  <c r="I1046" i="2" s="1"/>
  <c r="K1046" i="2" s="1"/>
  <c r="A1048" i="2"/>
  <c r="D1047" i="2"/>
  <c r="B1047" i="2"/>
  <c r="F891" i="2" l="1"/>
  <c r="J891" i="2" s="1"/>
  <c r="M891" i="2" s="1"/>
  <c r="P891" i="2" s="1"/>
  <c r="H1047" i="2"/>
  <c r="G1047" i="2"/>
  <c r="I1047" i="2" s="1"/>
  <c r="K1047" i="2" s="1"/>
  <c r="A1049" i="2"/>
  <c r="B1048" i="2"/>
  <c r="D1048" i="2"/>
  <c r="F892" i="2" l="1"/>
  <c r="J892" i="2" s="1"/>
  <c r="M892" i="2" s="1"/>
  <c r="P892" i="2" s="1"/>
  <c r="H1048" i="2"/>
  <c r="G1048" i="2"/>
  <c r="I1048" i="2" s="1"/>
  <c r="K1048" i="2" s="1"/>
  <c r="A1050" i="2"/>
  <c r="B1049" i="2"/>
  <c r="D1049" i="2"/>
  <c r="F893" i="2" l="1"/>
  <c r="J893" i="2" s="1"/>
  <c r="M893" i="2" s="1"/>
  <c r="P893" i="2" s="1"/>
  <c r="H1049" i="2"/>
  <c r="G1049" i="2"/>
  <c r="I1049" i="2" s="1"/>
  <c r="K1049" i="2" s="1"/>
  <c r="A1051" i="2"/>
  <c r="B1050" i="2"/>
  <c r="D1050" i="2"/>
  <c r="F894" i="2" l="1"/>
  <c r="J894" i="2" s="1"/>
  <c r="M894" i="2" s="1"/>
  <c r="P894" i="2" s="1"/>
  <c r="H1050" i="2"/>
  <c r="G1050" i="2"/>
  <c r="I1050" i="2" s="1"/>
  <c r="K1050" i="2" s="1"/>
  <c r="A1052" i="2"/>
  <c r="B1051" i="2"/>
  <c r="D1051" i="2"/>
  <c r="F895" i="2" l="1"/>
  <c r="J895" i="2" s="1"/>
  <c r="M895" i="2" s="1"/>
  <c r="P895" i="2" s="1"/>
  <c r="H1051" i="2"/>
  <c r="G1051" i="2"/>
  <c r="I1051" i="2" s="1"/>
  <c r="K1051" i="2" s="1"/>
  <c r="A1053" i="2"/>
  <c r="B1052" i="2"/>
  <c r="D1052" i="2"/>
  <c r="F896" i="2" l="1"/>
  <c r="J896" i="2" s="1"/>
  <c r="M896" i="2" s="1"/>
  <c r="P896" i="2" s="1"/>
  <c r="H1052" i="2"/>
  <c r="G1052" i="2"/>
  <c r="I1052" i="2" s="1"/>
  <c r="K1052" i="2" s="1"/>
  <c r="A1054" i="2"/>
  <c r="D1053" i="2"/>
  <c r="B1053" i="2"/>
  <c r="F897" i="2" l="1"/>
  <c r="J897" i="2" s="1"/>
  <c r="M897" i="2" s="1"/>
  <c r="P897" i="2" s="1"/>
  <c r="H1053" i="2"/>
  <c r="G1053" i="2"/>
  <c r="I1053" i="2" s="1"/>
  <c r="K1053" i="2" s="1"/>
  <c r="A1055" i="2"/>
  <c r="D1054" i="2"/>
  <c r="B1054" i="2"/>
  <c r="F898" i="2" l="1"/>
  <c r="J898" i="2" s="1"/>
  <c r="M898" i="2" s="1"/>
  <c r="P898" i="2" s="1"/>
  <c r="H1054" i="2"/>
  <c r="G1054" i="2"/>
  <c r="I1054" i="2" s="1"/>
  <c r="K1054" i="2" s="1"/>
  <c r="A1056" i="2"/>
  <c r="B1055" i="2"/>
  <c r="D1055" i="2"/>
  <c r="F899" i="2" l="1"/>
  <c r="J899" i="2" s="1"/>
  <c r="M899" i="2" s="1"/>
  <c r="P899" i="2" s="1"/>
  <c r="H1055" i="2"/>
  <c r="G1055" i="2"/>
  <c r="I1055" i="2" s="1"/>
  <c r="K1055" i="2" s="1"/>
  <c r="A1057" i="2"/>
  <c r="B1056" i="2"/>
  <c r="D1056" i="2"/>
  <c r="F900" i="2" l="1"/>
  <c r="J900" i="2" s="1"/>
  <c r="M900" i="2" s="1"/>
  <c r="P900" i="2" s="1"/>
  <c r="H1056" i="2"/>
  <c r="G1056" i="2"/>
  <c r="I1056" i="2" s="1"/>
  <c r="K1056" i="2" s="1"/>
  <c r="A1058" i="2"/>
  <c r="D1057" i="2"/>
  <c r="B1057" i="2"/>
  <c r="F901" i="2" l="1"/>
  <c r="J901" i="2" s="1"/>
  <c r="M901" i="2" s="1"/>
  <c r="P901" i="2" s="1"/>
  <c r="H1057" i="2"/>
  <c r="G1057" i="2"/>
  <c r="I1057" i="2" s="1"/>
  <c r="K1057" i="2" s="1"/>
  <c r="A1059" i="2"/>
  <c r="D1058" i="2"/>
  <c r="B1058" i="2"/>
  <c r="F902" i="2" l="1"/>
  <c r="J902" i="2" s="1"/>
  <c r="M902" i="2" s="1"/>
  <c r="P902" i="2" s="1"/>
  <c r="H1058" i="2"/>
  <c r="G1058" i="2"/>
  <c r="I1058" i="2" s="1"/>
  <c r="K1058" i="2" s="1"/>
  <c r="A1060" i="2"/>
  <c r="B1059" i="2"/>
  <c r="D1059" i="2"/>
  <c r="F903" i="2" l="1"/>
  <c r="J903" i="2" s="1"/>
  <c r="M903" i="2" s="1"/>
  <c r="P903" i="2" s="1"/>
  <c r="H1059" i="2"/>
  <c r="G1059" i="2"/>
  <c r="I1059" i="2" s="1"/>
  <c r="K1059" i="2" s="1"/>
  <c r="A1061" i="2"/>
  <c r="B1060" i="2"/>
  <c r="D1060" i="2"/>
  <c r="F904" i="2" l="1"/>
  <c r="J904" i="2" s="1"/>
  <c r="M904" i="2" s="1"/>
  <c r="P904" i="2" s="1"/>
  <c r="H1060" i="2"/>
  <c r="G1060" i="2"/>
  <c r="I1060" i="2" s="1"/>
  <c r="K1060" i="2" s="1"/>
  <c r="A1062" i="2"/>
  <c r="B1061" i="2"/>
  <c r="D1061" i="2"/>
  <c r="F905" i="2" l="1"/>
  <c r="J905" i="2" s="1"/>
  <c r="M905" i="2" s="1"/>
  <c r="P905" i="2" s="1"/>
  <c r="H1061" i="2"/>
  <c r="G1061" i="2"/>
  <c r="I1061" i="2" s="1"/>
  <c r="K1061" i="2" s="1"/>
  <c r="D1062" i="2"/>
  <c r="B1062" i="2"/>
  <c r="A1063" i="2"/>
  <c r="F906" i="2" l="1"/>
  <c r="J906" i="2" s="1"/>
  <c r="M906" i="2" s="1"/>
  <c r="P906" i="2" s="1"/>
  <c r="A1064" i="2"/>
  <c r="D1063" i="2"/>
  <c r="B1063" i="2"/>
  <c r="H1062" i="2"/>
  <c r="G1062" i="2"/>
  <c r="I1062" i="2" s="1"/>
  <c r="K1062" i="2" s="1"/>
  <c r="F907" i="2" l="1"/>
  <c r="J907" i="2" s="1"/>
  <c r="M907" i="2" s="1"/>
  <c r="P907" i="2" s="1"/>
  <c r="H1063" i="2"/>
  <c r="G1063" i="2"/>
  <c r="I1063" i="2" s="1"/>
  <c r="K1063" i="2" s="1"/>
  <c r="A1065" i="2"/>
  <c r="B1064" i="2"/>
  <c r="D1064" i="2"/>
  <c r="F908" i="2" l="1"/>
  <c r="J908" i="2" s="1"/>
  <c r="M908" i="2" s="1"/>
  <c r="P908" i="2" s="1"/>
  <c r="H1064" i="2"/>
  <c r="G1064" i="2"/>
  <c r="I1064" i="2" s="1"/>
  <c r="K1064" i="2" s="1"/>
  <c r="A1066" i="2"/>
  <c r="B1065" i="2"/>
  <c r="D1065" i="2"/>
  <c r="F909" i="2" l="1"/>
  <c r="J909" i="2" s="1"/>
  <c r="M909" i="2" s="1"/>
  <c r="P909" i="2" s="1"/>
  <c r="H1065" i="2"/>
  <c r="G1065" i="2"/>
  <c r="I1065" i="2" s="1"/>
  <c r="K1065" i="2" s="1"/>
  <c r="B1066" i="2"/>
  <c r="D1066" i="2"/>
  <c r="A1067" i="2"/>
  <c r="F910" i="2" l="1"/>
  <c r="J910" i="2" s="1"/>
  <c r="M910" i="2" s="1"/>
  <c r="P910" i="2" s="1"/>
  <c r="B1067" i="2"/>
  <c r="D1067" i="2"/>
  <c r="A1068" i="2"/>
  <c r="G1066" i="2"/>
  <c r="I1066" i="2" s="1"/>
  <c r="K1066" i="2" s="1"/>
  <c r="H1066" i="2"/>
  <c r="F911" i="2" l="1"/>
  <c r="J911" i="2" s="1"/>
  <c r="M911" i="2" s="1"/>
  <c r="P911" i="2" s="1"/>
  <c r="A1069" i="2"/>
  <c r="B1068" i="2"/>
  <c r="D1068" i="2"/>
  <c r="H1067" i="2"/>
  <c r="G1067" i="2"/>
  <c r="I1067" i="2" s="1"/>
  <c r="K1067" i="2" s="1"/>
  <c r="F912" i="2" l="1"/>
  <c r="J912" i="2" s="1"/>
  <c r="M912" i="2" s="1"/>
  <c r="P912" i="2" s="1"/>
  <c r="H1068" i="2"/>
  <c r="G1068" i="2"/>
  <c r="I1068" i="2" s="1"/>
  <c r="K1068" i="2" s="1"/>
  <c r="D1069" i="2"/>
  <c r="A1070" i="2"/>
  <c r="B1069" i="2"/>
  <c r="F913" i="2" l="1"/>
  <c r="J913" i="2" s="1"/>
  <c r="M913" i="2" s="1"/>
  <c r="P913" i="2" s="1"/>
  <c r="A1071" i="2"/>
  <c r="D1070" i="2"/>
  <c r="B1070" i="2"/>
  <c r="H1069" i="2"/>
  <c r="G1069" i="2"/>
  <c r="I1069" i="2" s="1"/>
  <c r="K1069" i="2" s="1"/>
  <c r="F914" i="2" l="1"/>
  <c r="J914" i="2" s="1"/>
  <c r="M914" i="2" s="1"/>
  <c r="P914" i="2" s="1"/>
  <c r="H1070" i="2"/>
  <c r="G1070" i="2"/>
  <c r="I1070" i="2" s="1"/>
  <c r="K1070" i="2" s="1"/>
  <c r="A1072" i="2"/>
  <c r="D1071" i="2"/>
  <c r="B1071" i="2"/>
  <c r="F915" i="2" l="1"/>
  <c r="J915" i="2" s="1"/>
  <c r="M915" i="2" s="1"/>
  <c r="P915" i="2" s="1"/>
  <c r="H1071" i="2"/>
  <c r="G1071" i="2"/>
  <c r="I1071" i="2" s="1"/>
  <c r="K1071" i="2" s="1"/>
  <c r="A1073" i="2"/>
  <c r="D1072" i="2"/>
  <c r="B1072" i="2"/>
  <c r="F916" i="2" l="1"/>
  <c r="J916" i="2" s="1"/>
  <c r="M916" i="2" s="1"/>
  <c r="P916" i="2" s="1"/>
  <c r="H1072" i="2"/>
  <c r="G1072" i="2"/>
  <c r="I1072" i="2" s="1"/>
  <c r="K1072" i="2" s="1"/>
  <c r="A1074" i="2"/>
  <c r="B1073" i="2"/>
  <c r="D1073" i="2"/>
  <c r="F917" i="2" l="1"/>
  <c r="J917" i="2" s="1"/>
  <c r="M917" i="2" s="1"/>
  <c r="P917" i="2" s="1"/>
  <c r="H1073" i="2"/>
  <c r="G1073" i="2"/>
  <c r="I1073" i="2" s="1"/>
  <c r="K1073" i="2" s="1"/>
  <c r="A1075" i="2"/>
  <c r="B1074" i="2"/>
  <c r="D1074" i="2"/>
  <c r="F918" i="2" l="1"/>
  <c r="J918" i="2" s="1"/>
  <c r="M918" i="2" s="1"/>
  <c r="P918" i="2" s="1"/>
  <c r="H1074" i="2"/>
  <c r="G1074" i="2"/>
  <c r="I1074" i="2" s="1"/>
  <c r="K1074" i="2" s="1"/>
  <c r="A1076" i="2"/>
  <c r="D1075" i="2"/>
  <c r="B1075" i="2"/>
  <c r="F919" i="2" l="1"/>
  <c r="J919" i="2" s="1"/>
  <c r="M919" i="2" s="1"/>
  <c r="P919" i="2" s="1"/>
  <c r="H1075" i="2"/>
  <c r="G1075" i="2"/>
  <c r="I1075" i="2" s="1"/>
  <c r="K1075" i="2" s="1"/>
  <c r="D1076" i="2"/>
  <c r="B1076" i="2"/>
  <c r="A1077" i="2"/>
  <c r="F920" i="2" l="1"/>
  <c r="J920" i="2" s="1"/>
  <c r="M920" i="2" s="1"/>
  <c r="P920" i="2" s="1"/>
  <c r="A1078" i="2"/>
  <c r="D1077" i="2"/>
  <c r="B1077" i="2"/>
  <c r="H1076" i="2"/>
  <c r="G1076" i="2"/>
  <c r="I1076" i="2" s="1"/>
  <c r="K1076" i="2" s="1"/>
  <c r="F921" i="2" l="1"/>
  <c r="J921" i="2" s="1"/>
  <c r="M921" i="2" s="1"/>
  <c r="P921" i="2" s="1"/>
  <c r="H1077" i="2"/>
  <c r="G1077" i="2"/>
  <c r="I1077" i="2" s="1"/>
  <c r="K1077" i="2" s="1"/>
  <c r="A1079" i="2"/>
  <c r="D1078" i="2"/>
  <c r="B1078" i="2"/>
  <c r="F922" i="2" l="1"/>
  <c r="J922" i="2" s="1"/>
  <c r="M922" i="2" s="1"/>
  <c r="P922" i="2" s="1"/>
  <c r="H1078" i="2"/>
  <c r="G1078" i="2"/>
  <c r="I1078" i="2" s="1"/>
  <c r="K1078" i="2" s="1"/>
  <c r="A1080" i="2"/>
  <c r="B1079" i="2"/>
  <c r="D1079" i="2"/>
  <c r="F923" i="2" l="1"/>
  <c r="J923" i="2" s="1"/>
  <c r="M923" i="2" s="1"/>
  <c r="P923" i="2" s="1"/>
  <c r="H1079" i="2"/>
  <c r="G1079" i="2"/>
  <c r="I1079" i="2" s="1"/>
  <c r="K1079" i="2" s="1"/>
  <c r="A1081" i="2"/>
  <c r="D1080" i="2"/>
  <c r="B1080" i="2"/>
  <c r="F924" i="2" l="1"/>
  <c r="J924" i="2" s="1"/>
  <c r="M924" i="2" s="1"/>
  <c r="P924" i="2" s="1"/>
  <c r="A1082" i="2"/>
  <c r="D1081" i="2"/>
  <c r="B1081" i="2"/>
  <c r="H1080" i="2"/>
  <c r="G1080" i="2"/>
  <c r="I1080" i="2" s="1"/>
  <c r="K1080" i="2" s="1"/>
  <c r="F925" i="2" l="1"/>
  <c r="J925" i="2" s="1"/>
  <c r="M925" i="2" s="1"/>
  <c r="P925" i="2" s="1"/>
  <c r="H1081" i="2"/>
  <c r="G1081" i="2"/>
  <c r="I1081" i="2" s="1"/>
  <c r="K1081" i="2" s="1"/>
  <c r="A1083" i="2"/>
  <c r="B1082" i="2"/>
  <c r="D1082" i="2"/>
  <c r="F926" i="2" l="1"/>
  <c r="J926" i="2" s="1"/>
  <c r="M926" i="2" s="1"/>
  <c r="P926" i="2" s="1"/>
  <c r="H1082" i="2"/>
  <c r="G1082" i="2"/>
  <c r="I1082" i="2" s="1"/>
  <c r="K1082" i="2" s="1"/>
  <c r="A1084" i="2"/>
  <c r="B1083" i="2"/>
  <c r="D1083" i="2"/>
  <c r="F927" i="2" l="1"/>
  <c r="J927" i="2" s="1"/>
  <c r="M927" i="2" s="1"/>
  <c r="P927" i="2" s="1"/>
  <c r="H1083" i="2"/>
  <c r="G1083" i="2"/>
  <c r="I1083" i="2" s="1"/>
  <c r="K1083" i="2" s="1"/>
  <c r="A1085" i="2"/>
  <c r="D1084" i="2"/>
  <c r="B1084" i="2"/>
  <c r="F928" i="2" l="1"/>
  <c r="J928" i="2" s="1"/>
  <c r="M928" i="2" s="1"/>
  <c r="P928" i="2" s="1"/>
  <c r="H1084" i="2"/>
  <c r="G1084" i="2"/>
  <c r="I1084" i="2" s="1"/>
  <c r="K1084" i="2" s="1"/>
  <c r="D1085" i="2"/>
  <c r="B1085" i="2"/>
  <c r="A1086" i="2"/>
  <c r="F929" i="2" l="1"/>
  <c r="J929" i="2" s="1"/>
  <c r="M929" i="2" s="1"/>
  <c r="P929" i="2" s="1"/>
  <c r="A1087" i="2"/>
  <c r="B1086" i="2"/>
  <c r="D1086" i="2"/>
  <c r="H1085" i="2"/>
  <c r="G1085" i="2"/>
  <c r="I1085" i="2" s="1"/>
  <c r="K1085" i="2" s="1"/>
  <c r="F930" i="2" l="1"/>
  <c r="J930" i="2" s="1"/>
  <c r="M930" i="2" s="1"/>
  <c r="P930" i="2" s="1"/>
  <c r="H1086" i="2"/>
  <c r="G1086" i="2"/>
  <c r="I1086" i="2" s="1"/>
  <c r="K1086" i="2" s="1"/>
  <c r="D1087" i="2"/>
  <c r="A1088" i="2"/>
  <c r="B1087" i="2"/>
  <c r="F931" i="2" l="1"/>
  <c r="J931" i="2" s="1"/>
  <c r="M931" i="2" s="1"/>
  <c r="P931" i="2" s="1"/>
  <c r="A1089" i="2"/>
  <c r="D1088" i="2"/>
  <c r="B1088" i="2"/>
  <c r="H1087" i="2"/>
  <c r="G1087" i="2"/>
  <c r="I1087" i="2" s="1"/>
  <c r="K1087" i="2" s="1"/>
  <c r="F932" i="2" l="1"/>
  <c r="J932" i="2" s="1"/>
  <c r="M932" i="2" s="1"/>
  <c r="P932" i="2" s="1"/>
  <c r="H1088" i="2"/>
  <c r="G1088" i="2"/>
  <c r="I1088" i="2" s="1"/>
  <c r="K1088" i="2" s="1"/>
  <c r="A1090" i="2"/>
  <c r="B1089" i="2"/>
  <c r="D1089" i="2"/>
  <c r="F933" i="2" l="1"/>
  <c r="J933" i="2" s="1"/>
  <c r="M933" i="2" s="1"/>
  <c r="P933" i="2" s="1"/>
  <c r="H1089" i="2"/>
  <c r="G1089" i="2"/>
  <c r="I1089" i="2" s="1"/>
  <c r="K1089" i="2" s="1"/>
  <c r="D1090" i="2"/>
  <c r="B1090" i="2"/>
  <c r="A1091" i="2"/>
  <c r="F934" i="2" l="1"/>
  <c r="J934" i="2" s="1"/>
  <c r="M934" i="2" s="1"/>
  <c r="P934" i="2" s="1"/>
  <c r="D1091" i="2"/>
  <c r="B1091" i="2"/>
  <c r="H1090" i="2"/>
  <c r="G1090" i="2"/>
  <c r="I1090" i="2" s="1"/>
  <c r="K1090" i="2" s="1"/>
  <c r="F935" i="2" l="1"/>
  <c r="J935" i="2" s="1"/>
  <c r="M935" i="2" s="1"/>
  <c r="P935" i="2" s="1"/>
  <c r="H1091" i="2"/>
  <c r="G1091" i="2"/>
  <c r="I1091" i="2" s="1"/>
  <c r="K1091" i="2" s="1"/>
  <c r="F936" i="2" l="1"/>
  <c r="J936" i="2" s="1"/>
  <c r="M936" i="2" s="1"/>
  <c r="P936" i="2" s="1"/>
  <c r="F937" i="2" l="1"/>
  <c r="J937" i="2" s="1"/>
  <c r="M937" i="2" s="1"/>
  <c r="P937" i="2" s="1"/>
  <c r="F938" i="2" l="1"/>
  <c r="J938" i="2" s="1"/>
  <c r="M938" i="2" s="1"/>
  <c r="P938" i="2" s="1"/>
  <c r="F939" i="2" l="1"/>
  <c r="J939" i="2" s="1"/>
  <c r="M939" i="2" s="1"/>
  <c r="P939" i="2" s="1"/>
  <c r="F940" i="2" l="1"/>
  <c r="J940" i="2" s="1"/>
  <c r="M940" i="2" s="1"/>
  <c r="P940" i="2" s="1"/>
  <c r="F941" i="2" l="1"/>
  <c r="J941" i="2" s="1"/>
  <c r="M941" i="2" s="1"/>
  <c r="P941" i="2" s="1"/>
  <c r="F942" i="2" l="1"/>
  <c r="J942" i="2" s="1"/>
  <c r="M942" i="2" s="1"/>
  <c r="P942" i="2" s="1"/>
  <c r="F943" i="2" l="1"/>
  <c r="J943" i="2" s="1"/>
  <c r="M943" i="2" s="1"/>
  <c r="P943" i="2" s="1"/>
  <c r="F944" i="2" l="1"/>
  <c r="J944" i="2" s="1"/>
  <c r="M944" i="2" s="1"/>
  <c r="P944" i="2" s="1"/>
  <c r="F945" i="2" l="1"/>
  <c r="J945" i="2" s="1"/>
  <c r="M945" i="2" s="1"/>
  <c r="P945" i="2" s="1"/>
  <c r="F946" i="2" l="1"/>
  <c r="J946" i="2" s="1"/>
  <c r="M946" i="2" s="1"/>
  <c r="P946" i="2" s="1"/>
  <c r="F947" i="2" l="1"/>
  <c r="J947" i="2" s="1"/>
  <c r="M947" i="2" s="1"/>
  <c r="P947" i="2" s="1"/>
  <c r="F948" i="2" l="1"/>
  <c r="J948" i="2" s="1"/>
  <c r="M948" i="2" s="1"/>
  <c r="P948" i="2" s="1"/>
  <c r="F949" i="2" l="1"/>
  <c r="J949" i="2" s="1"/>
  <c r="M949" i="2" s="1"/>
  <c r="P949" i="2" s="1"/>
  <c r="F950" i="2" l="1"/>
  <c r="J950" i="2" s="1"/>
  <c r="M950" i="2" s="1"/>
  <c r="P950" i="2" s="1"/>
  <c r="F951" i="2" l="1"/>
  <c r="J951" i="2" s="1"/>
  <c r="M951" i="2" s="1"/>
  <c r="P951" i="2" s="1"/>
  <c r="F952" i="2" l="1"/>
  <c r="J952" i="2" s="1"/>
  <c r="M952" i="2" s="1"/>
  <c r="P952" i="2" s="1"/>
  <c r="F953" i="2" l="1"/>
  <c r="J953" i="2" s="1"/>
  <c r="M953" i="2" s="1"/>
  <c r="P953" i="2" s="1"/>
  <c r="F954" i="2" l="1"/>
  <c r="J954" i="2" s="1"/>
  <c r="M954" i="2" s="1"/>
  <c r="P954" i="2" s="1"/>
  <c r="F955" i="2" l="1"/>
  <c r="J955" i="2" s="1"/>
  <c r="M955" i="2" s="1"/>
  <c r="P955" i="2" s="1"/>
  <c r="F956" i="2" l="1"/>
  <c r="J956" i="2" s="1"/>
  <c r="M956" i="2" s="1"/>
  <c r="P956" i="2" s="1"/>
  <c r="F957" i="2" l="1"/>
  <c r="J957" i="2" s="1"/>
  <c r="M957" i="2" s="1"/>
  <c r="P957" i="2" s="1"/>
  <c r="F958" i="2" l="1"/>
  <c r="J958" i="2" s="1"/>
  <c r="M958" i="2" s="1"/>
  <c r="P958" i="2" s="1"/>
  <c r="F959" i="2" l="1"/>
  <c r="J959" i="2" s="1"/>
  <c r="M959" i="2" s="1"/>
  <c r="P959" i="2" s="1"/>
  <c r="F960" i="2" l="1"/>
  <c r="J960" i="2" s="1"/>
  <c r="M960" i="2" s="1"/>
  <c r="P960" i="2" s="1"/>
  <c r="F961" i="2" l="1"/>
  <c r="J961" i="2" s="1"/>
  <c r="M961" i="2" s="1"/>
  <c r="P961" i="2" s="1"/>
  <c r="F962" i="2" l="1"/>
  <c r="J962" i="2" s="1"/>
  <c r="M962" i="2" s="1"/>
  <c r="P962" i="2" s="1"/>
  <c r="F963" i="2" l="1"/>
  <c r="J963" i="2" s="1"/>
  <c r="M963" i="2" s="1"/>
  <c r="P963" i="2" s="1"/>
  <c r="F964" i="2" l="1"/>
  <c r="J964" i="2" s="1"/>
  <c r="M964" i="2" s="1"/>
  <c r="P964" i="2" s="1"/>
  <c r="F965" i="2" l="1"/>
  <c r="J965" i="2" s="1"/>
  <c r="M965" i="2" s="1"/>
  <c r="P965" i="2" s="1"/>
  <c r="F966" i="2" l="1"/>
  <c r="J966" i="2" s="1"/>
  <c r="M966" i="2" s="1"/>
  <c r="P966" i="2" s="1"/>
  <c r="F967" i="2" l="1"/>
  <c r="J967" i="2" s="1"/>
  <c r="M967" i="2" s="1"/>
  <c r="P967" i="2" s="1"/>
  <c r="F968" i="2" l="1"/>
  <c r="J968" i="2" s="1"/>
  <c r="M968" i="2" s="1"/>
  <c r="P968" i="2" s="1"/>
  <c r="F969" i="2" l="1"/>
  <c r="J969" i="2" s="1"/>
  <c r="M969" i="2" s="1"/>
  <c r="P969" i="2" s="1"/>
  <c r="F970" i="2" l="1"/>
  <c r="J970" i="2" s="1"/>
  <c r="M970" i="2" s="1"/>
  <c r="P970" i="2" s="1"/>
  <c r="F971" i="2" l="1"/>
  <c r="J971" i="2" s="1"/>
  <c r="M971" i="2" s="1"/>
  <c r="P971" i="2" s="1"/>
  <c r="F972" i="2" l="1"/>
  <c r="J972" i="2" s="1"/>
  <c r="M972" i="2" s="1"/>
  <c r="P972" i="2" s="1"/>
  <c r="F973" i="2" l="1"/>
  <c r="J973" i="2" s="1"/>
  <c r="M973" i="2" s="1"/>
  <c r="P973" i="2" s="1"/>
  <c r="F974" i="2" l="1"/>
  <c r="J974" i="2" s="1"/>
  <c r="M974" i="2" s="1"/>
  <c r="P974" i="2" s="1"/>
  <c r="F975" i="2" l="1"/>
  <c r="J975" i="2" s="1"/>
  <c r="M975" i="2" s="1"/>
  <c r="P975" i="2" s="1"/>
  <c r="F976" i="2" l="1"/>
  <c r="J976" i="2" s="1"/>
  <c r="M976" i="2" s="1"/>
  <c r="P976" i="2" s="1"/>
  <c r="F977" i="2" l="1"/>
  <c r="J977" i="2" s="1"/>
  <c r="M977" i="2" s="1"/>
  <c r="P977" i="2" s="1"/>
  <c r="F978" i="2" l="1"/>
  <c r="J978" i="2" s="1"/>
  <c r="M978" i="2" s="1"/>
  <c r="P978" i="2" s="1"/>
  <c r="F979" i="2" l="1"/>
  <c r="J979" i="2" s="1"/>
  <c r="M979" i="2" s="1"/>
  <c r="P979" i="2" s="1"/>
  <c r="F980" i="2" l="1"/>
  <c r="J980" i="2" s="1"/>
  <c r="M980" i="2" s="1"/>
  <c r="P980" i="2" s="1"/>
  <c r="F981" i="2" l="1"/>
  <c r="J981" i="2" s="1"/>
  <c r="M981" i="2" s="1"/>
  <c r="P981" i="2" s="1"/>
  <c r="F982" i="2" l="1"/>
  <c r="J982" i="2" s="1"/>
  <c r="M982" i="2" s="1"/>
  <c r="P982" i="2" s="1"/>
  <c r="F983" i="2" l="1"/>
  <c r="J983" i="2" s="1"/>
  <c r="M983" i="2" s="1"/>
  <c r="P983" i="2" s="1"/>
  <c r="F984" i="2" l="1"/>
  <c r="J984" i="2" s="1"/>
  <c r="M984" i="2" s="1"/>
  <c r="P984" i="2" s="1"/>
  <c r="F985" i="2" l="1"/>
  <c r="J985" i="2" s="1"/>
  <c r="M985" i="2" s="1"/>
  <c r="P985" i="2" s="1"/>
  <c r="F986" i="2" l="1"/>
  <c r="J986" i="2" s="1"/>
  <c r="M986" i="2" s="1"/>
  <c r="P986" i="2" s="1"/>
  <c r="F987" i="2" l="1"/>
  <c r="J987" i="2" s="1"/>
  <c r="M987" i="2" s="1"/>
  <c r="P987" i="2" s="1"/>
  <c r="F988" i="2" l="1"/>
  <c r="J988" i="2" s="1"/>
  <c r="M988" i="2" s="1"/>
  <c r="P988" i="2" s="1"/>
  <c r="F989" i="2" l="1"/>
  <c r="J989" i="2" s="1"/>
  <c r="M989" i="2" s="1"/>
  <c r="P989" i="2" s="1"/>
  <c r="F990" i="2" l="1"/>
  <c r="J990" i="2" s="1"/>
  <c r="M990" i="2" s="1"/>
  <c r="P990" i="2" s="1"/>
  <c r="F991" i="2" l="1"/>
  <c r="J991" i="2" s="1"/>
  <c r="M991" i="2" s="1"/>
  <c r="P991" i="2" s="1"/>
  <c r="F992" i="2" l="1"/>
  <c r="J992" i="2" s="1"/>
  <c r="M992" i="2" s="1"/>
  <c r="P992" i="2" s="1"/>
  <c r="F993" i="2" l="1"/>
  <c r="J993" i="2" s="1"/>
  <c r="M993" i="2" s="1"/>
  <c r="P993" i="2" s="1"/>
  <c r="F994" i="2" l="1"/>
  <c r="J994" i="2" s="1"/>
  <c r="M994" i="2" s="1"/>
  <c r="P994" i="2" s="1"/>
  <c r="F995" i="2" l="1"/>
  <c r="J995" i="2" s="1"/>
  <c r="M995" i="2" s="1"/>
  <c r="P995" i="2" s="1"/>
  <c r="F996" i="2" l="1"/>
  <c r="J996" i="2" s="1"/>
  <c r="M996" i="2" s="1"/>
  <c r="P996" i="2" s="1"/>
  <c r="F997" i="2" l="1"/>
  <c r="J997" i="2" s="1"/>
  <c r="M997" i="2" s="1"/>
  <c r="P997" i="2" s="1"/>
  <c r="F998" i="2" l="1"/>
  <c r="J998" i="2" s="1"/>
  <c r="M998" i="2" s="1"/>
  <c r="P998" i="2" s="1"/>
  <c r="F999" i="2" l="1"/>
  <c r="J999" i="2" s="1"/>
  <c r="M999" i="2" s="1"/>
  <c r="P999" i="2" s="1"/>
  <c r="F1000" i="2" l="1"/>
  <c r="J1000" i="2" s="1"/>
  <c r="M1000" i="2" s="1"/>
  <c r="P1000" i="2" s="1"/>
  <c r="F1001" i="2" l="1"/>
  <c r="J1001" i="2" s="1"/>
  <c r="M1001" i="2" s="1"/>
  <c r="P1001" i="2" s="1"/>
  <c r="F1002" i="2" l="1"/>
  <c r="J1002" i="2" s="1"/>
  <c r="M1002" i="2" s="1"/>
  <c r="P1002" i="2" s="1"/>
  <c r="F1003" i="2" l="1"/>
  <c r="J1003" i="2" s="1"/>
  <c r="M1003" i="2" s="1"/>
  <c r="P1003" i="2" s="1"/>
  <c r="F1004" i="2" l="1"/>
  <c r="J1004" i="2" s="1"/>
  <c r="M1004" i="2" s="1"/>
  <c r="P1004" i="2" s="1"/>
  <c r="F1005" i="2" l="1"/>
  <c r="J1005" i="2" s="1"/>
  <c r="M1005" i="2" s="1"/>
  <c r="P1005" i="2" s="1"/>
  <c r="F1006" i="2" l="1"/>
  <c r="J1006" i="2" s="1"/>
  <c r="M1006" i="2" s="1"/>
  <c r="P1006" i="2" s="1"/>
  <c r="F1007" i="2" l="1"/>
  <c r="J1007" i="2" s="1"/>
  <c r="M1007" i="2" s="1"/>
  <c r="P1007" i="2" s="1"/>
  <c r="F1008" i="2" l="1"/>
  <c r="J1008" i="2" s="1"/>
  <c r="M1008" i="2" s="1"/>
  <c r="P1008" i="2" s="1"/>
  <c r="F1009" i="2" l="1"/>
  <c r="J1009" i="2" s="1"/>
  <c r="M1009" i="2" s="1"/>
  <c r="P1009" i="2" s="1"/>
  <c r="F1010" i="2" l="1"/>
  <c r="J1010" i="2" s="1"/>
  <c r="M1010" i="2" s="1"/>
  <c r="P1010" i="2" s="1"/>
  <c r="F1011" i="2" l="1"/>
  <c r="J1011" i="2" s="1"/>
  <c r="M1011" i="2" s="1"/>
  <c r="P1011" i="2" s="1"/>
  <c r="F1012" i="2" l="1"/>
  <c r="J1012" i="2" s="1"/>
  <c r="M1012" i="2" s="1"/>
  <c r="P1012" i="2" s="1"/>
  <c r="F1013" i="2" l="1"/>
  <c r="J1013" i="2" s="1"/>
  <c r="M1013" i="2" s="1"/>
  <c r="P1013" i="2" s="1"/>
  <c r="F1014" i="2" l="1"/>
  <c r="J1014" i="2" s="1"/>
  <c r="M1014" i="2" s="1"/>
  <c r="P1014" i="2" s="1"/>
  <c r="F1015" i="2" l="1"/>
  <c r="J1015" i="2" s="1"/>
  <c r="M1015" i="2" s="1"/>
  <c r="P1015" i="2" s="1"/>
  <c r="F1016" i="2" l="1"/>
  <c r="J1016" i="2" s="1"/>
  <c r="M1016" i="2" s="1"/>
  <c r="P1016" i="2" s="1"/>
  <c r="F1017" i="2" l="1"/>
  <c r="J1017" i="2" s="1"/>
  <c r="M1017" i="2" s="1"/>
  <c r="P1017" i="2" s="1"/>
  <c r="F1018" i="2" l="1"/>
  <c r="J1018" i="2" s="1"/>
  <c r="M1018" i="2" s="1"/>
  <c r="P1018" i="2" s="1"/>
  <c r="F1019" i="2" l="1"/>
  <c r="J1019" i="2" s="1"/>
  <c r="M1019" i="2" s="1"/>
  <c r="P1019" i="2" s="1"/>
  <c r="F1020" i="2" l="1"/>
  <c r="J1020" i="2" s="1"/>
  <c r="M1020" i="2" s="1"/>
  <c r="P1020" i="2" s="1"/>
  <c r="F1021" i="2" l="1"/>
  <c r="J1021" i="2" s="1"/>
  <c r="M1021" i="2" s="1"/>
  <c r="P1021" i="2" s="1"/>
  <c r="F1022" i="2" l="1"/>
  <c r="J1022" i="2" s="1"/>
  <c r="M1022" i="2" s="1"/>
  <c r="P1022" i="2" s="1"/>
  <c r="F1023" i="2" l="1"/>
  <c r="J1023" i="2" s="1"/>
  <c r="M1023" i="2" s="1"/>
  <c r="P1023" i="2" s="1"/>
  <c r="F1024" i="2" l="1"/>
  <c r="J1024" i="2" s="1"/>
  <c r="M1024" i="2" s="1"/>
  <c r="P1024" i="2" s="1"/>
  <c r="F1025" i="2" l="1"/>
  <c r="J1025" i="2" s="1"/>
  <c r="M1025" i="2" s="1"/>
  <c r="P1025" i="2" s="1"/>
  <c r="F1026" i="2" l="1"/>
  <c r="J1026" i="2" s="1"/>
  <c r="M1026" i="2" s="1"/>
  <c r="P1026" i="2" s="1"/>
  <c r="F1027" i="2" l="1"/>
  <c r="J1027" i="2" s="1"/>
  <c r="M1027" i="2" s="1"/>
  <c r="P1027" i="2" s="1"/>
  <c r="F1028" i="2" l="1"/>
  <c r="J1028" i="2" s="1"/>
  <c r="M1028" i="2" s="1"/>
  <c r="P1028" i="2" s="1"/>
  <c r="F1029" i="2" l="1"/>
  <c r="J1029" i="2" s="1"/>
  <c r="M1029" i="2" s="1"/>
  <c r="P1029" i="2" s="1"/>
  <c r="F1030" i="2" l="1"/>
  <c r="J1030" i="2" s="1"/>
  <c r="M1030" i="2" s="1"/>
  <c r="P1030" i="2" s="1"/>
  <c r="F1031" i="2" l="1"/>
  <c r="J1031" i="2" s="1"/>
  <c r="M1031" i="2" s="1"/>
  <c r="P1031" i="2" s="1"/>
  <c r="F1032" i="2" l="1"/>
  <c r="J1032" i="2" s="1"/>
  <c r="M1032" i="2" s="1"/>
  <c r="P1032" i="2" s="1"/>
  <c r="F1033" i="2" l="1"/>
  <c r="J1033" i="2" s="1"/>
  <c r="M1033" i="2" s="1"/>
  <c r="P1033" i="2" s="1"/>
  <c r="F1034" i="2" l="1"/>
  <c r="J1034" i="2" s="1"/>
  <c r="M1034" i="2" s="1"/>
  <c r="P1034" i="2" s="1"/>
  <c r="F1035" i="2" l="1"/>
  <c r="J1035" i="2" s="1"/>
  <c r="M1035" i="2" s="1"/>
  <c r="P1035" i="2" s="1"/>
  <c r="F1036" i="2" l="1"/>
  <c r="J1036" i="2" s="1"/>
  <c r="M1036" i="2" s="1"/>
  <c r="P1036" i="2" s="1"/>
  <c r="F1037" i="2" l="1"/>
  <c r="J1037" i="2" s="1"/>
  <c r="M1037" i="2" s="1"/>
  <c r="P1037" i="2" s="1"/>
  <c r="F1038" i="2" l="1"/>
  <c r="J1038" i="2" s="1"/>
  <c r="M1038" i="2" s="1"/>
  <c r="F1039" i="2" l="1"/>
  <c r="J1039" i="2" s="1"/>
  <c r="M1039" i="2" s="1"/>
  <c r="F1040" i="2" l="1"/>
  <c r="J1040" i="2" s="1"/>
  <c r="M1040" i="2" s="1"/>
  <c r="F1041" i="2" l="1"/>
  <c r="J1041" i="2" s="1"/>
  <c r="M1041" i="2" s="1"/>
  <c r="F1042" i="2" l="1"/>
  <c r="J1042" i="2" s="1"/>
  <c r="M1042" i="2" s="1"/>
  <c r="F1043" i="2" l="1"/>
  <c r="J1043" i="2" s="1"/>
  <c r="M1043" i="2" s="1"/>
  <c r="F1044" i="2" l="1"/>
  <c r="J1044" i="2" s="1"/>
  <c r="M1044" i="2" s="1"/>
  <c r="F1045" i="2" l="1"/>
  <c r="J1045" i="2" s="1"/>
  <c r="M1045" i="2" s="1"/>
  <c r="F1046" i="2" l="1"/>
  <c r="J1046" i="2" s="1"/>
  <c r="M1046" i="2" s="1"/>
  <c r="F1047" i="2" l="1"/>
  <c r="J1047" i="2" s="1"/>
  <c r="M1047" i="2" s="1"/>
  <c r="F1048" i="2" l="1"/>
  <c r="J1048" i="2" s="1"/>
  <c r="M1048" i="2" s="1"/>
  <c r="F1049" i="2" l="1"/>
  <c r="J1049" i="2" s="1"/>
  <c r="M1049" i="2" s="1"/>
  <c r="F1050" i="2" l="1"/>
  <c r="J1050" i="2" s="1"/>
  <c r="M1050" i="2" s="1"/>
  <c r="F1051" i="2" l="1"/>
  <c r="J1051" i="2" s="1"/>
  <c r="M1051" i="2" s="1"/>
  <c r="F1052" i="2" l="1"/>
  <c r="J1052" i="2" s="1"/>
  <c r="M1052" i="2" s="1"/>
  <c r="F1053" i="2" l="1"/>
  <c r="J1053" i="2" s="1"/>
  <c r="M1053" i="2" s="1"/>
  <c r="F1054" i="2" l="1"/>
  <c r="J1054" i="2" s="1"/>
  <c r="M1054" i="2" s="1"/>
  <c r="F1055" i="2" l="1"/>
  <c r="J1055" i="2" s="1"/>
  <c r="M1055" i="2" s="1"/>
  <c r="F1056" i="2" l="1"/>
  <c r="J1056" i="2" s="1"/>
  <c r="M1056" i="2" s="1"/>
  <c r="F1057" i="2" l="1"/>
  <c r="J1057" i="2" s="1"/>
  <c r="M1057" i="2" s="1"/>
  <c r="F1058" i="2" l="1"/>
  <c r="J1058" i="2" s="1"/>
  <c r="M1058" i="2" s="1"/>
  <c r="F1059" i="2" l="1"/>
  <c r="J1059" i="2" s="1"/>
  <c r="M1059" i="2" s="1"/>
  <c r="F1060" i="2" l="1"/>
  <c r="J1060" i="2" s="1"/>
  <c r="M1060" i="2" s="1"/>
  <c r="F1061" i="2" l="1"/>
  <c r="J1061" i="2" s="1"/>
  <c r="M1061" i="2" s="1"/>
  <c r="F1062" i="2" l="1"/>
  <c r="J1062" i="2" s="1"/>
  <c r="M1062" i="2" s="1"/>
  <c r="F1063" i="2" l="1"/>
  <c r="J1063" i="2" s="1"/>
  <c r="M1063" i="2" s="1"/>
  <c r="F1064" i="2" l="1"/>
  <c r="J1064" i="2" s="1"/>
  <c r="M1064" i="2" s="1"/>
  <c r="F1065" i="2" l="1"/>
  <c r="J1065" i="2" s="1"/>
  <c r="M1065" i="2" s="1"/>
  <c r="F1066" i="2" l="1"/>
  <c r="J1066" i="2" s="1"/>
  <c r="M1066" i="2" s="1"/>
  <c r="F1067" i="2" l="1"/>
  <c r="J1067" i="2" s="1"/>
  <c r="M1067" i="2" s="1"/>
  <c r="F1068" i="2" l="1"/>
  <c r="J1068" i="2" s="1"/>
  <c r="M1068" i="2" s="1"/>
  <c r="F1069" i="2" l="1"/>
  <c r="J1069" i="2" s="1"/>
  <c r="M1069" i="2" s="1"/>
  <c r="F1070" i="2" l="1"/>
  <c r="J1070" i="2" s="1"/>
  <c r="M1070" i="2" s="1"/>
  <c r="F1071" i="2" l="1"/>
  <c r="J1071" i="2" s="1"/>
  <c r="M1071" i="2" s="1"/>
  <c r="F1072" i="2" l="1"/>
  <c r="J1072" i="2" s="1"/>
  <c r="M1072" i="2" s="1"/>
  <c r="F1073" i="2" l="1"/>
  <c r="J1073" i="2" s="1"/>
  <c r="M1073" i="2" s="1"/>
  <c r="F1074" i="2" l="1"/>
  <c r="J1074" i="2" s="1"/>
  <c r="M1074" i="2" s="1"/>
  <c r="F1075" i="2" l="1"/>
  <c r="J1075" i="2" s="1"/>
  <c r="M1075" i="2" s="1"/>
  <c r="F1076" i="2" l="1"/>
  <c r="J1076" i="2" s="1"/>
  <c r="M1076" i="2" s="1"/>
  <c r="F1077" i="2" l="1"/>
  <c r="J1077" i="2" s="1"/>
  <c r="M1077" i="2" s="1"/>
  <c r="F1078" i="2" l="1"/>
  <c r="J1078" i="2" s="1"/>
  <c r="M1078" i="2" s="1"/>
  <c r="F1079" i="2" l="1"/>
  <c r="J1079" i="2" s="1"/>
  <c r="M1079" i="2" s="1"/>
  <c r="F1080" i="2" l="1"/>
  <c r="J1080" i="2" s="1"/>
  <c r="M1080" i="2" s="1"/>
  <c r="F1081" i="2" l="1"/>
  <c r="J1081" i="2" s="1"/>
  <c r="M1081" i="2" s="1"/>
  <c r="F1082" i="2" l="1"/>
  <c r="J1082" i="2" s="1"/>
  <c r="M1082" i="2" s="1"/>
  <c r="F1083" i="2" l="1"/>
  <c r="J1083" i="2" s="1"/>
  <c r="M1083" i="2" s="1"/>
  <c r="F1084" i="2" l="1"/>
  <c r="J1084" i="2" s="1"/>
  <c r="M1084" i="2" s="1"/>
  <c r="F1085" i="2" l="1"/>
  <c r="J1085" i="2" s="1"/>
  <c r="M1085" i="2" s="1"/>
  <c r="F1086" i="2" l="1"/>
  <c r="J1086" i="2" s="1"/>
  <c r="M1086" i="2" s="1"/>
  <c r="F1087" i="2" l="1"/>
  <c r="J1087" i="2" s="1"/>
  <c r="M1087" i="2" s="1"/>
  <c r="F1088" i="2" l="1"/>
  <c r="J1088" i="2" s="1"/>
  <c r="M1088" i="2" s="1"/>
  <c r="F1089" i="2" l="1"/>
  <c r="J1089" i="2" s="1"/>
  <c r="M1089" i="2" s="1"/>
  <c r="F1091" i="2" l="1"/>
  <c r="J1091" i="2" s="1"/>
  <c r="M1091" i="2" s="1"/>
  <c r="F1090" i="2"/>
  <c r="J1090" i="2" s="1"/>
  <c r="M1090" i="2" s="1"/>
</calcChain>
</file>

<file path=xl/sharedStrings.xml><?xml version="1.0" encoding="utf-8"?>
<sst xmlns="http://schemas.openxmlformats.org/spreadsheetml/2006/main" count="84" uniqueCount="61">
  <si>
    <t>Prof. [km]</t>
  </si>
  <si>
    <t>Prof. [m]</t>
  </si>
  <si>
    <t>T_LAB [K]</t>
  </si>
  <si>
    <t>g [m/s^2]</t>
  </si>
  <si>
    <t>Pres_lin [Mpa]</t>
  </si>
  <si>
    <t>rho [kg/m^3]</t>
  </si>
  <si>
    <t xml:space="preserve">rho_0 [kg/m^3] </t>
  </si>
  <si>
    <t>z_LAB</t>
  </si>
  <si>
    <t>T [K]</t>
  </si>
  <si>
    <t>T_sup [K]</t>
  </si>
  <si>
    <t>gradT [K/km]</t>
  </si>
  <si>
    <t xml:space="preserve">alpha = </t>
  </si>
  <si>
    <t xml:space="preserve">beta = </t>
  </si>
  <si>
    <t>mu [Pa s]</t>
  </si>
  <si>
    <t>mu_max</t>
  </si>
  <si>
    <t>A_D [Mpa^-n s^-1]</t>
  </si>
  <si>
    <t>eps_II [s^-1]</t>
  </si>
  <si>
    <t>E [J mol^-1]</t>
  </si>
  <si>
    <t>V [J Mpa^-1 mol^-1]</t>
  </si>
  <si>
    <t>R [J mol^-1 K^-1]</t>
  </si>
  <si>
    <t>n [-]</t>
  </si>
  <si>
    <t>º</t>
  </si>
  <si>
    <t>Turcotte pág 594-595</t>
  </si>
  <si>
    <t>n</t>
  </si>
  <si>
    <t>m</t>
  </si>
  <si>
    <t>Creep</t>
  </si>
  <si>
    <t>Diffusion</t>
  </si>
  <si>
    <t>Dislocation</t>
  </si>
  <si>
    <t>C2</t>
  </si>
  <si>
    <t>[Pa s]</t>
  </si>
  <si>
    <t xml:space="preserve">C1 </t>
  </si>
  <si>
    <t xml:space="preserve">G = </t>
  </si>
  <si>
    <t>[Pa]</t>
  </si>
  <si>
    <t>Va =</t>
  </si>
  <si>
    <t xml:space="preserve">R = </t>
  </si>
  <si>
    <t xml:space="preserve">Ea = </t>
  </si>
  <si>
    <t>[m^3 / mol]</t>
  </si>
  <si>
    <t>[J/(K*mol)]</t>
  </si>
  <si>
    <t>[kJ/mol]</t>
  </si>
  <si>
    <t>[J/mol]</t>
  </si>
  <si>
    <t>A =</t>
  </si>
  <si>
    <t>[1/s]</t>
  </si>
  <si>
    <t>s =</t>
  </si>
  <si>
    <t xml:space="preserve">n = </t>
  </si>
  <si>
    <t>[ ]</t>
  </si>
  <si>
    <t>Pres_lin [Pa]</t>
  </si>
  <si>
    <t>s 2 =</t>
  </si>
  <si>
    <t>mu1 [Pa s]</t>
  </si>
  <si>
    <t>mu2 [Pa s]</t>
  </si>
  <si>
    <t>mimodel</t>
  </si>
  <si>
    <t>E + Va * p (TURCOTTE)</t>
  </si>
  <si>
    <t>E + Va * p (YO)</t>
  </si>
  <si>
    <t>RT (TURC)</t>
  </si>
  <si>
    <t>nRT (YO)</t>
  </si>
  <si>
    <t>exp-term (TURC)</t>
  </si>
  <si>
    <t>exp-term (YO)</t>
  </si>
  <si>
    <t>(Ea + Va * p)/(RT) - TUR</t>
  </si>
  <si>
    <t>(Ea + Va * p)/(RT) - yo</t>
  </si>
  <si>
    <r>
      <t xml:space="preserve">MIS PARÁMETROS - </t>
    </r>
    <r>
      <rPr>
        <i/>
        <sz val="12"/>
        <color theme="1"/>
        <rFont val="Calibri"/>
        <family val="2"/>
        <scheme val="minor"/>
      </rPr>
      <t>MIS PRECIOSOS</t>
    </r>
  </si>
  <si>
    <t>disc_ mu</t>
  </si>
  <si>
    <t>TURC disc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</si>
</sst>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Calibri"/>
      <family val="2"/>
      <scheme val="minor"/>
    </font>
    <font>
      <sz val="12"/>
      <color theme="1"/>
      <name val="Symbol"/>
      <charset val="2"/>
    </font>
    <font>
      <i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1" fontId="0" fillId="0" borderId="0" xfId="0" applyNumberFormat="1"/>
    <xf numFmtId="11" fontId="0" fillId="0" borderId="0" xfId="0" applyNumberFormat="1"/>
    <xf numFmtId="0" fontId="1" fillId="0" borderId="0" xfId="0" applyFont="1"/>
    <xf numFmtId="0" fontId="0" fillId="0" borderId="4" xfId="0" applyBorder="1"/>
    <xf numFmtId="11" fontId="0" fillId="0" borderId="5" xfId="0" applyNumberFormat="1" applyBorder="1"/>
    <xf numFmtId="0" fontId="0" fillId="0" borderId="6" xfId="0" applyBorder="1"/>
    <xf numFmtId="11" fontId="0" fillId="0" borderId="7" xfId="0" applyNumberFormat="1" applyBorder="1"/>
    <xf numFmtId="0" fontId="0" fillId="0" borderId="8" xfId="0" applyBorder="1"/>
    <xf numFmtId="11" fontId="0" fillId="0" borderId="9" xfId="0" applyNumberFormat="1" applyBorder="1"/>
    <xf numFmtId="0" fontId="0" fillId="0" borderId="5" xfId="0" applyBorder="1"/>
    <xf numFmtId="0" fontId="0" fillId="0" borderId="7" xfId="0" applyBorder="1"/>
    <xf numFmtId="0" fontId="0" fillId="0" borderId="9" xfId="0" applyBorder="1"/>
    <xf numFmtId="11" fontId="0" fillId="0" borderId="0" xfId="0" applyNumberFormat="1" applyAlignment="1">
      <alignment horizontal="right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tx>
            <c:v>Temp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Sheet1!$B$9:$B$141</c:f>
              <c:numCache>
                <c:formatCode>General</c:formatCode>
                <c:ptCount val="133"/>
                <c:pt idx="0">
                  <c:v>660</c:v>
                </c:pt>
                <c:pt idx="1">
                  <c:v>655</c:v>
                </c:pt>
                <c:pt idx="2">
                  <c:v>650</c:v>
                </c:pt>
                <c:pt idx="3">
                  <c:v>645</c:v>
                </c:pt>
                <c:pt idx="4">
                  <c:v>640</c:v>
                </c:pt>
                <c:pt idx="5">
                  <c:v>635</c:v>
                </c:pt>
                <c:pt idx="6">
                  <c:v>630</c:v>
                </c:pt>
                <c:pt idx="7">
                  <c:v>625</c:v>
                </c:pt>
                <c:pt idx="8">
                  <c:v>620</c:v>
                </c:pt>
                <c:pt idx="9">
                  <c:v>615</c:v>
                </c:pt>
                <c:pt idx="10">
                  <c:v>610</c:v>
                </c:pt>
                <c:pt idx="11">
                  <c:v>605</c:v>
                </c:pt>
                <c:pt idx="12">
                  <c:v>600</c:v>
                </c:pt>
                <c:pt idx="13">
                  <c:v>595</c:v>
                </c:pt>
                <c:pt idx="14">
                  <c:v>590</c:v>
                </c:pt>
                <c:pt idx="15">
                  <c:v>585</c:v>
                </c:pt>
                <c:pt idx="16">
                  <c:v>580</c:v>
                </c:pt>
                <c:pt idx="17">
                  <c:v>575</c:v>
                </c:pt>
                <c:pt idx="18">
                  <c:v>570</c:v>
                </c:pt>
                <c:pt idx="19">
                  <c:v>565</c:v>
                </c:pt>
                <c:pt idx="20">
                  <c:v>560</c:v>
                </c:pt>
                <c:pt idx="21">
                  <c:v>555</c:v>
                </c:pt>
                <c:pt idx="22">
                  <c:v>550</c:v>
                </c:pt>
                <c:pt idx="23">
                  <c:v>545</c:v>
                </c:pt>
                <c:pt idx="24">
                  <c:v>540</c:v>
                </c:pt>
                <c:pt idx="25">
                  <c:v>535</c:v>
                </c:pt>
                <c:pt idx="26">
                  <c:v>530</c:v>
                </c:pt>
                <c:pt idx="27">
                  <c:v>525</c:v>
                </c:pt>
                <c:pt idx="28">
                  <c:v>520</c:v>
                </c:pt>
                <c:pt idx="29">
                  <c:v>515</c:v>
                </c:pt>
                <c:pt idx="30">
                  <c:v>510</c:v>
                </c:pt>
                <c:pt idx="31">
                  <c:v>505</c:v>
                </c:pt>
                <c:pt idx="32">
                  <c:v>500</c:v>
                </c:pt>
                <c:pt idx="33">
                  <c:v>495</c:v>
                </c:pt>
                <c:pt idx="34">
                  <c:v>490</c:v>
                </c:pt>
                <c:pt idx="35">
                  <c:v>485</c:v>
                </c:pt>
                <c:pt idx="36">
                  <c:v>480</c:v>
                </c:pt>
                <c:pt idx="37">
                  <c:v>475</c:v>
                </c:pt>
                <c:pt idx="38">
                  <c:v>470</c:v>
                </c:pt>
                <c:pt idx="39">
                  <c:v>465</c:v>
                </c:pt>
                <c:pt idx="40">
                  <c:v>460</c:v>
                </c:pt>
                <c:pt idx="41">
                  <c:v>455</c:v>
                </c:pt>
                <c:pt idx="42">
                  <c:v>450</c:v>
                </c:pt>
                <c:pt idx="43">
                  <c:v>445</c:v>
                </c:pt>
                <c:pt idx="44">
                  <c:v>440</c:v>
                </c:pt>
                <c:pt idx="45">
                  <c:v>435</c:v>
                </c:pt>
                <c:pt idx="46">
                  <c:v>430</c:v>
                </c:pt>
                <c:pt idx="47">
                  <c:v>425</c:v>
                </c:pt>
                <c:pt idx="48">
                  <c:v>420</c:v>
                </c:pt>
                <c:pt idx="49">
                  <c:v>415</c:v>
                </c:pt>
                <c:pt idx="50">
                  <c:v>410</c:v>
                </c:pt>
                <c:pt idx="51">
                  <c:v>405</c:v>
                </c:pt>
                <c:pt idx="52">
                  <c:v>400</c:v>
                </c:pt>
                <c:pt idx="53">
                  <c:v>395</c:v>
                </c:pt>
                <c:pt idx="54">
                  <c:v>390</c:v>
                </c:pt>
                <c:pt idx="55">
                  <c:v>385</c:v>
                </c:pt>
                <c:pt idx="56">
                  <c:v>380</c:v>
                </c:pt>
                <c:pt idx="57">
                  <c:v>375</c:v>
                </c:pt>
                <c:pt idx="58">
                  <c:v>370</c:v>
                </c:pt>
                <c:pt idx="59">
                  <c:v>365</c:v>
                </c:pt>
                <c:pt idx="60">
                  <c:v>360</c:v>
                </c:pt>
                <c:pt idx="61">
                  <c:v>355</c:v>
                </c:pt>
                <c:pt idx="62">
                  <c:v>350</c:v>
                </c:pt>
                <c:pt idx="63">
                  <c:v>345</c:v>
                </c:pt>
                <c:pt idx="64">
                  <c:v>340</c:v>
                </c:pt>
                <c:pt idx="65">
                  <c:v>335</c:v>
                </c:pt>
                <c:pt idx="66">
                  <c:v>330</c:v>
                </c:pt>
                <c:pt idx="67">
                  <c:v>325</c:v>
                </c:pt>
                <c:pt idx="68">
                  <c:v>320</c:v>
                </c:pt>
                <c:pt idx="69">
                  <c:v>315</c:v>
                </c:pt>
                <c:pt idx="70">
                  <c:v>310</c:v>
                </c:pt>
                <c:pt idx="71">
                  <c:v>305</c:v>
                </c:pt>
                <c:pt idx="72">
                  <c:v>300</c:v>
                </c:pt>
                <c:pt idx="73">
                  <c:v>295</c:v>
                </c:pt>
                <c:pt idx="74">
                  <c:v>290</c:v>
                </c:pt>
                <c:pt idx="75">
                  <c:v>285</c:v>
                </c:pt>
                <c:pt idx="76">
                  <c:v>280</c:v>
                </c:pt>
                <c:pt idx="77">
                  <c:v>275</c:v>
                </c:pt>
                <c:pt idx="78">
                  <c:v>270</c:v>
                </c:pt>
                <c:pt idx="79">
                  <c:v>265</c:v>
                </c:pt>
                <c:pt idx="80">
                  <c:v>260</c:v>
                </c:pt>
                <c:pt idx="81">
                  <c:v>255</c:v>
                </c:pt>
                <c:pt idx="82">
                  <c:v>250</c:v>
                </c:pt>
                <c:pt idx="83">
                  <c:v>245</c:v>
                </c:pt>
                <c:pt idx="84">
                  <c:v>240</c:v>
                </c:pt>
                <c:pt idx="85">
                  <c:v>235</c:v>
                </c:pt>
                <c:pt idx="86">
                  <c:v>230</c:v>
                </c:pt>
                <c:pt idx="87">
                  <c:v>225</c:v>
                </c:pt>
                <c:pt idx="88">
                  <c:v>220</c:v>
                </c:pt>
                <c:pt idx="89">
                  <c:v>215</c:v>
                </c:pt>
                <c:pt idx="90">
                  <c:v>210</c:v>
                </c:pt>
                <c:pt idx="91">
                  <c:v>205</c:v>
                </c:pt>
                <c:pt idx="92">
                  <c:v>200</c:v>
                </c:pt>
                <c:pt idx="93">
                  <c:v>195</c:v>
                </c:pt>
                <c:pt idx="94">
                  <c:v>190</c:v>
                </c:pt>
                <c:pt idx="95">
                  <c:v>185</c:v>
                </c:pt>
                <c:pt idx="96">
                  <c:v>180</c:v>
                </c:pt>
                <c:pt idx="97">
                  <c:v>175</c:v>
                </c:pt>
                <c:pt idx="98">
                  <c:v>170</c:v>
                </c:pt>
                <c:pt idx="99">
                  <c:v>165</c:v>
                </c:pt>
                <c:pt idx="100">
                  <c:v>160</c:v>
                </c:pt>
                <c:pt idx="101">
                  <c:v>155</c:v>
                </c:pt>
                <c:pt idx="102">
                  <c:v>150</c:v>
                </c:pt>
                <c:pt idx="103">
                  <c:v>145</c:v>
                </c:pt>
                <c:pt idx="104">
                  <c:v>140</c:v>
                </c:pt>
                <c:pt idx="105">
                  <c:v>135</c:v>
                </c:pt>
                <c:pt idx="106">
                  <c:v>130</c:v>
                </c:pt>
                <c:pt idx="107">
                  <c:v>125</c:v>
                </c:pt>
                <c:pt idx="108">
                  <c:v>120</c:v>
                </c:pt>
                <c:pt idx="109">
                  <c:v>115</c:v>
                </c:pt>
                <c:pt idx="110">
                  <c:v>110</c:v>
                </c:pt>
                <c:pt idx="111">
                  <c:v>105</c:v>
                </c:pt>
                <c:pt idx="112">
                  <c:v>100</c:v>
                </c:pt>
                <c:pt idx="113">
                  <c:v>95</c:v>
                </c:pt>
                <c:pt idx="114">
                  <c:v>90</c:v>
                </c:pt>
                <c:pt idx="115">
                  <c:v>85</c:v>
                </c:pt>
                <c:pt idx="116">
                  <c:v>80</c:v>
                </c:pt>
                <c:pt idx="117">
                  <c:v>75</c:v>
                </c:pt>
                <c:pt idx="118">
                  <c:v>70</c:v>
                </c:pt>
                <c:pt idx="119">
                  <c:v>65</c:v>
                </c:pt>
                <c:pt idx="120">
                  <c:v>60</c:v>
                </c:pt>
                <c:pt idx="121">
                  <c:v>55</c:v>
                </c:pt>
                <c:pt idx="122">
                  <c:v>50</c:v>
                </c:pt>
                <c:pt idx="123">
                  <c:v>45</c:v>
                </c:pt>
                <c:pt idx="124">
                  <c:v>40</c:v>
                </c:pt>
                <c:pt idx="125">
                  <c:v>35</c:v>
                </c:pt>
                <c:pt idx="126">
                  <c:v>30</c:v>
                </c:pt>
                <c:pt idx="127">
                  <c:v>25</c:v>
                </c:pt>
                <c:pt idx="128">
                  <c:v>20</c:v>
                </c:pt>
                <c:pt idx="129">
                  <c:v>15</c:v>
                </c:pt>
                <c:pt idx="130">
                  <c:v>10</c:v>
                </c:pt>
                <c:pt idx="131">
                  <c:v>5</c:v>
                </c:pt>
                <c:pt idx="132">
                  <c:v>0</c:v>
                </c:pt>
              </c:numCache>
            </c:numRef>
          </c:xVal>
          <c:yVal>
            <c:numRef>
              <c:f>Sheet1!$E$9:$E$141</c:f>
              <c:numCache>
                <c:formatCode>General</c:formatCode>
                <c:ptCount val="133"/>
                <c:pt idx="0">
                  <c:v>1793</c:v>
                </c:pt>
                <c:pt idx="1">
                  <c:v>1790.5</c:v>
                </c:pt>
                <c:pt idx="2">
                  <c:v>1788</c:v>
                </c:pt>
                <c:pt idx="3">
                  <c:v>1785.5</c:v>
                </c:pt>
                <c:pt idx="4">
                  <c:v>1783</c:v>
                </c:pt>
                <c:pt idx="5">
                  <c:v>1780.5</c:v>
                </c:pt>
                <c:pt idx="6">
                  <c:v>1778</c:v>
                </c:pt>
                <c:pt idx="7">
                  <c:v>1775.5</c:v>
                </c:pt>
                <c:pt idx="8">
                  <c:v>1773</c:v>
                </c:pt>
                <c:pt idx="9">
                  <c:v>1770.5</c:v>
                </c:pt>
                <c:pt idx="10">
                  <c:v>1768</c:v>
                </c:pt>
                <c:pt idx="11">
                  <c:v>1765.5</c:v>
                </c:pt>
                <c:pt idx="12">
                  <c:v>1763</c:v>
                </c:pt>
                <c:pt idx="13">
                  <c:v>1760.5</c:v>
                </c:pt>
                <c:pt idx="14">
                  <c:v>1758</c:v>
                </c:pt>
                <c:pt idx="15">
                  <c:v>1755.5</c:v>
                </c:pt>
                <c:pt idx="16">
                  <c:v>1753</c:v>
                </c:pt>
                <c:pt idx="17">
                  <c:v>1750.5</c:v>
                </c:pt>
                <c:pt idx="18">
                  <c:v>1748</c:v>
                </c:pt>
                <c:pt idx="19">
                  <c:v>1745.5</c:v>
                </c:pt>
                <c:pt idx="20">
                  <c:v>1743</c:v>
                </c:pt>
                <c:pt idx="21">
                  <c:v>1740.5</c:v>
                </c:pt>
                <c:pt idx="22">
                  <c:v>1738</c:v>
                </c:pt>
                <c:pt idx="23">
                  <c:v>1735.5</c:v>
                </c:pt>
                <c:pt idx="24">
                  <c:v>1733</c:v>
                </c:pt>
                <c:pt idx="25">
                  <c:v>1730.5</c:v>
                </c:pt>
                <c:pt idx="26">
                  <c:v>1728</c:v>
                </c:pt>
                <c:pt idx="27">
                  <c:v>1725.5</c:v>
                </c:pt>
                <c:pt idx="28">
                  <c:v>1723</c:v>
                </c:pt>
                <c:pt idx="29">
                  <c:v>1720.5</c:v>
                </c:pt>
                <c:pt idx="30">
                  <c:v>1718</c:v>
                </c:pt>
                <c:pt idx="31">
                  <c:v>1715.5</c:v>
                </c:pt>
                <c:pt idx="32">
                  <c:v>1713</c:v>
                </c:pt>
                <c:pt idx="33">
                  <c:v>1710.5</c:v>
                </c:pt>
                <c:pt idx="34">
                  <c:v>1708</c:v>
                </c:pt>
                <c:pt idx="35">
                  <c:v>1705.5</c:v>
                </c:pt>
                <c:pt idx="36">
                  <c:v>1703</c:v>
                </c:pt>
                <c:pt idx="37">
                  <c:v>1700.5</c:v>
                </c:pt>
                <c:pt idx="38">
                  <c:v>1698</c:v>
                </c:pt>
                <c:pt idx="39">
                  <c:v>1695.5</c:v>
                </c:pt>
                <c:pt idx="40">
                  <c:v>1693</c:v>
                </c:pt>
                <c:pt idx="41">
                  <c:v>1690.5</c:v>
                </c:pt>
                <c:pt idx="42">
                  <c:v>1688</c:v>
                </c:pt>
                <c:pt idx="43">
                  <c:v>1685.5</c:v>
                </c:pt>
                <c:pt idx="44">
                  <c:v>1683</c:v>
                </c:pt>
                <c:pt idx="45">
                  <c:v>1680.5</c:v>
                </c:pt>
                <c:pt idx="46">
                  <c:v>1678</c:v>
                </c:pt>
                <c:pt idx="47">
                  <c:v>1675.5</c:v>
                </c:pt>
                <c:pt idx="48">
                  <c:v>1673</c:v>
                </c:pt>
                <c:pt idx="49">
                  <c:v>1670.5</c:v>
                </c:pt>
                <c:pt idx="50">
                  <c:v>1668</c:v>
                </c:pt>
                <c:pt idx="51">
                  <c:v>1665.5</c:v>
                </c:pt>
                <c:pt idx="52">
                  <c:v>1663</c:v>
                </c:pt>
                <c:pt idx="53">
                  <c:v>1660.5</c:v>
                </c:pt>
                <c:pt idx="54">
                  <c:v>1658</c:v>
                </c:pt>
                <c:pt idx="55">
                  <c:v>1655.5</c:v>
                </c:pt>
                <c:pt idx="56">
                  <c:v>1653</c:v>
                </c:pt>
                <c:pt idx="57">
                  <c:v>1650.5</c:v>
                </c:pt>
                <c:pt idx="58">
                  <c:v>1648</c:v>
                </c:pt>
                <c:pt idx="59">
                  <c:v>1645.5</c:v>
                </c:pt>
                <c:pt idx="60">
                  <c:v>1643</c:v>
                </c:pt>
                <c:pt idx="61">
                  <c:v>1640.5</c:v>
                </c:pt>
                <c:pt idx="62">
                  <c:v>1638</c:v>
                </c:pt>
                <c:pt idx="63">
                  <c:v>1635.5</c:v>
                </c:pt>
                <c:pt idx="64">
                  <c:v>1633</c:v>
                </c:pt>
                <c:pt idx="65">
                  <c:v>1630.5</c:v>
                </c:pt>
                <c:pt idx="66">
                  <c:v>1628</c:v>
                </c:pt>
                <c:pt idx="67">
                  <c:v>1625.5</c:v>
                </c:pt>
                <c:pt idx="68">
                  <c:v>1623</c:v>
                </c:pt>
                <c:pt idx="69">
                  <c:v>1620.5</c:v>
                </c:pt>
                <c:pt idx="70">
                  <c:v>1618</c:v>
                </c:pt>
                <c:pt idx="71">
                  <c:v>1615.5</c:v>
                </c:pt>
                <c:pt idx="72">
                  <c:v>1613</c:v>
                </c:pt>
                <c:pt idx="73">
                  <c:v>1610.5</c:v>
                </c:pt>
                <c:pt idx="74">
                  <c:v>1608</c:v>
                </c:pt>
                <c:pt idx="75">
                  <c:v>1605.5</c:v>
                </c:pt>
                <c:pt idx="76">
                  <c:v>1603</c:v>
                </c:pt>
                <c:pt idx="77">
                  <c:v>1600.5</c:v>
                </c:pt>
                <c:pt idx="78">
                  <c:v>1598</c:v>
                </c:pt>
                <c:pt idx="79">
                  <c:v>1595.5</c:v>
                </c:pt>
                <c:pt idx="80">
                  <c:v>1593</c:v>
                </c:pt>
                <c:pt idx="81">
                  <c:v>1590.5</c:v>
                </c:pt>
                <c:pt idx="82">
                  <c:v>1588</c:v>
                </c:pt>
                <c:pt idx="83">
                  <c:v>1585.5</c:v>
                </c:pt>
                <c:pt idx="84">
                  <c:v>1583</c:v>
                </c:pt>
                <c:pt idx="85">
                  <c:v>1580.5</c:v>
                </c:pt>
                <c:pt idx="86">
                  <c:v>1578</c:v>
                </c:pt>
                <c:pt idx="87">
                  <c:v>1575.5</c:v>
                </c:pt>
                <c:pt idx="88">
                  <c:v>1573</c:v>
                </c:pt>
                <c:pt idx="89">
                  <c:v>1570.5</c:v>
                </c:pt>
                <c:pt idx="90">
                  <c:v>1568</c:v>
                </c:pt>
                <c:pt idx="91">
                  <c:v>1565.5</c:v>
                </c:pt>
                <c:pt idx="92">
                  <c:v>1563</c:v>
                </c:pt>
                <c:pt idx="93">
                  <c:v>1560.5</c:v>
                </c:pt>
                <c:pt idx="94">
                  <c:v>1558</c:v>
                </c:pt>
                <c:pt idx="95">
                  <c:v>1555.5</c:v>
                </c:pt>
                <c:pt idx="96">
                  <c:v>1553</c:v>
                </c:pt>
                <c:pt idx="97">
                  <c:v>1550.5</c:v>
                </c:pt>
                <c:pt idx="98">
                  <c:v>1548</c:v>
                </c:pt>
                <c:pt idx="99">
                  <c:v>1545.5</c:v>
                </c:pt>
                <c:pt idx="100">
                  <c:v>1543</c:v>
                </c:pt>
                <c:pt idx="101">
                  <c:v>1540.5</c:v>
                </c:pt>
                <c:pt idx="102">
                  <c:v>1538</c:v>
                </c:pt>
                <c:pt idx="103">
                  <c:v>1535.5</c:v>
                </c:pt>
                <c:pt idx="104">
                  <c:v>1533</c:v>
                </c:pt>
                <c:pt idx="105">
                  <c:v>1530.5</c:v>
                </c:pt>
                <c:pt idx="106">
                  <c:v>1528</c:v>
                </c:pt>
                <c:pt idx="107">
                  <c:v>1525.5</c:v>
                </c:pt>
                <c:pt idx="108">
                  <c:v>1523</c:v>
                </c:pt>
                <c:pt idx="109">
                  <c:v>1471.75</c:v>
                </c:pt>
                <c:pt idx="110">
                  <c:v>1420.5</c:v>
                </c:pt>
                <c:pt idx="111">
                  <c:v>1369.25</c:v>
                </c:pt>
                <c:pt idx="112">
                  <c:v>1318</c:v>
                </c:pt>
                <c:pt idx="113">
                  <c:v>1266.75</c:v>
                </c:pt>
                <c:pt idx="114">
                  <c:v>1215.5</c:v>
                </c:pt>
                <c:pt idx="115">
                  <c:v>1164.25</c:v>
                </c:pt>
                <c:pt idx="116">
                  <c:v>1113</c:v>
                </c:pt>
                <c:pt idx="117">
                  <c:v>1061.75</c:v>
                </c:pt>
                <c:pt idx="118">
                  <c:v>1010.5</c:v>
                </c:pt>
                <c:pt idx="119">
                  <c:v>959.25</c:v>
                </c:pt>
                <c:pt idx="120">
                  <c:v>908</c:v>
                </c:pt>
                <c:pt idx="121">
                  <c:v>856.75</c:v>
                </c:pt>
                <c:pt idx="122">
                  <c:v>805.5</c:v>
                </c:pt>
                <c:pt idx="123">
                  <c:v>754.25</c:v>
                </c:pt>
                <c:pt idx="124">
                  <c:v>703</c:v>
                </c:pt>
                <c:pt idx="125">
                  <c:v>651.75</c:v>
                </c:pt>
                <c:pt idx="126">
                  <c:v>600.5</c:v>
                </c:pt>
                <c:pt idx="127">
                  <c:v>549.25</c:v>
                </c:pt>
                <c:pt idx="128">
                  <c:v>498</c:v>
                </c:pt>
                <c:pt idx="129">
                  <c:v>446.75</c:v>
                </c:pt>
                <c:pt idx="130">
                  <c:v>395.5</c:v>
                </c:pt>
                <c:pt idx="131">
                  <c:v>344.25</c:v>
                </c:pt>
                <c:pt idx="132">
                  <c:v>293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28E-5444-A757-C1271A3738A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8210256"/>
        <c:axId val="320176464"/>
      </c:scatterChart>
      <c:scatterChart>
        <c:scatterStyle val="lineMarker"/>
        <c:varyColors val="0"/>
        <c:ser>
          <c:idx val="1"/>
          <c:order val="1"/>
          <c:tx>
            <c:v>pressure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Sheet1!$B$9:$B$141</c:f>
              <c:numCache>
                <c:formatCode>General</c:formatCode>
                <c:ptCount val="133"/>
                <c:pt idx="0">
                  <c:v>660</c:v>
                </c:pt>
                <c:pt idx="1">
                  <c:v>655</c:v>
                </c:pt>
                <c:pt idx="2">
                  <c:v>650</c:v>
                </c:pt>
                <c:pt idx="3">
                  <c:v>645</c:v>
                </c:pt>
                <c:pt idx="4">
                  <c:v>640</c:v>
                </c:pt>
                <c:pt idx="5">
                  <c:v>635</c:v>
                </c:pt>
                <c:pt idx="6">
                  <c:v>630</c:v>
                </c:pt>
                <c:pt idx="7">
                  <c:v>625</c:v>
                </c:pt>
                <c:pt idx="8">
                  <c:v>620</c:v>
                </c:pt>
                <c:pt idx="9">
                  <c:v>615</c:v>
                </c:pt>
                <c:pt idx="10">
                  <c:v>610</c:v>
                </c:pt>
                <c:pt idx="11">
                  <c:v>605</c:v>
                </c:pt>
                <c:pt idx="12">
                  <c:v>600</c:v>
                </c:pt>
                <c:pt idx="13">
                  <c:v>595</c:v>
                </c:pt>
                <c:pt idx="14">
                  <c:v>590</c:v>
                </c:pt>
                <c:pt idx="15">
                  <c:v>585</c:v>
                </c:pt>
                <c:pt idx="16">
                  <c:v>580</c:v>
                </c:pt>
                <c:pt idx="17">
                  <c:v>575</c:v>
                </c:pt>
                <c:pt idx="18">
                  <c:v>570</c:v>
                </c:pt>
                <c:pt idx="19">
                  <c:v>565</c:v>
                </c:pt>
                <c:pt idx="20">
                  <c:v>560</c:v>
                </c:pt>
                <c:pt idx="21">
                  <c:v>555</c:v>
                </c:pt>
                <c:pt idx="22">
                  <c:v>550</c:v>
                </c:pt>
                <c:pt idx="23">
                  <c:v>545</c:v>
                </c:pt>
                <c:pt idx="24">
                  <c:v>540</c:v>
                </c:pt>
                <c:pt idx="25">
                  <c:v>535</c:v>
                </c:pt>
                <c:pt idx="26">
                  <c:v>530</c:v>
                </c:pt>
                <c:pt idx="27">
                  <c:v>525</c:v>
                </c:pt>
                <c:pt idx="28">
                  <c:v>520</c:v>
                </c:pt>
                <c:pt idx="29">
                  <c:v>515</c:v>
                </c:pt>
                <c:pt idx="30">
                  <c:v>510</c:v>
                </c:pt>
                <c:pt idx="31">
                  <c:v>505</c:v>
                </c:pt>
                <c:pt idx="32">
                  <c:v>500</c:v>
                </c:pt>
                <c:pt idx="33">
                  <c:v>495</c:v>
                </c:pt>
                <c:pt idx="34">
                  <c:v>490</c:v>
                </c:pt>
                <c:pt idx="35">
                  <c:v>485</c:v>
                </c:pt>
                <c:pt idx="36">
                  <c:v>480</c:v>
                </c:pt>
                <c:pt idx="37">
                  <c:v>475</c:v>
                </c:pt>
                <c:pt idx="38">
                  <c:v>470</c:v>
                </c:pt>
                <c:pt idx="39">
                  <c:v>465</c:v>
                </c:pt>
                <c:pt idx="40">
                  <c:v>460</c:v>
                </c:pt>
                <c:pt idx="41">
                  <c:v>455</c:v>
                </c:pt>
                <c:pt idx="42">
                  <c:v>450</c:v>
                </c:pt>
                <c:pt idx="43">
                  <c:v>445</c:v>
                </c:pt>
                <c:pt idx="44">
                  <c:v>440</c:v>
                </c:pt>
                <c:pt idx="45">
                  <c:v>435</c:v>
                </c:pt>
                <c:pt idx="46">
                  <c:v>430</c:v>
                </c:pt>
                <c:pt idx="47">
                  <c:v>425</c:v>
                </c:pt>
                <c:pt idx="48">
                  <c:v>420</c:v>
                </c:pt>
                <c:pt idx="49">
                  <c:v>415</c:v>
                </c:pt>
                <c:pt idx="50">
                  <c:v>410</c:v>
                </c:pt>
                <c:pt idx="51">
                  <c:v>405</c:v>
                </c:pt>
                <c:pt idx="52">
                  <c:v>400</c:v>
                </c:pt>
                <c:pt idx="53">
                  <c:v>395</c:v>
                </c:pt>
                <c:pt idx="54">
                  <c:v>390</c:v>
                </c:pt>
                <c:pt idx="55">
                  <c:v>385</c:v>
                </c:pt>
                <c:pt idx="56">
                  <c:v>380</c:v>
                </c:pt>
                <c:pt idx="57">
                  <c:v>375</c:v>
                </c:pt>
                <c:pt idx="58">
                  <c:v>370</c:v>
                </c:pt>
                <c:pt idx="59">
                  <c:v>365</c:v>
                </c:pt>
                <c:pt idx="60">
                  <c:v>360</c:v>
                </c:pt>
                <c:pt idx="61">
                  <c:v>355</c:v>
                </c:pt>
                <c:pt idx="62">
                  <c:v>350</c:v>
                </c:pt>
                <c:pt idx="63">
                  <c:v>345</c:v>
                </c:pt>
                <c:pt idx="64">
                  <c:v>340</c:v>
                </c:pt>
                <c:pt idx="65">
                  <c:v>335</c:v>
                </c:pt>
                <c:pt idx="66">
                  <c:v>330</c:v>
                </c:pt>
                <c:pt idx="67">
                  <c:v>325</c:v>
                </c:pt>
                <c:pt idx="68">
                  <c:v>320</c:v>
                </c:pt>
                <c:pt idx="69">
                  <c:v>315</c:v>
                </c:pt>
                <c:pt idx="70">
                  <c:v>310</c:v>
                </c:pt>
                <c:pt idx="71">
                  <c:v>305</c:v>
                </c:pt>
                <c:pt idx="72">
                  <c:v>300</c:v>
                </c:pt>
                <c:pt idx="73">
                  <c:v>295</c:v>
                </c:pt>
                <c:pt idx="74">
                  <c:v>290</c:v>
                </c:pt>
                <c:pt idx="75">
                  <c:v>285</c:v>
                </c:pt>
                <c:pt idx="76">
                  <c:v>280</c:v>
                </c:pt>
                <c:pt idx="77">
                  <c:v>275</c:v>
                </c:pt>
                <c:pt idx="78">
                  <c:v>270</c:v>
                </c:pt>
                <c:pt idx="79">
                  <c:v>265</c:v>
                </c:pt>
                <c:pt idx="80">
                  <c:v>260</c:v>
                </c:pt>
                <c:pt idx="81">
                  <c:v>255</c:v>
                </c:pt>
                <c:pt idx="82">
                  <c:v>250</c:v>
                </c:pt>
                <c:pt idx="83">
                  <c:v>245</c:v>
                </c:pt>
                <c:pt idx="84">
                  <c:v>240</c:v>
                </c:pt>
                <c:pt idx="85">
                  <c:v>235</c:v>
                </c:pt>
                <c:pt idx="86">
                  <c:v>230</c:v>
                </c:pt>
                <c:pt idx="87">
                  <c:v>225</c:v>
                </c:pt>
                <c:pt idx="88">
                  <c:v>220</c:v>
                </c:pt>
                <c:pt idx="89">
                  <c:v>215</c:v>
                </c:pt>
                <c:pt idx="90">
                  <c:v>210</c:v>
                </c:pt>
                <c:pt idx="91">
                  <c:v>205</c:v>
                </c:pt>
                <c:pt idx="92">
                  <c:v>200</c:v>
                </c:pt>
                <c:pt idx="93">
                  <c:v>195</c:v>
                </c:pt>
                <c:pt idx="94">
                  <c:v>190</c:v>
                </c:pt>
                <c:pt idx="95">
                  <c:v>185</c:v>
                </c:pt>
                <c:pt idx="96">
                  <c:v>180</c:v>
                </c:pt>
                <c:pt idx="97">
                  <c:v>175</c:v>
                </c:pt>
                <c:pt idx="98">
                  <c:v>170</c:v>
                </c:pt>
                <c:pt idx="99">
                  <c:v>165</c:v>
                </c:pt>
                <c:pt idx="100">
                  <c:v>160</c:v>
                </c:pt>
                <c:pt idx="101">
                  <c:v>155</c:v>
                </c:pt>
                <c:pt idx="102">
                  <c:v>150</c:v>
                </c:pt>
                <c:pt idx="103">
                  <c:v>145</c:v>
                </c:pt>
                <c:pt idx="104">
                  <c:v>140</c:v>
                </c:pt>
                <c:pt idx="105">
                  <c:v>135</c:v>
                </c:pt>
                <c:pt idx="106">
                  <c:v>130</c:v>
                </c:pt>
                <c:pt idx="107">
                  <c:v>125</c:v>
                </c:pt>
                <c:pt idx="108">
                  <c:v>120</c:v>
                </c:pt>
                <c:pt idx="109">
                  <c:v>115</c:v>
                </c:pt>
                <c:pt idx="110">
                  <c:v>110</c:v>
                </c:pt>
                <c:pt idx="111">
                  <c:v>105</c:v>
                </c:pt>
                <c:pt idx="112">
                  <c:v>100</c:v>
                </c:pt>
                <c:pt idx="113">
                  <c:v>95</c:v>
                </c:pt>
                <c:pt idx="114">
                  <c:v>90</c:v>
                </c:pt>
                <c:pt idx="115">
                  <c:v>85</c:v>
                </c:pt>
                <c:pt idx="116">
                  <c:v>80</c:v>
                </c:pt>
                <c:pt idx="117">
                  <c:v>75</c:v>
                </c:pt>
                <c:pt idx="118">
                  <c:v>70</c:v>
                </c:pt>
                <c:pt idx="119">
                  <c:v>65</c:v>
                </c:pt>
                <c:pt idx="120">
                  <c:v>60</c:v>
                </c:pt>
                <c:pt idx="121">
                  <c:v>55</c:v>
                </c:pt>
                <c:pt idx="122">
                  <c:v>50</c:v>
                </c:pt>
                <c:pt idx="123">
                  <c:v>45</c:v>
                </c:pt>
                <c:pt idx="124">
                  <c:v>40</c:v>
                </c:pt>
                <c:pt idx="125">
                  <c:v>35</c:v>
                </c:pt>
                <c:pt idx="126">
                  <c:v>30</c:v>
                </c:pt>
                <c:pt idx="127">
                  <c:v>25</c:v>
                </c:pt>
                <c:pt idx="128">
                  <c:v>20</c:v>
                </c:pt>
                <c:pt idx="129">
                  <c:v>15</c:v>
                </c:pt>
                <c:pt idx="130">
                  <c:v>10</c:v>
                </c:pt>
                <c:pt idx="131">
                  <c:v>5</c:v>
                </c:pt>
                <c:pt idx="132">
                  <c:v>0</c:v>
                </c:pt>
              </c:numCache>
            </c:numRef>
          </c:xVal>
          <c:yVal>
            <c:numRef>
              <c:f>Sheet1!$D$9:$D$141</c:f>
              <c:numCache>
                <c:formatCode>0</c:formatCode>
                <c:ptCount val="133"/>
                <c:pt idx="0">
                  <c:v>19423.8</c:v>
                </c:pt>
                <c:pt idx="1">
                  <c:v>19276.649999999998</c:v>
                </c:pt>
                <c:pt idx="2">
                  <c:v>19129.5</c:v>
                </c:pt>
                <c:pt idx="3">
                  <c:v>18982.349999999999</c:v>
                </c:pt>
                <c:pt idx="4">
                  <c:v>18835.2</c:v>
                </c:pt>
                <c:pt idx="5">
                  <c:v>18688.05</c:v>
                </c:pt>
                <c:pt idx="6">
                  <c:v>18540.899999999998</c:v>
                </c:pt>
                <c:pt idx="7">
                  <c:v>18393.75</c:v>
                </c:pt>
                <c:pt idx="8">
                  <c:v>18246.599999999999</c:v>
                </c:pt>
                <c:pt idx="9">
                  <c:v>18099.45</c:v>
                </c:pt>
                <c:pt idx="10">
                  <c:v>17952.3</c:v>
                </c:pt>
                <c:pt idx="11">
                  <c:v>17805.149999999998</c:v>
                </c:pt>
                <c:pt idx="12">
                  <c:v>17658</c:v>
                </c:pt>
                <c:pt idx="13">
                  <c:v>17510.849999999999</c:v>
                </c:pt>
                <c:pt idx="14">
                  <c:v>17363.7</c:v>
                </c:pt>
                <c:pt idx="15">
                  <c:v>17216.55</c:v>
                </c:pt>
                <c:pt idx="16">
                  <c:v>17069.399999999998</c:v>
                </c:pt>
                <c:pt idx="17">
                  <c:v>16922.25</c:v>
                </c:pt>
                <c:pt idx="18">
                  <c:v>16775.099999999999</c:v>
                </c:pt>
                <c:pt idx="19">
                  <c:v>16627.95</c:v>
                </c:pt>
                <c:pt idx="20">
                  <c:v>16480.8</c:v>
                </c:pt>
                <c:pt idx="21">
                  <c:v>16333.65</c:v>
                </c:pt>
                <c:pt idx="22">
                  <c:v>16186.5</c:v>
                </c:pt>
                <c:pt idx="23">
                  <c:v>16039.349999999999</c:v>
                </c:pt>
                <c:pt idx="24">
                  <c:v>15892.199999999999</c:v>
                </c:pt>
                <c:pt idx="25">
                  <c:v>15745.05</c:v>
                </c:pt>
                <c:pt idx="26">
                  <c:v>15597.9</c:v>
                </c:pt>
                <c:pt idx="27">
                  <c:v>15450.75</c:v>
                </c:pt>
                <c:pt idx="28">
                  <c:v>15303.599999999999</c:v>
                </c:pt>
                <c:pt idx="29">
                  <c:v>15156.449999999999</c:v>
                </c:pt>
                <c:pt idx="30">
                  <c:v>15009.3</c:v>
                </c:pt>
                <c:pt idx="31">
                  <c:v>14862.15</c:v>
                </c:pt>
                <c:pt idx="32">
                  <c:v>14715</c:v>
                </c:pt>
                <c:pt idx="33">
                  <c:v>14567.849999999999</c:v>
                </c:pt>
                <c:pt idx="34">
                  <c:v>14420.699999999999</c:v>
                </c:pt>
                <c:pt idx="35">
                  <c:v>14273.55</c:v>
                </c:pt>
                <c:pt idx="36">
                  <c:v>14126.4</c:v>
                </c:pt>
                <c:pt idx="37">
                  <c:v>13979.25</c:v>
                </c:pt>
                <c:pt idx="38">
                  <c:v>13832.099999999999</c:v>
                </c:pt>
                <c:pt idx="39">
                  <c:v>13684.949999999999</c:v>
                </c:pt>
                <c:pt idx="40">
                  <c:v>13537.8</c:v>
                </c:pt>
                <c:pt idx="41">
                  <c:v>13390.65</c:v>
                </c:pt>
                <c:pt idx="42">
                  <c:v>13243.5</c:v>
                </c:pt>
                <c:pt idx="43">
                  <c:v>13096.349999999999</c:v>
                </c:pt>
                <c:pt idx="44">
                  <c:v>12949.199999999999</c:v>
                </c:pt>
                <c:pt idx="45">
                  <c:v>12802.05</c:v>
                </c:pt>
                <c:pt idx="46">
                  <c:v>12654.9</c:v>
                </c:pt>
                <c:pt idx="47">
                  <c:v>12507.75</c:v>
                </c:pt>
                <c:pt idx="48">
                  <c:v>12360.599999999999</c:v>
                </c:pt>
                <c:pt idx="49">
                  <c:v>12213.449999999999</c:v>
                </c:pt>
                <c:pt idx="50">
                  <c:v>12066.3</c:v>
                </c:pt>
                <c:pt idx="51">
                  <c:v>11919.15</c:v>
                </c:pt>
                <c:pt idx="52">
                  <c:v>11772</c:v>
                </c:pt>
                <c:pt idx="53">
                  <c:v>11624.85</c:v>
                </c:pt>
                <c:pt idx="54">
                  <c:v>11477.699999999999</c:v>
                </c:pt>
                <c:pt idx="55">
                  <c:v>11330.55</c:v>
                </c:pt>
                <c:pt idx="56">
                  <c:v>11183.4</c:v>
                </c:pt>
                <c:pt idx="57">
                  <c:v>11036.25</c:v>
                </c:pt>
                <c:pt idx="58">
                  <c:v>10889.1</c:v>
                </c:pt>
                <c:pt idx="59">
                  <c:v>10741.949999999999</c:v>
                </c:pt>
                <c:pt idx="60">
                  <c:v>10594.8</c:v>
                </c:pt>
                <c:pt idx="61">
                  <c:v>10447.65</c:v>
                </c:pt>
                <c:pt idx="62">
                  <c:v>10300.5</c:v>
                </c:pt>
                <c:pt idx="63">
                  <c:v>10153.35</c:v>
                </c:pt>
                <c:pt idx="64">
                  <c:v>10006.199999999999</c:v>
                </c:pt>
                <c:pt idx="65">
                  <c:v>9859.0499999999993</c:v>
                </c:pt>
                <c:pt idx="66">
                  <c:v>9711.9</c:v>
                </c:pt>
                <c:pt idx="67">
                  <c:v>9564.75</c:v>
                </c:pt>
                <c:pt idx="68">
                  <c:v>9417.6</c:v>
                </c:pt>
                <c:pt idx="69">
                  <c:v>9270.4499999999989</c:v>
                </c:pt>
                <c:pt idx="70">
                  <c:v>9123.2999999999993</c:v>
                </c:pt>
                <c:pt idx="71">
                  <c:v>8976.15</c:v>
                </c:pt>
                <c:pt idx="72">
                  <c:v>8829</c:v>
                </c:pt>
                <c:pt idx="73">
                  <c:v>8681.85</c:v>
                </c:pt>
                <c:pt idx="74">
                  <c:v>8534.6999999999989</c:v>
                </c:pt>
                <c:pt idx="75">
                  <c:v>8387.5499999999993</c:v>
                </c:pt>
                <c:pt idx="76">
                  <c:v>8240.4</c:v>
                </c:pt>
                <c:pt idx="77">
                  <c:v>8093.25</c:v>
                </c:pt>
                <c:pt idx="78">
                  <c:v>7946.0999999999995</c:v>
                </c:pt>
                <c:pt idx="79">
                  <c:v>7798.95</c:v>
                </c:pt>
                <c:pt idx="80">
                  <c:v>7651.7999999999993</c:v>
                </c:pt>
                <c:pt idx="81">
                  <c:v>7504.65</c:v>
                </c:pt>
                <c:pt idx="82">
                  <c:v>7357.5</c:v>
                </c:pt>
                <c:pt idx="83">
                  <c:v>7210.3499999999995</c:v>
                </c:pt>
                <c:pt idx="84">
                  <c:v>7063.2</c:v>
                </c:pt>
                <c:pt idx="85">
                  <c:v>6916.0499999999993</c:v>
                </c:pt>
                <c:pt idx="86">
                  <c:v>6768.9</c:v>
                </c:pt>
                <c:pt idx="87">
                  <c:v>6621.75</c:v>
                </c:pt>
                <c:pt idx="88">
                  <c:v>6474.5999999999995</c:v>
                </c:pt>
                <c:pt idx="89">
                  <c:v>6327.45</c:v>
                </c:pt>
                <c:pt idx="90">
                  <c:v>6180.2999999999993</c:v>
                </c:pt>
                <c:pt idx="91">
                  <c:v>6033.15</c:v>
                </c:pt>
                <c:pt idx="92">
                  <c:v>5886</c:v>
                </c:pt>
                <c:pt idx="93">
                  <c:v>5738.8499999999995</c:v>
                </c:pt>
                <c:pt idx="94">
                  <c:v>5591.7</c:v>
                </c:pt>
                <c:pt idx="95">
                  <c:v>5444.55</c:v>
                </c:pt>
                <c:pt idx="96">
                  <c:v>5297.4</c:v>
                </c:pt>
                <c:pt idx="97">
                  <c:v>5150.25</c:v>
                </c:pt>
                <c:pt idx="98">
                  <c:v>5003.0999999999995</c:v>
                </c:pt>
                <c:pt idx="99">
                  <c:v>4855.95</c:v>
                </c:pt>
                <c:pt idx="100">
                  <c:v>4708.8</c:v>
                </c:pt>
                <c:pt idx="101">
                  <c:v>4561.6499999999996</c:v>
                </c:pt>
                <c:pt idx="102">
                  <c:v>4414.5</c:v>
                </c:pt>
                <c:pt idx="103">
                  <c:v>4267.3499999999995</c:v>
                </c:pt>
                <c:pt idx="104">
                  <c:v>4120.2</c:v>
                </c:pt>
                <c:pt idx="105">
                  <c:v>3973.0499999999997</c:v>
                </c:pt>
                <c:pt idx="106">
                  <c:v>3825.8999999999996</c:v>
                </c:pt>
                <c:pt idx="107">
                  <c:v>3678.75</c:v>
                </c:pt>
                <c:pt idx="108">
                  <c:v>3531.6</c:v>
                </c:pt>
                <c:pt idx="109">
                  <c:v>3384.45</c:v>
                </c:pt>
                <c:pt idx="110">
                  <c:v>3237.2999999999997</c:v>
                </c:pt>
                <c:pt idx="111">
                  <c:v>3090.1499999999996</c:v>
                </c:pt>
                <c:pt idx="112">
                  <c:v>2943</c:v>
                </c:pt>
                <c:pt idx="113">
                  <c:v>2795.85</c:v>
                </c:pt>
                <c:pt idx="114">
                  <c:v>2648.7</c:v>
                </c:pt>
                <c:pt idx="115">
                  <c:v>2501.5499999999997</c:v>
                </c:pt>
                <c:pt idx="116">
                  <c:v>2354.4</c:v>
                </c:pt>
                <c:pt idx="117">
                  <c:v>2207.25</c:v>
                </c:pt>
                <c:pt idx="118">
                  <c:v>2060.1</c:v>
                </c:pt>
                <c:pt idx="119">
                  <c:v>1912.9499999999998</c:v>
                </c:pt>
                <c:pt idx="120">
                  <c:v>1765.8</c:v>
                </c:pt>
                <c:pt idx="121">
                  <c:v>1618.6499999999999</c:v>
                </c:pt>
                <c:pt idx="122">
                  <c:v>1471.5</c:v>
                </c:pt>
                <c:pt idx="123">
                  <c:v>1324.35</c:v>
                </c:pt>
                <c:pt idx="124">
                  <c:v>1177.2</c:v>
                </c:pt>
                <c:pt idx="125">
                  <c:v>1030.05</c:v>
                </c:pt>
                <c:pt idx="126">
                  <c:v>882.9</c:v>
                </c:pt>
                <c:pt idx="127">
                  <c:v>735.75</c:v>
                </c:pt>
                <c:pt idx="128">
                  <c:v>588.6</c:v>
                </c:pt>
                <c:pt idx="129">
                  <c:v>441.45</c:v>
                </c:pt>
                <c:pt idx="130">
                  <c:v>294.3</c:v>
                </c:pt>
                <c:pt idx="131">
                  <c:v>147.15</c:v>
                </c:pt>
                <c:pt idx="132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728E-5444-A757-C1271A3738AB}"/>
            </c:ext>
          </c:extLst>
        </c:ser>
        <c:ser>
          <c:idx val="2"/>
          <c:order val="2"/>
          <c:tx>
            <c:v>LAB</c:v>
          </c:tx>
          <c:spPr>
            <a:ln w="19050" cap="rnd">
              <a:solidFill>
                <a:srgbClr val="FF0000"/>
              </a:solidFill>
              <a:prstDash val="lgDash"/>
              <a:round/>
            </a:ln>
            <a:effectLst/>
          </c:spPr>
          <c:marker>
            <c:symbol val="none"/>
          </c:marker>
          <c:xVal>
            <c:numRef>
              <c:f>Sheet1!$B$4:$C$4</c:f>
              <c:numCache>
                <c:formatCode>General</c:formatCode>
                <c:ptCount val="2"/>
                <c:pt idx="0">
                  <c:v>120</c:v>
                </c:pt>
                <c:pt idx="1">
                  <c:v>120</c:v>
                </c:pt>
              </c:numCache>
            </c:numRef>
          </c:xVal>
          <c:yVal>
            <c:numLit>
              <c:formatCode>General</c:formatCode>
              <c:ptCount val="2"/>
              <c:pt idx="0">
                <c:v>1500</c:v>
              </c:pt>
              <c:pt idx="1">
                <c:v>25000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0-7567-CF4A-A28C-9D009DCC877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97074080"/>
        <c:axId val="297076464"/>
      </c:scatterChart>
      <c:valAx>
        <c:axId val="198210256"/>
        <c:scaling>
          <c:orientation val="minMax"/>
          <c:max val="660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ES"/>
          </a:p>
        </c:txPr>
        <c:crossAx val="320176464"/>
        <c:crosses val="autoZero"/>
        <c:crossBetween val="midCat"/>
      </c:valAx>
      <c:valAx>
        <c:axId val="320176464"/>
        <c:scaling>
          <c:orientation val="minMax"/>
          <c:max val="1850"/>
          <c:min val="25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ES"/>
          </a:p>
        </c:txPr>
        <c:crossAx val="198210256"/>
        <c:crosses val="autoZero"/>
        <c:crossBetween val="midCat"/>
      </c:valAx>
      <c:valAx>
        <c:axId val="297076464"/>
        <c:scaling>
          <c:orientation val="minMax"/>
          <c:max val="25000"/>
          <c:min val="0"/>
        </c:scaling>
        <c:delete val="0"/>
        <c:axPos val="r"/>
        <c:numFmt formatCode="0.0E+00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ES"/>
          </a:p>
        </c:txPr>
        <c:crossAx val="297074080"/>
        <c:crosses val="max"/>
        <c:crossBetween val="midCat"/>
      </c:valAx>
      <c:valAx>
        <c:axId val="297074080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297076464"/>
        <c:crosses val="autoZero"/>
        <c:crossBetween val="midCat"/>
      </c:valAx>
      <c:spPr>
        <a:noFill/>
        <a:ln>
          <a:solidFill>
            <a:schemeClr val="tx1"/>
          </a:solidFill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E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E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tx>
            <c:v>mu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Sheet1!$B$9:$B$141</c:f>
              <c:numCache>
                <c:formatCode>General</c:formatCode>
                <c:ptCount val="133"/>
                <c:pt idx="0">
                  <c:v>660</c:v>
                </c:pt>
                <c:pt idx="1">
                  <c:v>655</c:v>
                </c:pt>
                <c:pt idx="2">
                  <c:v>650</c:v>
                </c:pt>
                <c:pt idx="3">
                  <c:v>645</c:v>
                </c:pt>
                <c:pt idx="4">
                  <c:v>640</c:v>
                </c:pt>
                <c:pt idx="5">
                  <c:v>635</c:v>
                </c:pt>
                <c:pt idx="6">
                  <c:v>630</c:v>
                </c:pt>
                <c:pt idx="7">
                  <c:v>625</c:v>
                </c:pt>
                <c:pt idx="8">
                  <c:v>620</c:v>
                </c:pt>
                <c:pt idx="9">
                  <c:v>615</c:v>
                </c:pt>
                <c:pt idx="10">
                  <c:v>610</c:v>
                </c:pt>
                <c:pt idx="11">
                  <c:v>605</c:v>
                </c:pt>
                <c:pt idx="12">
                  <c:v>600</c:v>
                </c:pt>
                <c:pt idx="13">
                  <c:v>595</c:v>
                </c:pt>
                <c:pt idx="14">
                  <c:v>590</c:v>
                </c:pt>
                <c:pt idx="15">
                  <c:v>585</c:v>
                </c:pt>
                <c:pt idx="16">
                  <c:v>580</c:v>
                </c:pt>
                <c:pt idx="17">
                  <c:v>575</c:v>
                </c:pt>
                <c:pt idx="18">
                  <c:v>570</c:v>
                </c:pt>
                <c:pt idx="19">
                  <c:v>565</c:v>
                </c:pt>
                <c:pt idx="20">
                  <c:v>560</c:v>
                </c:pt>
                <c:pt idx="21">
                  <c:v>555</c:v>
                </c:pt>
                <c:pt idx="22">
                  <c:v>550</c:v>
                </c:pt>
                <c:pt idx="23">
                  <c:v>545</c:v>
                </c:pt>
                <c:pt idx="24">
                  <c:v>540</c:v>
                </c:pt>
                <c:pt idx="25">
                  <c:v>535</c:v>
                </c:pt>
                <c:pt idx="26">
                  <c:v>530</c:v>
                </c:pt>
                <c:pt idx="27">
                  <c:v>525</c:v>
                </c:pt>
                <c:pt idx="28">
                  <c:v>520</c:v>
                </c:pt>
                <c:pt idx="29">
                  <c:v>515</c:v>
                </c:pt>
                <c:pt idx="30">
                  <c:v>510</c:v>
                </c:pt>
                <c:pt idx="31">
                  <c:v>505</c:v>
                </c:pt>
                <c:pt idx="32">
                  <c:v>500</c:v>
                </c:pt>
                <c:pt idx="33">
                  <c:v>495</c:v>
                </c:pt>
                <c:pt idx="34">
                  <c:v>490</c:v>
                </c:pt>
                <c:pt idx="35">
                  <c:v>485</c:v>
                </c:pt>
                <c:pt idx="36">
                  <c:v>480</c:v>
                </c:pt>
                <c:pt idx="37">
                  <c:v>475</c:v>
                </c:pt>
                <c:pt idx="38">
                  <c:v>470</c:v>
                </c:pt>
                <c:pt idx="39">
                  <c:v>465</c:v>
                </c:pt>
                <c:pt idx="40">
                  <c:v>460</c:v>
                </c:pt>
                <c:pt idx="41">
                  <c:v>455</c:v>
                </c:pt>
                <c:pt idx="42">
                  <c:v>450</c:v>
                </c:pt>
                <c:pt idx="43">
                  <c:v>445</c:v>
                </c:pt>
                <c:pt idx="44">
                  <c:v>440</c:v>
                </c:pt>
                <c:pt idx="45">
                  <c:v>435</c:v>
                </c:pt>
                <c:pt idx="46">
                  <c:v>430</c:v>
                </c:pt>
                <c:pt idx="47">
                  <c:v>425</c:v>
                </c:pt>
                <c:pt idx="48">
                  <c:v>420</c:v>
                </c:pt>
                <c:pt idx="49">
                  <c:v>415</c:v>
                </c:pt>
                <c:pt idx="50">
                  <c:v>410</c:v>
                </c:pt>
                <c:pt idx="51">
                  <c:v>405</c:v>
                </c:pt>
                <c:pt idx="52">
                  <c:v>400</c:v>
                </c:pt>
                <c:pt idx="53">
                  <c:v>395</c:v>
                </c:pt>
                <c:pt idx="54">
                  <c:v>390</c:v>
                </c:pt>
                <c:pt idx="55">
                  <c:v>385</c:v>
                </c:pt>
                <c:pt idx="56">
                  <c:v>380</c:v>
                </c:pt>
                <c:pt idx="57">
                  <c:v>375</c:v>
                </c:pt>
                <c:pt idx="58">
                  <c:v>370</c:v>
                </c:pt>
                <c:pt idx="59">
                  <c:v>365</c:v>
                </c:pt>
                <c:pt idx="60">
                  <c:v>360</c:v>
                </c:pt>
                <c:pt idx="61">
                  <c:v>355</c:v>
                </c:pt>
                <c:pt idx="62">
                  <c:v>350</c:v>
                </c:pt>
                <c:pt idx="63">
                  <c:v>345</c:v>
                </c:pt>
                <c:pt idx="64">
                  <c:v>340</c:v>
                </c:pt>
                <c:pt idx="65">
                  <c:v>335</c:v>
                </c:pt>
                <c:pt idx="66">
                  <c:v>330</c:v>
                </c:pt>
                <c:pt idx="67">
                  <c:v>325</c:v>
                </c:pt>
                <c:pt idx="68">
                  <c:v>320</c:v>
                </c:pt>
                <c:pt idx="69">
                  <c:v>315</c:v>
                </c:pt>
                <c:pt idx="70">
                  <c:v>310</c:v>
                </c:pt>
                <c:pt idx="71">
                  <c:v>305</c:v>
                </c:pt>
                <c:pt idx="72">
                  <c:v>300</c:v>
                </c:pt>
                <c:pt idx="73">
                  <c:v>295</c:v>
                </c:pt>
                <c:pt idx="74">
                  <c:v>290</c:v>
                </c:pt>
                <c:pt idx="75">
                  <c:v>285</c:v>
                </c:pt>
                <c:pt idx="76">
                  <c:v>280</c:v>
                </c:pt>
                <c:pt idx="77">
                  <c:v>275</c:v>
                </c:pt>
                <c:pt idx="78">
                  <c:v>270</c:v>
                </c:pt>
                <c:pt idx="79">
                  <c:v>265</c:v>
                </c:pt>
                <c:pt idx="80">
                  <c:v>260</c:v>
                </c:pt>
                <c:pt idx="81">
                  <c:v>255</c:v>
                </c:pt>
                <c:pt idx="82">
                  <c:v>250</c:v>
                </c:pt>
                <c:pt idx="83">
                  <c:v>245</c:v>
                </c:pt>
                <c:pt idx="84">
                  <c:v>240</c:v>
                </c:pt>
                <c:pt idx="85">
                  <c:v>235</c:v>
                </c:pt>
                <c:pt idx="86">
                  <c:v>230</c:v>
                </c:pt>
                <c:pt idx="87">
                  <c:v>225</c:v>
                </c:pt>
                <c:pt idx="88">
                  <c:v>220</c:v>
                </c:pt>
                <c:pt idx="89">
                  <c:v>215</c:v>
                </c:pt>
                <c:pt idx="90">
                  <c:v>210</c:v>
                </c:pt>
                <c:pt idx="91">
                  <c:v>205</c:v>
                </c:pt>
                <c:pt idx="92">
                  <c:v>200</c:v>
                </c:pt>
                <c:pt idx="93">
                  <c:v>195</c:v>
                </c:pt>
                <c:pt idx="94">
                  <c:v>190</c:v>
                </c:pt>
                <c:pt idx="95">
                  <c:v>185</c:v>
                </c:pt>
                <c:pt idx="96">
                  <c:v>180</c:v>
                </c:pt>
                <c:pt idx="97">
                  <c:v>175</c:v>
                </c:pt>
                <c:pt idx="98">
                  <c:v>170</c:v>
                </c:pt>
                <c:pt idx="99">
                  <c:v>165</c:v>
                </c:pt>
                <c:pt idx="100">
                  <c:v>160</c:v>
                </c:pt>
                <c:pt idx="101">
                  <c:v>155</c:v>
                </c:pt>
                <c:pt idx="102">
                  <c:v>150</c:v>
                </c:pt>
                <c:pt idx="103">
                  <c:v>145</c:v>
                </c:pt>
                <c:pt idx="104">
                  <c:v>140</c:v>
                </c:pt>
                <c:pt idx="105">
                  <c:v>135</c:v>
                </c:pt>
                <c:pt idx="106">
                  <c:v>130</c:v>
                </c:pt>
                <c:pt idx="107">
                  <c:v>125</c:v>
                </c:pt>
                <c:pt idx="108">
                  <c:v>120</c:v>
                </c:pt>
                <c:pt idx="109">
                  <c:v>115</c:v>
                </c:pt>
                <c:pt idx="110">
                  <c:v>110</c:v>
                </c:pt>
                <c:pt idx="111">
                  <c:v>105</c:v>
                </c:pt>
                <c:pt idx="112">
                  <c:v>100</c:v>
                </c:pt>
                <c:pt idx="113">
                  <c:v>95</c:v>
                </c:pt>
                <c:pt idx="114">
                  <c:v>90</c:v>
                </c:pt>
                <c:pt idx="115">
                  <c:v>85</c:v>
                </c:pt>
                <c:pt idx="116">
                  <c:v>80</c:v>
                </c:pt>
                <c:pt idx="117">
                  <c:v>75</c:v>
                </c:pt>
                <c:pt idx="118">
                  <c:v>70</c:v>
                </c:pt>
                <c:pt idx="119">
                  <c:v>65</c:v>
                </c:pt>
                <c:pt idx="120">
                  <c:v>60</c:v>
                </c:pt>
                <c:pt idx="121">
                  <c:v>55</c:v>
                </c:pt>
                <c:pt idx="122">
                  <c:v>50</c:v>
                </c:pt>
                <c:pt idx="123">
                  <c:v>45</c:v>
                </c:pt>
                <c:pt idx="124">
                  <c:v>40</c:v>
                </c:pt>
                <c:pt idx="125">
                  <c:v>35</c:v>
                </c:pt>
                <c:pt idx="126">
                  <c:v>30</c:v>
                </c:pt>
                <c:pt idx="127">
                  <c:v>25</c:v>
                </c:pt>
                <c:pt idx="128">
                  <c:v>20</c:v>
                </c:pt>
                <c:pt idx="129">
                  <c:v>15</c:v>
                </c:pt>
                <c:pt idx="130">
                  <c:v>10</c:v>
                </c:pt>
                <c:pt idx="131">
                  <c:v>5</c:v>
                </c:pt>
                <c:pt idx="132">
                  <c:v>0</c:v>
                </c:pt>
              </c:numCache>
            </c:numRef>
          </c:xVal>
          <c:yVal>
            <c:numRef>
              <c:f>Sheet1!$G$9:$G$141</c:f>
              <c:numCache>
                <c:formatCode>General</c:formatCode>
                <c:ptCount val="133"/>
                <c:pt idx="0">
                  <c:v>8.8937677044705846E+21</c:v>
                </c:pt>
                <c:pt idx="1">
                  <c:v>8.7344207093789926E+21</c:v>
                </c:pt>
                <c:pt idx="2">
                  <c:v>8.5774950244898748E+21</c:v>
                </c:pt>
                <c:pt idx="3">
                  <c:v>8.422961083369733E+21</c:v>
                </c:pt>
                <c:pt idx="4">
                  <c:v>8.2707895789997334E+21</c:v>
                </c:pt>
                <c:pt idx="5">
                  <c:v>8.1209514626554517E+21</c:v>
                </c:pt>
                <c:pt idx="6">
                  <c:v>7.9734179427815659E+21</c:v>
                </c:pt>
                <c:pt idx="7">
                  <c:v>7.8281604838607857E+21</c:v>
                </c:pt>
                <c:pt idx="8">
                  <c:v>7.6851508052778927E+21</c:v>
                </c:pt>
                <c:pt idx="9">
                  <c:v>7.5443608801785319E+21</c:v>
                </c:pt>
                <c:pt idx="10">
                  <c:v>7.4057629343225123E+21</c:v>
                </c:pt>
                <c:pt idx="11">
                  <c:v>7.2693294449327373E+21</c:v>
                </c:pt>
                <c:pt idx="12">
                  <c:v>7.1350331395386303E+21</c:v>
                </c:pt>
                <c:pt idx="13">
                  <c:v>7.0028469948148802E+21</c:v>
                </c:pt>
                <c:pt idx="14">
                  <c:v>6.872744235415463E+21</c:v>
                </c:pt>
                <c:pt idx="15">
                  <c:v>6.7446983328027472E+21</c:v>
                </c:pt>
                <c:pt idx="16">
                  <c:v>6.6186830040722309E+21</c:v>
                </c:pt>
                <c:pt idx="17">
                  <c:v>6.4946722107723612E+21</c:v>
                </c:pt>
                <c:pt idx="18">
                  <c:v>6.3726401577201655E+21</c:v>
                </c:pt>
                <c:pt idx="19">
                  <c:v>6.2525612918124461E+21</c:v>
                </c:pt>
                <c:pt idx="20">
                  <c:v>6.1344103008323051E+21</c:v>
                </c:pt>
                <c:pt idx="21">
                  <c:v>6.0181621122520349E+21</c:v>
                </c:pt>
                <c:pt idx="22">
                  <c:v>5.9037918920312609E+21</c:v>
                </c:pt>
                <c:pt idx="23">
                  <c:v>5.7912750434112829E+21</c:v>
                </c:pt>
                <c:pt idx="24">
                  <c:v>5.6805872057055183E+21</c:v>
                </c:pt>
                <c:pt idx="25">
                  <c:v>5.5717042530856825E+21</c:v>
                </c:pt>
                <c:pt idx="26">
                  <c:v>5.4646022933645172E+21</c:v>
                </c:pt>
                <c:pt idx="27">
                  <c:v>5.3592576667745067E+21</c:v>
                </c:pt>
                <c:pt idx="28">
                  <c:v>5.2556469447430693E+21</c:v>
                </c:pt>
                <c:pt idx="29">
                  <c:v>5.1537469286640727E+21</c:v>
                </c:pt>
                <c:pt idx="30">
                  <c:v>5.0535346486658791E+21</c:v>
                </c:pt>
                <c:pt idx="31">
                  <c:v>4.9549873623761053E+21</c:v>
                </c:pt>
                <c:pt idx="32">
                  <c:v>4.8580825536828172E+21</c:v>
                </c:pt>
                <c:pt idx="33">
                  <c:v>4.7627979314926579E+21</c:v>
                </c:pt>
                <c:pt idx="34">
                  <c:v>4.6691114284858621E+21</c:v>
                </c:pt>
                <c:pt idx="35">
                  <c:v>4.5770011998679151E+21</c:v>
                </c:pt>
                <c:pt idx="36">
                  <c:v>4.4864456221186772E+21</c:v>
                </c:pt>
                <c:pt idx="37">
                  <c:v>4.3974232917381706E+21</c:v>
                </c:pt>
                <c:pt idx="38">
                  <c:v>4.3099130239898679E+21</c:v>
                </c:pt>
                <c:pt idx="39">
                  <c:v>4.2238938516411085E+21</c:v>
                </c:pt>
                <c:pt idx="40">
                  <c:v>4.1393450237009147E+21</c:v>
                </c:pt>
                <c:pt idx="41">
                  <c:v>4.0562460041553327E+21</c:v>
                </c:pt>
                <c:pt idx="42">
                  <c:v>3.9745764707001969E+21</c:v>
                </c:pt>
                <c:pt idx="43">
                  <c:v>3.8943163134716228E+21</c:v>
                </c:pt>
                <c:pt idx="44">
                  <c:v>3.8154456337742362E+21</c:v>
                </c:pt>
                <c:pt idx="45">
                  <c:v>3.737944742807059E+21</c:v>
                </c:pt>
                <c:pt idx="46">
                  <c:v>3.6617941603875559E+21</c:v>
                </c:pt>
                <c:pt idx="47">
                  <c:v>3.5869746136734483E+21</c:v>
                </c:pt>
                <c:pt idx="48">
                  <c:v>3.5134670358826697E+21</c:v>
                </c:pt>
                <c:pt idx="49">
                  <c:v>3.4412525650116078E+21</c:v>
                </c:pt>
                <c:pt idx="50">
                  <c:v>3.3703125425514107E+21</c:v>
                </c:pt>
                <c:pt idx="51">
                  <c:v>3.3006285122028422E+21</c:v>
                </c:pt>
                <c:pt idx="52">
                  <c:v>3.2321822185894503E+21</c:v>
                </c:pt>
                <c:pt idx="53">
                  <c:v>3.1649556059693232E+21</c:v>
                </c:pt>
                <c:pt idx="54">
                  <c:v>3.0989308169454354E+21</c:v>
                </c:pt>
                <c:pt idx="55">
                  <c:v>3.0340901911747787E+21</c:v>
                </c:pt>
                <c:pt idx="56">
                  <c:v>2.9704162640762655E+21</c:v>
                </c:pt>
                <c:pt idx="57">
                  <c:v>2.9078917655374494E+21</c:v>
                </c:pt>
                <c:pt idx="58">
                  <c:v>2.846499618620418E+21</c:v>
                </c:pt>
                <c:pt idx="59">
                  <c:v>2.7862229382666052E+21</c:v>
                </c:pt>
                <c:pt idx="60">
                  <c:v>2.72704503000082E+21</c:v>
                </c:pt>
                <c:pt idx="61">
                  <c:v>2.6689493886346393E+21</c:v>
                </c:pt>
                <c:pt idx="62">
                  <c:v>2.6119196969690139E+21</c:v>
                </c:pt>
                <c:pt idx="63">
                  <c:v>2.555939824496418E+21</c:v>
                </c:pt>
                <c:pt idx="64">
                  <c:v>2.5009938261024928E+21</c:v>
                </c:pt>
                <c:pt idx="65">
                  <c:v>2.4470659407673819E+21</c:v>
                </c:pt>
                <c:pt idx="66">
                  <c:v>2.3941405902667577E+21</c:v>
                </c:pt>
                <c:pt idx="67">
                  <c:v>2.3422023778726115E+21</c:v>
                </c:pt>
                <c:pt idx="68">
                  <c:v>2.2912360870540731E+21</c:v>
                </c:pt>
                <c:pt idx="69">
                  <c:v>2.241226680178141E+21</c:v>
                </c:pt>
                <c:pt idx="70">
                  <c:v>2.1921592972105207E+21</c:v>
                </c:pt>
                <c:pt idx="71">
                  <c:v>2.1440192544167056E+21</c:v>
                </c:pt>
                <c:pt idx="72">
                  <c:v>2.0967920430632377E+21</c:v>
                </c:pt>
                <c:pt idx="73">
                  <c:v>2.0504633281194274E+21</c:v>
                </c:pt>
                <c:pt idx="74">
                  <c:v>2.0050189469594852E+21</c:v>
                </c:pt>
                <c:pt idx="75">
                  <c:v>1.9604449080652291E+21</c:v>
                </c:pt>
                <c:pt idx="76">
                  <c:v>1.9167273897294241E+21</c:v>
                </c:pt>
                <c:pt idx="77">
                  <c:v>1.873852738759841E+21</c:v>
                </c:pt>
                <c:pt idx="78">
                  <c:v>1.8318074691841895E+21</c:v>
                </c:pt>
                <c:pt idx="79">
                  <c:v>1.7905782609559112E+21</c:v>
                </c:pt>
                <c:pt idx="80">
                  <c:v>1.7501519586610221E+21</c:v>
                </c:pt>
                <c:pt idx="81">
                  <c:v>1.7105155702260535E+21</c:v>
                </c:pt>
                <c:pt idx="82">
                  <c:v>1.6716562656271231E+21</c:v>
                </c:pt>
                <c:pt idx="83">
                  <c:v>1.6335613756003821E+21</c:v>
                </c:pt>
                <c:pt idx="84">
                  <c:v>1.5962183903537594E+21</c:v>
                </c:pt>
                <c:pt idx="85">
                  <c:v>1.5596149582801635E+21</c:v>
                </c:pt>
                <c:pt idx="86">
                  <c:v>1.5237388846723086E+21</c:v>
                </c:pt>
                <c:pt idx="87">
                  <c:v>1.48857813043908E+21</c:v>
                </c:pt>
                <c:pt idx="88">
                  <c:v>1.4541208108236963E+21</c:v>
                </c:pt>
                <c:pt idx="89">
                  <c:v>1.420355194123648E+21</c:v>
                </c:pt>
                <c:pt idx="90">
                  <c:v>1.3872697004125829E+21</c:v>
                </c:pt>
                <c:pt idx="91">
                  <c:v>1.3548529002641458E+21</c:v>
                </c:pt>
                <c:pt idx="92">
                  <c:v>1.323093513477902E+21</c:v>
                </c:pt>
                <c:pt idx="93">
                  <c:v>1.2919804078074581E+21</c:v>
                </c:pt>
                <c:pt idx="94">
                  <c:v>1.2615025976908112E+21</c:v>
                </c:pt>
                <c:pt idx="95">
                  <c:v>1.2316492429830413E+21</c:v>
                </c:pt>
                <c:pt idx="96">
                  <c:v>1.2024096476914621E+21</c:v>
                </c:pt>
                <c:pt idx="97">
                  <c:v>1.1737732587132445E+21</c:v>
                </c:pt>
                <c:pt idx="98">
                  <c:v>1.1457296645756621E+21</c:v>
                </c:pt>
                <c:pt idx="99">
                  <c:v>1.1182685941790344E+21</c:v>
                </c:pt>
                <c:pt idx="100">
                  <c:v>1.0913799155424199E+21</c:v>
                </c:pt>
                <c:pt idx="101">
                  <c:v>1.0650536345521716E+21</c:v>
                </c:pt>
                <c:pt idx="102">
                  <c:v>1.0392798937134352E+21</c:v>
                </c:pt>
                <c:pt idx="103">
                  <c:v>1.0140489709046678E+21</c:v>
                </c:pt>
                <c:pt idx="104">
                  <c:v>9.893512781352534E+20</c:v>
                </c:pt>
                <c:pt idx="105">
                  <c:v>9.6517736030632372E+20</c:v>
                </c:pt>
                <c:pt idx="106">
                  <c:v>9.4151789397485067E+20</c:v>
                </c:pt>
                <c:pt idx="107">
                  <c:v>9.1836368612105178E+20</c:v>
                </c:pt>
                <c:pt idx="108">
                  <c:v>8.957056729192817E+20</c:v>
                </c:pt>
                <c:pt idx="109">
                  <c:v>1.345879031487789E+21</c:v>
                </c:pt>
                <c:pt idx="110">
                  <c:v>2.0826061466653137E+21</c:v>
                </c:pt>
                <c:pt idx="111">
                  <c:v>3.3296725051547189E+21</c:v>
                </c:pt>
                <c:pt idx="112">
                  <c:v>5.5213445516633571E+21</c:v>
                </c:pt>
                <c:pt idx="113">
                  <c:v>9.5380760150279423E+21</c:v>
                </c:pt>
                <c:pt idx="114">
                  <c:v>1.725430163444986E+22</c:v>
                </c:pt>
                <c:pt idx="115">
                  <c:v>3.2885055978911524E+22</c:v>
                </c:pt>
                <c:pt idx="116">
                  <c:v>6.651127425193448E+22</c:v>
                </c:pt>
                <c:pt idx="117">
                  <c:v>1.4398684955575783E+23</c:v>
                </c:pt>
                <c:pt idx="118">
                  <c:v>3.3711219453402927E+23</c:v>
                </c:pt>
                <c:pt idx="119">
                  <c:v>8.6437778488444681E+23</c:v>
                </c:pt>
                <c:pt idx="120">
                  <c:v>2.4648749150109793E+24</c:v>
                </c:pt>
                <c:pt idx="121">
                  <c:v>7.9676905976542469E+24</c:v>
                </c:pt>
                <c:pt idx="122">
                  <c:v>1.0000000000000001E+25</c:v>
                </c:pt>
                <c:pt idx="123">
                  <c:v>1.0000000000000001E+25</c:v>
                </c:pt>
                <c:pt idx="124">
                  <c:v>1.0000000000000001E+25</c:v>
                </c:pt>
                <c:pt idx="125">
                  <c:v>1.0000000000000001E+25</c:v>
                </c:pt>
                <c:pt idx="126">
                  <c:v>1.0000000000000001E+25</c:v>
                </c:pt>
                <c:pt idx="127">
                  <c:v>1.0000000000000001E+25</c:v>
                </c:pt>
                <c:pt idx="128">
                  <c:v>1.0000000000000001E+25</c:v>
                </c:pt>
                <c:pt idx="129">
                  <c:v>1.0000000000000001E+25</c:v>
                </c:pt>
                <c:pt idx="130">
                  <c:v>1.0000000000000001E+25</c:v>
                </c:pt>
                <c:pt idx="131">
                  <c:v>1.0000000000000001E+25</c:v>
                </c:pt>
                <c:pt idx="132">
                  <c:v>1.0000000000000001E+25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FE1-AE42-91A8-F19BFB7B2FF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8210256"/>
        <c:axId val="320176464"/>
      </c:scatterChart>
      <c:scatterChart>
        <c:scatterStyle val="lineMarker"/>
        <c:varyColors val="0"/>
        <c:ser>
          <c:idx val="1"/>
          <c:order val="1"/>
          <c:tx>
            <c:v>rho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Sheet1!$B$9:$B$141</c:f>
              <c:numCache>
                <c:formatCode>General</c:formatCode>
                <c:ptCount val="133"/>
                <c:pt idx="0">
                  <c:v>660</c:v>
                </c:pt>
                <c:pt idx="1">
                  <c:v>655</c:v>
                </c:pt>
                <c:pt idx="2">
                  <c:v>650</c:v>
                </c:pt>
                <c:pt idx="3">
                  <c:v>645</c:v>
                </c:pt>
                <c:pt idx="4">
                  <c:v>640</c:v>
                </c:pt>
                <c:pt idx="5">
                  <c:v>635</c:v>
                </c:pt>
                <c:pt idx="6">
                  <c:v>630</c:v>
                </c:pt>
                <c:pt idx="7">
                  <c:v>625</c:v>
                </c:pt>
                <c:pt idx="8">
                  <c:v>620</c:v>
                </c:pt>
                <c:pt idx="9">
                  <c:v>615</c:v>
                </c:pt>
                <c:pt idx="10">
                  <c:v>610</c:v>
                </c:pt>
                <c:pt idx="11">
                  <c:v>605</c:v>
                </c:pt>
                <c:pt idx="12">
                  <c:v>600</c:v>
                </c:pt>
                <c:pt idx="13">
                  <c:v>595</c:v>
                </c:pt>
                <c:pt idx="14">
                  <c:v>590</c:v>
                </c:pt>
                <c:pt idx="15">
                  <c:v>585</c:v>
                </c:pt>
                <c:pt idx="16">
                  <c:v>580</c:v>
                </c:pt>
                <c:pt idx="17">
                  <c:v>575</c:v>
                </c:pt>
                <c:pt idx="18">
                  <c:v>570</c:v>
                </c:pt>
                <c:pt idx="19">
                  <c:v>565</c:v>
                </c:pt>
                <c:pt idx="20">
                  <c:v>560</c:v>
                </c:pt>
                <c:pt idx="21">
                  <c:v>555</c:v>
                </c:pt>
                <c:pt idx="22">
                  <c:v>550</c:v>
                </c:pt>
                <c:pt idx="23">
                  <c:v>545</c:v>
                </c:pt>
                <c:pt idx="24">
                  <c:v>540</c:v>
                </c:pt>
                <c:pt idx="25">
                  <c:v>535</c:v>
                </c:pt>
                <c:pt idx="26">
                  <c:v>530</c:v>
                </c:pt>
                <c:pt idx="27">
                  <c:v>525</c:v>
                </c:pt>
                <c:pt idx="28">
                  <c:v>520</c:v>
                </c:pt>
                <c:pt idx="29">
                  <c:v>515</c:v>
                </c:pt>
                <c:pt idx="30">
                  <c:v>510</c:v>
                </c:pt>
                <c:pt idx="31">
                  <c:v>505</c:v>
                </c:pt>
                <c:pt idx="32">
                  <c:v>500</c:v>
                </c:pt>
                <c:pt idx="33">
                  <c:v>495</c:v>
                </c:pt>
                <c:pt idx="34">
                  <c:v>490</c:v>
                </c:pt>
                <c:pt idx="35">
                  <c:v>485</c:v>
                </c:pt>
                <c:pt idx="36">
                  <c:v>480</c:v>
                </c:pt>
                <c:pt idx="37">
                  <c:v>475</c:v>
                </c:pt>
                <c:pt idx="38">
                  <c:v>470</c:v>
                </c:pt>
                <c:pt idx="39">
                  <c:v>465</c:v>
                </c:pt>
                <c:pt idx="40">
                  <c:v>460</c:v>
                </c:pt>
                <c:pt idx="41">
                  <c:v>455</c:v>
                </c:pt>
                <c:pt idx="42">
                  <c:v>450</c:v>
                </c:pt>
                <c:pt idx="43">
                  <c:v>445</c:v>
                </c:pt>
                <c:pt idx="44">
                  <c:v>440</c:v>
                </c:pt>
                <c:pt idx="45">
                  <c:v>435</c:v>
                </c:pt>
                <c:pt idx="46">
                  <c:v>430</c:v>
                </c:pt>
                <c:pt idx="47">
                  <c:v>425</c:v>
                </c:pt>
                <c:pt idx="48">
                  <c:v>420</c:v>
                </c:pt>
                <c:pt idx="49">
                  <c:v>415</c:v>
                </c:pt>
                <c:pt idx="50">
                  <c:v>410</c:v>
                </c:pt>
                <c:pt idx="51">
                  <c:v>405</c:v>
                </c:pt>
                <c:pt idx="52">
                  <c:v>400</c:v>
                </c:pt>
                <c:pt idx="53">
                  <c:v>395</c:v>
                </c:pt>
                <c:pt idx="54">
                  <c:v>390</c:v>
                </c:pt>
                <c:pt idx="55">
                  <c:v>385</c:v>
                </c:pt>
                <c:pt idx="56">
                  <c:v>380</c:v>
                </c:pt>
                <c:pt idx="57">
                  <c:v>375</c:v>
                </c:pt>
                <c:pt idx="58">
                  <c:v>370</c:v>
                </c:pt>
                <c:pt idx="59">
                  <c:v>365</c:v>
                </c:pt>
                <c:pt idx="60">
                  <c:v>360</c:v>
                </c:pt>
                <c:pt idx="61">
                  <c:v>355</c:v>
                </c:pt>
                <c:pt idx="62">
                  <c:v>350</c:v>
                </c:pt>
                <c:pt idx="63">
                  <c:v>345</c:v>
                </c:pt>
                <c:pt idx="64">
                  <c:v>340</c:v>
                </c:pt>
                <c:pt idx="65">
                  <c:v>335</c:v>
                </c:pt>
                <c:pt idx="66">
                  <c:v>330</c:v>
                </c:pt>
                <c:pt idx="67">
                  <c:v>325</c:v>
                </c:pt>
                <c:pt idx="68">
                  <c:v>320</c:v>
                </c:pt>
                <c:pt idx="69">
                  <c:v>315</c:v>
                </c:pt>
                <c:pt idx="70">
                  <c:v>310</c:v>
                </c:pt>
                <c:pt idx="71">
                  <c:v>305</c:v>
                </c:pt>
                <c:pt idx="72">
                  <c:v>300</c:v>
                </c:pt>
                <c:pt idx="73">
                  <c:v>295</c:v>
                </c:pt>
                <c:pt idx="74">
                  <c:v>290</c:v>
                </c:pt>
                <c:pt idx="75">
                  <c:v>285</c:v>
                </c:pt>
                <c:pt idx="76">
                  <c:v>280</c:v>
                </c:pt>
                <c:pt idx="77">
                  <c:v>275</c:v>
                </c:pt>
                <c:pt idx="78">
                  <c:v>270</c:v>
                </c:pt>
                <c:pt idx="79">
                  <c:v>265</c:v>
                </c:pt>
                <c:pt idx="80">
                  <c:v>260</c:v>
                </c:pt>
                <c:pt idx="81">
                  <c:v>255</c:v>
                </c:pt>
                <c:pt idx="82">
                  <c:v>250</c:v>
                </c:pt>
                <c:pt idx="83">
                  <c:v>245</c:v>
                </c:pt>
                <c:pt idx="84">
                  <c:v>240</c:v>
                </c:pt>
                <c:pt idx="85">
                  <c:v>235</c:v>
                </c:pt>
                <c:pt idx="86">
                  <c:v>230</c:v>
                </c:pt>
                <c:pt idx="87">
                  <c:v>225</c:v>
                </c:pt>
                <c:pt idx="88">
                  <c:v>220</c:v>
                </c:pt>
                <c:pt idx="89">
                  <c:v>215</c:v>
                </c:pt>
                <c:pt idx="90">
                  <c:v>210</c:v>
                </c:pt>
                <c:pt idx="91">
                  <c:v>205</c:v>
                </c:pt>
                <c:pt idx="92">
                  <c:v>200</c:v>
                </c:pt>
                <c:pt idx="93">
                  <c:v>195</c:v>
                </c:pt>
                <c:pt idx="94">
                  <c:v>190</c:v>
                </c:pt>
                <c:pt idx="95">
                  <c:v>185</c:v>
                </c:pt>
                <c:pt idx="96">
                  <c:v>180</c:v>
                </c:pt>
                <c:pt idx="97">
                  <c:v>175</c:v>
                </c:pt>
                <c:pt idx="98">
                  <c:v>170</c:v>
                </c:pt>
                <c:pt idx="99">
                  <c:v>165</c:v>
                </c:pt>
                <c:pt idx="100">
                  <c:v>160</c:v>
                </c:pt>
                <c:pt idx="101">
                  <c:v>155</c:v>
                </c:pt>
                <c:pt idx="102">
                  <c:v>150</c:v>
                </c:pt>
                <c:pt idx="103">
                  <c:v>145</c:v>
                </c:pt>
                <c:pt idx="104">
                  <c:v>140</c:v>
                </c:pt>
                <c:pt idx="105">
                  <c:v>135</c:v>
                </c:pt>
                <c:pt idx="106">
                  <c:v>130</c:v>
                </c:pt>
                <c:pt idx="107">
                  <c:v>125</c:v>
                </c:pt>
                <c:pt idx="108">
                  <c:v>120</c:v>
                </c:pt>
                <c:pt idx="109">
                  <c:v>115</c:v>
                </c:pt>
                <c:pt idx="110">
                  <c:v>110</c:v>
                </c:pt>
                <c:pt idx="111">
                  <c:v>105</c:v>
                </c:pt>
                <c:pt idx="112">
                  <c:v>100</c:v>
                </c:pt>
                <c:pt idx="113">
                  <c:v>95</c:v>
                </c:pt>
                <c:pt idx="114">
                  <c:v>90</c:v>
                </c:pt>
                <c:pt idx="115">
                  <c:v>85</c:v>
                </c:pt>
                <c:pt idx="116">
                  <c:v>80</c:v>
                </c:pt>
                <c:pt idx="117">
                  <c:v>75</c:v>
                </c:pt>
                <c:pt idx="118">
                  <c:v>70</c:v>
                </c:pt>
                <c:pt idx="119">
                  <c:v>65</c:v>
                </c:pt>
                <c:pt idx="120">
                  <c:v>60</c:v>
                </c:pt>
                <c:pt idx="121">
                  <c:v>55</c:v>
                </c:pt>
                <c:pt idx="122">
                  <c:v>50</c:v>
                </c:pt>
                <c:pt idx="123">
                  <c:v>45</c:v>
                </c:pt>
                <c:pt idx="124">
                  <c:v>40</c:v>
                </c:pt>
                <c:pt idx="125">
                  <c:v>35</c:v>
                </c:pt>
                <c:pt idx="126">
                  <c:v>30</c:v>
                </c:pt>
                <c:pt idx="127">
                  <c:v>25</c:v>
                </c:pt>
                <c:pt idx="128">
                  <c:v>20</c:v>
                </c:pt>
                <c:pt idx="129">
                  <c:v>15</c:v>
                </c:pt>
                <c:pt idx="130">
                  <c:v>10</c:v>
                </c:pt>
                <c:pt idx="131">
                  <c:v>5</c:v>
                </c:pt>
                <c:pt idx="132">
                  <c:v>0</c:v>
                </c:pt>
              </c:numCache>
            </c:numRef>
          </c:xVal>
          <c:yVal>
            <c:numRef>
              <c:f>Sheet1!$F$9:$F$141</c:f>
              <c:numCache>
                <c:formatCode>0.00E+00</c:formatCode>
                <c:ptCount val="133"/>
                <c:pt idx="0">
                  <c:v>3537.7139999999999</c:v>
                </c:pt>
                <c:pt idx="1">
                  <c:v>3533.3745000000004</c:v>
                </c:pt>
                <c:pt idx="2">
                  <c:v>3529.0349999999999</c:v>
                </c:pt>
                <c:pt idx="3">
                  <c:v>3524.6955000000003</c:v>
                </c:pt>
                <c:pt idx="4">
                  <c:v>3520.3559999999998</c:v>
                </c:pt>
                <c:pt idx="5">
                  <c:v>3516.0165000000002</c:v>
                </c:pt>
                <c:pt idx="6">
                  <c:v>3511.6769999999997</c:v>
                </c:pt>
                <c:pt idx="7">
                  <c:v>3507.3375000000001</c:v>
                </c:pt>
                <c:pt idx="8">
                  <c:v>3502.9979999999996</c:v>
                </c:pt>
                <c:pt idx="9">
                  <c:v>3498.6585</c:v>
                </c:pt>
                <c:pt idx="10">
                  <c:v>3494.319</c:v>
                </c:pt>
                <c:pt idx="11">
                  <c:v>3489.9794999999999</c:v>
                </c:pt>
                <c:pt idx="12">
                  <c:v>3485.64</c:v>
                </c:pt>
                <c:pt idx="13">
                  <c:v>3481.3004999999998</c:v>
                </c:pt>
                <c:pt idx="14">
                  <c:v>3476.9609999999998</c:v>
                </c:pt>
                <c:pt idx="15">
                  <c:v>3472.6215000000002</c:v>
                </c:pt>
                <c:pt idx="16">
                  <c:v>3468.2819999999997</c:v>
                </c:pt>
                <c:pt idx="17">
                  <c:v>3463.9425000000001</c:v>
                </c:pt>
                <c:pt idx="18">
                  <c:v>3459.6030000000005</c:v>
                </c:pt>
                <c:pt idx="19">
                  <c:v>3455.2635</c:v>
                </c:pt>
                <c:pt idx="20">
                  <c:v>3450.9240000000004</c:v>
                </c:pt>
                <c:pt idx="21">
                  <c:v>3446.5844999999999</c:v>
                </c:pt>
                <c:pt idx="22">
                  <c:v>3442.2450000000003</c:v>
                </c:pt>
                <c:pt idx="23">
                  <c:v>3437.9054999999998</c:v>
                </c:pt>
                <c:pt idx="24">
                  <c:v>3433.5660000000003</c:v>
                </c:pt>
                <c:pt idx="25">
                  <c:v>3429.2264999999998</c:v>
                </c:pt>
                <c:pt idx="26">
                  <c:v>3424.8870000000002</c:v>
                </c:pt>
                <c:pt idx="27">
                  <c:v>3420.5474999999997</c:v>
                </c:pt>
                <c:pt idx="28">
                  <c:v>3416.2080000000001</c:v>
                </c:pt>
                <c:pt idx="29">
                  <c:v>3411.8685</c:v>
                </c:pt>
                <c:pt idx="30">
                  <c:v>3407.529</c:v>
                </c:pt>
                <c:pt idx="31">
                  <c:v>3403.1895</c:v>
                </c:pt>
                <c:pt idx="32">
                  <c:v>3398.8500000000004</c:v>
                </c:pt>
                <c:pt idx="33">
                  <c:v>3394.5104999999999</c:v>
                </c:pt>
                <c:pt idx="34">
                  <c:v>3390.1710000000003</c:v>
                </c:pt>
                <c:pt idx="35">
                  <c:v>3385.8314999999998</c:v>
                </c:pt>
                <c:pt idx="36">
                  <c:v>3381.4920000000002</c:v>
                </c:pt>
                <c:pt idx="37">
                  <c:v>3377.1525000000006</c:v>
                </c:pt>
                <c:pt idx="38">
                  <c:v>3372.8130000000001</c:v>
                </c:pt>
                <c:pt idx="39">
                  <c:v>3368.4735000000005</c:v>
                </c:pt>
                <c:pt idx="40">
                  <c:v>3364.134</c:v>
                </c:pt>
                <c:pt idx="41">
                  <c:v>3359.7945000000004</c:v>
                </c:pt>
                <c:pt idx="42">
                  <c:v>3355.4549999999999</c:v>
                </c:pt>
                <c:pt idx="43">
                  <c:v>3351.1155000000003</c:v>
                </c:pt>
                <c:pt idx="44">
                  <c:v>3346.7759999999998</c:v>
                </c:pt>
                <c:pt idx="45">
                  <c:v>3342.4365000000003</c:v>
                </c:pt>
                <c:pt idx="46">
                  <c:v>3338.0969999999998</c:v>
                </c:pt>
                <c:pt idx="47">
                  <c:v>3333.7574999999997</c:v>
                </c:pt>
                <c:pt idx="48">
                  <c:v>3329.4179999999997</c:v>
                </c:pt>
                <c:pt idx="49">
                  <c:v>3325.0784999999996</c:v>
                </c:pt>
                <c:pt idx="50">
                  <c:v>3320.739</c:v>
                </c:pt>
                <c:pt idx="51">
                  <c:v>3316.3994999999995</c:v>
                </c:pt>
                <c:pt idx="52">
                  <c:v>3312.06</c:v>
                </c:pt>
                <c:pt idx="53">
                  <c:v>3307.7205000000004</c:v>
                </c:pt>
                <c:pt idx="54">
                  <c:v>3303.3809999999999</c:v>
                </c:pt>
                <c:pt idx="55">
                  <c:v>3299.0415000000003</c:v>
                </c:pt>
                <c:pt idx="56">
                  <c:v>3294.7019999999998</c:v>
                </c:pt>
                <c:pt idx="57">
                  <c:v>3290.3625000000002</c:v>
                </c:pt>
                <c:pt idx="58">
                  <c:v>3286.0230000000001</c:v>
                </c:pt>
                <c:pt idx="59">
                  <c:v>3281.6835000000001</c:v>
                </c:pt>
                <c:pt idx="60">
                  <c:v>3277.3440000000001</c:v>
                </c:pt>
                <c:pt idx="61">
                  <c:v>3273.0045</c:v>
                </c:pt>
                <c:pt idx="62">
                  <c:v>3268.665</c:v>
                </c:pt>
                <c:pt idx="63">
                  <c:v>3264.3254999999999</c:v>
                </c:pt>
                <c:pt idx="64">
                  <c:v>3259.9859999999999</c:v>
                </c:pt>
                <c:pt idx="65">
                  <c:v>3255.6464999999998</c:v>
                </c:pt>
                <c:pt idx="66">
                  <c:v>3251.3069999999998</c:v>
                </c:pt>
                <c:pt idx="67">
                  <c:v>3246.9675000000002</c:v>
                </c:pt>
                <c:pt idx="68">
                  <c:v>3242.6279999999997</c:v>
                </c:pt>
                <c:pt idx="69">
                  <c:v>3238.2885000000001</c:v>
                </c:pt>
                <c:pt idx="70">
                  <c:v>3233.9489999999996</c:v>
                </c:pt>
                <c:pt idx="71">
                  <c:v>3229.6095</c:v>
                </c:pt>
                <c:pt idx="72">
                  <c:v>3225.2700000000004</c:v>
                </c:pt>
                <c:pt idx="73">
                  <c:v>3220.9304999999999</c:v>
                </c:pt>
                <c:pt idx="74">
                  <c:v>3216.5910000000003</c:v>
                </c:pt>
                <c:pt idx="75">
                  <c:v>3212.2514999999999</c:v>
                </c:pt>
                <c:pt idx="76">
                  <c:v>3207.9120000000003</c:v>
                </c:pt>
                <c:pt idx="77">
                  <c:v>3203.5725000000002</c:v>
                </c:pt>
                <c:pt idx="78">
                  <c:v>3199.2330000000002</c:v>
                </c:pt>
                <c:pt idx="79">
                  <c:v>3194.8935000000001</c:v>
                </c:pt>
                <c:pt idx="80">
                  <c:v>3190.5540000000001</c:v>
                </c:pt>
                <c:pt idx="81">
                  <c:v>3186.2145</c:v>
                </c:pt>
                <c:pt idx="82">
                  <c:v>3181.875</c:v>
                </c:pt>
                <c:pt idx="83">
                  <c:v>3177.5355</c:v>
                </c:pt>
                <c:pt idx="84">
                  <c:v>3173.1959999999995</c:v>
                </c:pt>
                <c:pt idx="85">
                  <c:v>3168.8564999999999</c:v>
                </c:pt>
                <c:pt idx="86">
                  <c:v>3164.5169999999994</c:v>
                </c:pt>
                <c:pt idx="87">
                  <c:v>3160.1774999999998</c:v>
                </c:pt>
                <c:pt idx="88">
                  <c:v>3155.8380000000002</c:v>
                </c:pt>
                <c:pt idx="89">
                  <c:v>3151.4984999999997</c:v>
                </c:pt>
                <c:pt idx="90">
                  <c:v>3147.1590000000001</c:v>
                </c:pt>
                <c:pt idx="91">
                  <c:v>3142.8195000000005</c:v>
                </c:pt>
                <c:pt idx="92">
                  <c:v>3138.48</c:v>
                </c:pt>
                <c:pt idx="93">
                  <c:v>3134.1405000000004</c:v>
                </c:pt>
                <c:pt idx="94">
                  <c:v>3129.8009999999999</c:v>
                </c:pt>
                <c:pt idx="95">
                  <c:v>3125.4615000000003</c:v>
                </c:pt>
                <c:pt idx="96">
                  <c:v>3121.1219999999998</c:v>
                </c:pt>
                <c:pt idx="97">
                  <c:v>3116.7824999999998</c:v>
                </c:pt>
                <c:pt idx="98">
                  <c:v>3112.4430000000002</c:v>
                </c:pt>
                <c:pt idx="99">
                  <c:v>3108.1034999999997</c:v>
                </c:pt>
                <c:pt idx="100">
                  <c:v>3103.7640000000001</c:v>
                </c:pt>
                <c:pt idx="101">
                  <c:v>3099.4244999999996</c:v>
                </c:pt>
                <c:pt idx="102">
                  <c:v>3095.085</c:v>
                </c:pt>
                <c:pt idx="103">
                  <c:v>3090.7454999999995</c:v>
                </c:pt>
                <c:pt idx="104">
                  <c:v>3086.4059999999999</c:v>
                </c:pt>
                <c:pt idx="105">
                  <c:v>3082.0665000000004</c:v>
                </c:pt>
                <c:pt idx="106">
                  <c:v>3077.7269999999999</c:v>
                </c:pt>
                <c:pt idx="107">
                  <c:v>3073.3875000000003</c:v>
                </c:pt>
                <c:pt idx="108">
                  <c:v>3069.0479999999998</c:v>
                </c:pt>
                <c:pt idx="109">
                  <c:v>3066.1709999999998</c:v>
                </c:pt>
                <c:pt idx="110">
                  <c:v>3063.2940000000003</c:v>
                </c:pt>
                <c:pt idx="111">
                  <c:v>3060.4169999999999</c:v>
                </c:pt>
                <c:pt idx="112">
                  <c:v>3057.54</c:v>
                </c:pt>
                <c:pt idx="113">
                  <c:v>3054.663</c:v>
                </c:pt>
                <c:pt idx="114">
                  <c:v>3051.7859999999996</c:v>
                </c:pt>
                <c:pt idx="115">
                  <c:v>3048.9089999999997</c:v>
                </c:pt>
                <c:pt idx="116">
                  <c:v>3046.0320000000002</c:v>
                </c:pt>
                <c:pt idx="117">
                  <c:v>3043.1550000000002</c:v>
                </c:pt>
                <c:pt idx="118">
                  <c:v>3040.2779999999998</c:v>
                </c:pt>
                <c:pt idx="119">
                  <c:v>3037.4009999999998</c:v>
                </c:pt>
                <c:pt idx="120">
                  <c:v>3034.5240000000003</c:v>
                </c:pt>
                <c:pt idx="121">
                  <c:v>3031.6470000000004</c:v>
                </c:pt>
                <c:pt idx="122">
                  <c:v>3028.77</c:v>
                </c:pt>
                <c:pt idx="123">
                  <c:v>3025.893</c:v>
                </c:pt>
                <c:pt idx="124">
                  <c:v>3023.0159999999996</c:v>
                </c:pt>
                <c:pt idx="125">
                  <c:v>3020.1390000000001</c:v>
                </c:pt>
                <c:pt idx="126">
                  <c:v>3017.2620000000002</c:v>
                </c:pt>
                <c:pt idx="127">
                  <c:v>3014.3849999999998</c:v>
                </c:pt>
                <c:pt idx="128">
                  <c:v>3011.5079999999998</c:v>
                </c:pt>
                <c:pt idx="129">
                  <c:v>3008.6309999999999</c:v>
                </c:pt>
                <c:pt idx="130">
                  <c:v>3005.7539999999995</c:v>
                </c:pt>
                <c:pt idx="131">
                  <c:v>3002.877</c:v>
                </c:pt>
                <c:pt idx="132">
                  <c:v>3000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3FE1-AE42-91A8-F19BFB7B2FF3}"/>
            </c:ext>
          </c:extLst>
        </c:ser>
        <c:ser>
          <c:idx val="2"/>
          <c:order val="2"/>
          <c:tx>
            <c:v>LAB</c:v>
          </c:tx>
          <c:spPr>
            <a:ln w="19050" cap="rnd">
              <a:solidFill>
                <a:srgbClr val="FF0000"/>
              </a:solidFill>
              <a:prstDash val="lgDash"/>
              <a:round/>
            </a:ln>
            <a:effectLst/>
          </c:spPr>
          <c:marker>
            <c:symbol val="none"/>
          </c:marker>
          <c:xVal>
            <c:numRef>
              <c:f>Sheet1!$B$4:$C$4</c:f>
              <c:numCache>
                <c:formatCode>General</c:formatCode>
                <c:ptCount val="2"/>
                <c:pt idx="0">
                  <c:v>120</c:v>
                </c:pt>
                <c:pt idx="1">
                  <c:v>120</c:v>
                </c:pt>
              </c:numCache>
            </c:numRef>
          </c:xVal>
          <c:yVal>
            <c:numLit>
              <c:formatCode>General</c:formatCode>
              <c:ptCount val="2"/>
              <c:pt idx="0">
                <c:v>3200</c:v>
              </c:pt>
              <c:pt idx="1">
                <c:v>3500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2-B9F5-F74D-AB91-B33F1FCE945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97074080"/>
        <c:axId val="297076464"/>
      </c:scatterChart>
      <c:valAx>
        <c:axId val="198210256"/>
        <c:scaling>
          <c:orientation val="minMax"/>
          <c:max val="660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ES"/>
          </a:p>
        </c:txPr>
        <c:crossAx val="320176464"/>
        <c:crosses val="autoZero"/>
        <c:crossBetween val="midCat"/>
      </c:valAx>
      <c:valAx>
        <c:axId val="320176464"/>
        <c:scaling>
          <c:logBase val="10"/>
          <c:orientation val="minMax"/>
          <c:min val="1E+2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ES"/>
          </a:p>
        </c:txPr>
        <c:crossAx val="198210256"/>
        <c:crosses val="autoZero"/>
        <c:crossBetween val="midCat"/>
      </c:valAx>
      <c:valAx>
        <c:axId val="297076464"/>
        <c:scaling>
          <c:orientation val="minMax"/>
          <c:min val="3000"/>
        </c:scaling>
        <c:delete val="0"/>
        <c:axPos val="r"/>
        <c:numFmt formatCode="0.00E+00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ES"/>
          </a:p>
        </c:txPr>
        <c:crossAx val="297074080"/>
        <c:crosses val="max"/>
        <c:crossBetween val="midCat"/>
      </c:valAx>
      <c:valAx>
        <c:axId val="297074080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297076464"/>
        <c:crosses val="autoZero"/>
        <c:crossBetween val="midCat"/>
      </c:valAx>
      <c:spPr>
        <a:noFill/>
        <a:ln>
          <a:solidFill>
            <a:schemeClr val="tx1"/>
          </a:solidFill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E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E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E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Discl.creep-&gt;mu1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Sheet2!$D$31:$D$1095</c:f>
              <c:numCache>
                <c:formatCode>General</c:formatCode>
                <c:ptCount val="1065"/>
                <c:pt idx="0">
                  <c:v>2003</c:v>
                </c:pt>
                <c:pt idx="1">
                  <c:v>2002.5</c:v>
                </c:pt>
                <c:pt idx="2">
                  <c:v>2002</c:v>
                </c:pt>
                <c:pt idx="3">
                  <c:v>2001.5</c:v>
                </c:pt>
                <c:pt idx="4">
                  <c:v>2001</c:v>
                </c:pt>
                <c:pt idx="5">
                  <c:v>2000.5</c:v>
                </c:pt>
                <c:pt idx="6">
                  <c:v>2000</c:v>
                </c:pt>
                <c:pt idx="7">
                  <c:v>1999.5</c:v>
                </c:pt>
                <c:pt idx="8">
                  <c:v>1999</c:v>
                </c:pt>
                <c:pt idx="9">
                  <c:v>1998.5</c:v>
                </c:pt>
                <c:pt idx="10">
                  <c:v>1998</c:v>
                </c:pt>
                <c:pt idx="11">
                  <c:v>1997.5</c:v>
                </c:pt>
                <c:pt idx="12">
                  <c:v>1997</c:v>
                </c:pt>
                <c:pt idx="13">
                  <c:v>1996.5</c:v>
                </c:pt>
                <c:pt idx="14">
                  <c:v>1996</c:v>
                </c:pt>
                <c:pt idx="15">
                  <c:v>1995.5</c:v>
                </c:pt>
                <c:pt idx="16">
                  <c:v>1995</c:v>
                </c:pt>
                <c:pt idx="17">
                  <c:v>1994.5</c:v>
                </c:pt>
                <c:pt idx="18">
                  <c:v>1994</c:v>
                </c:pt>
                <c:pt idx="19">
                  <c:v>1993.5</c:v>
                </c:pt>
                <c:pt idx="20">
                  <c:v>1993</c:v>
                </c:pt>
                <c:pt idx="21">
                  <c:v>1992.5</c:v>
                </c:pt>
                <c:pt idx="22">
                  <c:v>1992</c:v>
                </c:pt>
                <c:pt idx="23">
                  <c:v>1991.5</c:v>
                </c:pt>
                <c:pt idx="24">
                  <c:v>1991</c:v>
                </c:pt>
                <c:pt idx="25">
                  <c:v>1990.5</c:v>
                </c:pt>
                <c:pt idx="26">
                  <c:v>1990</c:v>
                </c:pt>
                <c:pt idx="27">
                  <c:v>1989.5</c:v>
                </c:pt>
                <c:pt idx="28">
                  <c:v>1989</c:v>
                </c:pt>
                <c:pt idx="29">
                  <c:v>1988.5</c:v>
                </c:pt>
                <c:pt idx="30">
                  <c:v>1988</c:v>
                </c:pt>
                <c:pt idx="31">
                  <c:v>1987.5</c:v>
                </c:pt>
                <c:pt idx="32">
                  <c:v>1987</c:v>
                </c:pt>
                <c:pt idx="33">
                  <c:v>1986.5</c:v>
                </c:pt>
                <c:pt idx="34">
                  <c:v>1986</c:v>
                </c:pt>
                <c:pt idx="35">
                  <c:v>1985.5</c:v>
                </c:pt>
                <c:pt idx="36">
                  <c:v>1985</c:v>
                </c:pt>
                <c:pt idx="37">
                  <c:v>1984.5</c:v>
                </c:pt>
                <c:pt idx="38">
                  <c:v>1984</c:v>
                </c:pt>
                <c:pt idx="39">
                  <c:v>1983.5</c:v>
                </c:pt>
                <c:pt idx="40">
                  <c:v>1983</c:v>
                </c:pt>
                <c:pt idx="41">
                  <c:v>1982.5</c:v>
                </c:pt>
                <c:pt idx="42">
                  <c:v>1982</c:v>
                </c:pt>
                <c:pt idx="43">
                  <c:v>1981.5</c:v>
                </c:pt>
                <c:pt idx="44">
                  <c:v>1981</c:v>
                </c:pt>
                <c:pt idx="45">
                  <c:v>1980.5</c:v>
                </c:pt>
                <c:pt idx="46">
                  <c:v>1980</c:v>
                </c:pt>
                <c:pt idx="47">
                  <c:v>1979.5</c:v>
                </c:pt>
                <c:pt idx="48">
                  <c:v>1979</c:v>
                </c:pt>
                <c:pt idx="49">
                  <c:v>1978.5</c:v>
                </c:pt>
                <c:pt idx="50">
                  <c:v>1978</c:v>
                </c:pt>
                <c:pt idx="51">
                  <c:v>1977.5</c:v>
                </c:pt>
                <c:pt idx="52">
                  <c:v>1977</c:v>
                </c:pt>
                <c:pt idx="53">
                  <c:v>1976.5</c:v>
                </c:pt>
                <c:pt idx="54">
                  <c:v>1976</c:v>
                </c:pt>
                <c:pt idx="55">
                  <c:v>1975.5</c:v>
                </c:pt>
                <c:pt idx="56">
                  <c:v>1975</c:v>
                </c:pt>
                <c:pt idx="57">
                  <c:v>1974.5</c:v>
                </c:pt>
                <c:pt idx="58">
                  <c:v>1974</c:v>
                </c:pt>
                <c:pt idx="59">
                  <c:v>1973.5</c:v>
                </c:pt>
                <c:pt idx="60">
                  <c:v>1973</c:v>
                </c:pt>
                <c:pt idx="61">
                  <c:v>1972.5</c:v>
                </c:pt>
                <c:pt idx="62">
                  <c:v>1972</c:v>
                </c:pt>
                <c:pt idx="63">
                  <c:v>1971.5</c:v>
                </c:pt>
                <c:pt idx="64">
                  <c:v>1971</c:v>
                </c:pt>
                <c:pt idx="65">
                  <c:v>1970.5</c:v>
                </c:pt>
                <c:pt idx="66">
                  <c:v>1970</c:v>
                </c:pt>
                <c:pt idx="67">
                  <c:v>1969.5</c:v>
                </c:pt>
                <c:pt idx="68">
                  <c:v>1969</c:v>
                </c:pt>
                <c:pt idx="69">
                  <c:v>1968.5</c:v>
                </c:pt>
                <c:pt idx="70">
                  <c:v>1968</c:v>
                </c:pt>
                <c:pt idx="71">
                  <c:v>1967.5</c:v>
                </c:pt>
                <c:pt idx="72">
                  <c:v>1967</c:v>
                </c:pt>
                <c:pt idx="73">
                  <c:v>1966.5</c:v>
                </c:pt>
                <c:pt idx="74">
                  <c:v>1966</c:v>
                </c:pt>
                <c:pt idx="75">
                  <c:v>1965.5</c:v>
                </c:pt>
                <c:pt idx="76">
                  <c:v>1965</c:v>
                </c:pt>
                <c:pt idx="77">
                  <c:v>1964.5</c:v>
                </c:pt>
                <c:pt idx="78">
                  <c:v>1964</c:v>
                </c:pt>
                <c:pt idx="79">
                  <c:v>1963.5</c:v>
                </c:pt>
                <c:pt idx="80">
                  <c:v>1963</c:v>
                </c:pt>
                <c:pt idx="81">
                  <c:v>1962.5</c:v>
                </c:pt>
                <c:pt idx="82">
                  <c:v>1962</c:v>
                </c:pt>
                <c:pt idx="83">
                  <c:v>1961.5</c:v>
                </c:pt>
                <c:pt idx="84">
                  <c:v>1961</c:v>
                </c:pt>
                <c:pt idx="85">
                  <c:v>1960.5</c:v>
                </c:pt>
                <c:pt idx="86">
                  <c:v>1960</c:v>
                </c:pt>
                <c:pt idx="87">
                  <c:v>1959.5</c:v>
                </c:pt>
                <c:pt idx="88">
                  <c:v>1959</c:v>
                </c:pt>
                <c:pt idx="89">
                  <c:v>1958.5</c:v>
                </c:pt>
                <c:pt idx="90">
                  <c:v>1958</c:v>
                </c:pt>
                <c:pt idx="91">
                  <c:v>1957.5</c:v>
                </c:pt>
                <c:pt idx="92">
                  <c:v>1957</c:v>
                </c:pt>
                <c:pt idx="93">
                  <c:v>1956.5</c:v>
                </c:pt>
                <c:pt idx="94">
                  <c:v>1956</c:v>
                </c:pt>
                <c:pt idx="95">
                  <c:v>1955.5</c:v>
                </c:pt>
                <c:pt idx="96">
                  <c:v>1955</c:v>
                </c:pt>
                <c:pt idx="97">
                  <c:v>1954.5</c:v>
                </c:pt>
                <c:pt idx="98">
                  <c:v>1954</c:v>
                </c:pt>
                <c:pt idx="99">
                  <c:v>1953.5</c:v>
                </c:pt>
                <c:pt idx="100">
                  <c:v>1953</c:v>
                </c:pt>
                <c:pt idx="101">
                  <c:v>1952.5</c:v>
                </c:pt>
                <c:pt idx="102">
                  <c:v>1952</c:v>
                </c:pt>
                <c:pt idx="103">
                  <c:v>1951.5</c:v>
                </c:pt>
                <c:pt idx="104">
                  <c:v>1951</c:v>
                </c:pt>
                <c:pt idx="105">
                  <c:v>1950.5</c:v>
                </c:pt>
                <c:pt idx="106">
                  <c:v>1950</c:v>
                </c:pt>
                <c:pt idx="107">
                  <c:v>1949.5</c:v>
                </c:pt>
                <c:pt idx="108">
                  <c:v>1949</c:v>
                </c:pt>
                <c:pt idx="109">
                  <c:v>1948.5</c:v>
                </c:pt>
                <c:pt idx="110">
                  <c:v>1948</c:v>
                </c:pt>
                <c:pt idx="111">
                  <c:v>1947.5</c:v>
                </c:pt>
                <c:pt idx="112">
                  <c:v>1947</c:v>
                </c:pt>
                <c:pt idx="113">
                  <c:v>1946.5</c:v>
                </c:pt>
                <c:pt idx="114">
                  <c:v>1946</c:v>
                </c:pt>
                <c:pt idx="115">
                  <c:v>1945.5</c:v>
                </c:pt>
                <c:pt idx="116">
                  <c:v>1945</c:v>
                </c:pt>
                <c:pt idx="117">
                  <c:v>1944.5</c:v>
                </c:pt>
                <c:pt idx="118">
                  <c:v>1944</c:v>
                </c:pt>
                <c:pt idx="119">
                  <c:v>1943.5</c:v>
                </c:pt>
                <c:pt idx="120">
                  <c:v>1943</c:v>
                </c:pt>
                <c:pt idx="121">
                  <c:v>1942.5</c:v>
                </c:pt>
                <c:pt idx="122">
                  <c:v>1942</c:v>
                </c:pt>
                <c:pt idx="123">
                  <c:v>1941.5</c:v>
                </c:pt>
                <c:pt idx="124">
                  <c:v>1941</c:v>
                </c:pt>
                <c:pt idx="125">
                  <c:v>1940.5</c:v>
                </c:pt>
                <c:pt idx="126">
                  <c:v>1940</c:v>
                </c:pt>
                <c:pt idx="127">
                  <c:v>1939.5</c:v>
                </c:pt>
                <c:pt idx="128">
                  <c:v>1939</c:v>
                </c:pt>
                <c:pt idx="129">
                  <c:v>1938.5</c:v>
                </c:pt>
                <c:pt idx="130">
                  <c:v>1938</c:v>
                </c:pt>
                <c:pt idx="131">
                  <c:v>1937.5</c:v>
                </c:pt>
                <c:pt idx="132">
                  <c:v>1937</c:v>
                </c:pt>
                <c:pt idx="133">
                  <c:v>1936.5</c:v>
                </c:pt>
                <c:pt idx="134">
                  <c:v>1936</c:v>
                </c:pt>
                <c:pt idx="135">
                  <c:v>1935.5</c:v>
                </c:pt>
                <c:pt idx="136">
                  <c:v>1935</c:v>
                </c:pt>
                <c:pt idx="137">
                  <c:v>1934.5</c:v>
                </c:pt>
                <c:pt idx="138">
                  <c:v>1934</c:v>
                </c:pt>
                <c:pt idx="139">
                  <c:v>1933.5</c:v>
                </c:pt>
                <c:pt idx="140">
                  <c:v>1933</c:v>
                </c:pt>
                <c:pt idx="141">
                  <c:v>1932.5</c:v>
                </c:pt>
                <c:pt idx="142">
                  <c:v>1932</c:v>
                </c:pt>
                <c:pt idx="143">
                  <c:v>1931.5</c:v>
                </c:pt>
                <c:pt idx="144">
                  <c:v>1931</c:v>
                </c:pt>
                <c:pt idx="145">
                  <c:v>1930.5</c:v>
                </c:pt>
                <c:pt idx="146">
                  <c:v>1930</c:v>
                </c:pt>
                <c:pt idx="147">
                  <c:v>1929.5</c:v>
                </c:pt>
                <c:pt idx="148">
                  <c:v>1929</c:v>
                </c:pt>
                <c:pt idx="149">
                  <c:v>1928.5</c:v>
                </c:pt>
                <c:pt idx="150">
                  <c:v>1928</c:v>
                </c:pt>
                <c:pt idx="151">
                  <c:v>1927.5</c:v>
                </c:pt>
                <c:pt idx="152">
                  <c:v>1927</c:v>
                </c:pt>
                <c:pt idx="153">
                  <c:v>1926.5</c:v>
                </c:pt>
                <c:pt idx="154">
                  <c:v>1926</c:v>
                </c:pt>
                <c:pt idx="155">
                  <c:v>1925.5</c:v>
                </c:pt>
                <c:pt idx="156">
                  <c:v>1925</c:v>
                </c:pt>
                <c:pt idx="157">
                  <c:v>1924.5</c:v>
                </c:pt>
                <c:pt idx="158">
                  <c:v>1924</c:v>
                </c:pt>
                <c:pt idx="159">
                  <c:v>1923.5</c:v>
                </c:pt>
                <c:pt idx="160">
                  <c:v>1923</c:v>
                </c:pt>
                <c:pt idx="161">
                  <c:v>1922.5</c:v>
                </c:pt>
                <c:pt idx="162">
                  <c:v>1922</c:v>
                </c:pt>
                <c:pt idx="163">
                  <c:v>1921.5</c:v>
                </c:pt>
                <c:pt idx="164">
                  <c:v>1921</c:v>
                </c:pt>
                <c:pt idx="165">
                  <c:v>1920.5</c:v>
                </c:pt>
                <c:pt idx="166">
                  <c:v>1920</c:v>
                </c:pt>
                <c:pt idx="167">
                  <c:v>1919.5</c:v>
                </c:pt>
                <c:pt idx="168">
                  <c:v>1919</c:v>
                </c:pt>
                <c:pt idx="169">
                  <c:v>1918.5</c:v>
                </c:pt>
                <c:pt idx="170">
                  <c:v>1918</c:v>
                </c:pt>
                <c:pt idx="171">
                  <c:v>1917.5</c:v>
                </c:pt>
                <c:pt idx="172">
                  <c:v>1917</c:v>
                </c:pt>
                <c:pt idx="173">
                  <c:v>1916.5</c:v>
                </c:pt>
                <c:pt idx="174">
                  <c:v>1916</c:v>
                </c:pt>
                <c:pt idx="175">
                  <c:v>1915.5</c:v>
                </c:pt>
                <c:pt idx="176">
                  <c:v>1915</c:v>
                </c:pt>
                <c:pt idx="177">
                  <c:v>1914.5</c:v>
                </c:pt>
                <c:pt idx="178">
                  <c:v>1914</c:v>
                </c:pt>
                <c:pt idx="179">
                  <c:v>1913.5</c:v>
                </c:pt>
                <c:pt idx="180">
                  <c:v>1913</c:v>
                </c:pt>
                <c:pt idx="181">
                  <c:v>1912.5</c:v>
                </c:pt>
                <c:pt idx="182">
                  <c:v>1912</c:v>
                </c:pt>
                <c:pt idx="183">
                  <c:v>1911.5</c:v>
                </c:pt>
                <c:pt idx="184">
                  <c:v>1911</c:v>
                </c:pt>
                <c:pt idx="185">
                  <c:v>1910.5</c:v>
                </c:pt>
                <c:pt idx="186">
                  <c:v>1910</c:v>
                </c:pt>
                <c:pt idx="187">
                  <c:v>1909.5</c:v>
                </c:pt>
                <c:pt idx="188">
                  <c:v>1909</c:v>
                </c:pt>
                <c:pt idx="189">
                  <c:v>1908.5</c:v>
                </c:pt>
                <c:pt idx="190">
                  <c:v>1908</c:v>
                </c:pt>
                <c:pt idx="191">
                  <c:v>1907.5</c:v>
                </c:pt>
                <c:pt idx="192">
                  <c:v>1907</c:v>
                </c:pt>
                <c:pt idx="193">
                  <c:v>1906.5</c:v>
                </c:pt>
                <c:pt idx="194">
                  <c:v>1906</c:v>
                </c:pt>
                <c:pt idx="195">
                  <c:v>1905.5</c:v>
                </c:pt>
                <c:pt idx="196">
                  <c:v>1905</c:v>
                </c:pt>
                <c:pt idx="197">
                  <c:v>1904.5</c:v>
                </c:pt>
                <c:pt idx="198">
                  <c:v>1904</c:v>
                </c:pt>
                <c:pt idx="199">
                  <c:v>1903.5</c:v>
                </c:pt>
                <c:pt idx="200">
                  <c:v>1903</c:v>
                </c:pt>
                <c:pt idx="201">
                  <c:v>1902.5</c:v>
                </c:pt>
                <c:pt idx="202">
                  <c:v>1902</c:v>
                </c:pt>
                <c:pt idx="203">
                  <c:v>1901.5</c:v>
                </c:pt>
                <c:pt idx="204">
                  <c:v>1901</c:v>
                </c:pt>
                <c:pt idx="205">
                  <c:v>1900.5</c:v>
                </c:pt>
                <c:pt idx="206">
                  <c:v>1900</c:v>
                </c:pt>
                <c:pt idx="207">
                  <c:v>1899.5</c:v>
                </c:pt>
                <c:pt idx="208">
                  <c:v>1899</c:v>
                </c:pt>
                <c:pt idx="209">
                  <c:v>1898.5</c:v>
                </c:pt>
                <c:pt idx="210">
                  <c:v>1898</c:v>
                </c:pt>
                <c:pt idx="211">
                  <c:v>1897.5</c:v>
                </c:pt>
                <c:pt idx="212">
                  <c:v>1897</c:v>
                </c:pt>
                <c:pt idx="213">
                  <c:v>1896.5</c:v>
                </c:pt>
                <c:pt idx="214">
                  <c:v>1896</c:v>
                </c:pt>
                <c:pt idx="215">
                  <c:v>1895.5</c:v>
                </c:pt>
                <c:pt idx="216">
                  <c:v>1895</c:v>
                </c:pt>
                <c:pt idx="217">
                  <c:v>1894.5</c:v>
                </c:pt>
                <c:pt idx="218">
                  <c:v>1894</c:v>
                </c:pt>
                <c:pt idx="219">
                  <c:v>1893.5</c:v>
                </c:pt>
                <c:pt idx="220">
                  <c:v>1893</c:v>
                </c:pt>
                <c:pt idx="221">
                  <c:v>1892.5</c:v>
                </c:pt>
                <c:pt idx="222">
                  <c:v>1892</c:v>
                </c:pt>
                <c:pt idx="223">
                  <c:v>1891.5</c:v>
                </c:pt>
                <c:pt idx="224">
                  <c:v>1891</c:v>
                </c:pt>
                <c:pt idx="225">
                  <c:v>1890.5</c:v>
                </c:pt>
                <c:pt idx="226">
                  <c:v>1890</c:v>
                </c:pt>
                <c:pt idx="227">
                  <c:v>1889.5</c:v>
                </c:pt>
                <c:pt idx="228">
                  <c:v>1889</c:v>
                </c:pt>
                <c:pt idx="229">
                  <c:v>1888.5</c:v>
                </c:pt>
                <c:pt idx="230">
                  <c:v>1888</c:v>
                </c:pt>
                <c:pt idx="231">
                  <c:v>1887.5</c:v>
                </c:pt>
                <c:pt idx="232">
                  <c:v>1887</c:v>
                </c:pt>
                <c:pt idx="233">
                  <c:v>1886.5</c:v>
                </c:pt>
                <c:pt idx="234">
                  <c:v>1886</c:v>
                </c:pt>
                <c:pt idx="235">
                  <c:v>1885.5</c:v>
                </c:pt>
                <c:pt idx="236">
                  <c:v>1885</c:v>
                </c:pt>
                <c:pt idx="237">
                  <c:v>1884.5</c:v>
                </c:pt>
                <c:pt idx="238">
                  <c:v>1884</c:v>
                </c:pt>
                <c:pt idx="239">
                  <c:v>1883.5</c:v>
                </c:pt>
                <c:pt idx="240">
                  <c:v>1883</c:v>
                </c:pt>
                <c:pt idx="241">
                  <c:v>1882.5</c:v>
                </c:pt>
                <c:pt idx="242">
                  <c:v>1882</c:v>
                </c:pt>
                <c:pt idx="243">
                  <c:v>1881.5</c:v>
                </c:pt>
                <c:pt idx="244">
                  <c:v>1881</c:v>
                </c:pt>
                <c:pt idx="245">
                  <c:v>1880.5</c:v>
                </c:pt>
                <c:pt idx="246">
                  <c:v>1880</c:v>
                </c:pt>
                <c:pt idx="247">
                  <c:v>1879.5</c:v>
                </c:pt>
                <c:pt idx="248">
                  <c:v>1879</c:v>
                </c:pt>
                <c:pt idx="249">
                  <c:v>1878.5</c:v>
                </c:pt>
                <c:pt idx="250">
                  <c:v>1878</c:v>
                </c:pt>
                <c:pt idx="251">
                  <c:v>1877.5</c:v>
                </c:pt>
                <c:pt idx="252">
                  <c:v>1877</c:v>
                </c:pt>
                <c:pt idx="253">
                  <c:v>1876.5</c:v>
                </c:pt>
                <c:pt idx="254">
                  <c:v>1876</c:v>
                </c:pt>
                <c:pt idx="255">
                  <c:v>1875.5</c:v>
                </c:pt>
                <c:pt idx="256">
                  <c:v>1875</c:v>
                </c:pt>
                <c:pt idx="257">
                  <c:v>1874.5</c:v>
                </c:pt>
                <c:pt idx="258">
                  <c:v>1874</c:v>
                </c:pt>
                <c:pt idx="259">
                  <c:v>1873.5</c:v>
                </c:pt>
                <c:pt idx="260">
                  <c:v>1873</c:v>
                </c:pt>
                <c:pt idx="261">
                  <c:v>1872.5</c:v>
                </c:pt>
                <c:pt idx="262">
                  <c:v>1872</c:v>
                </c:pt>
                <c:pt idx="263">
                  <c:v>1871.5</c:v>
                </c:pt>
                <c:pt idx="264">
                  <c:v>1871</c:v>
                </c:pt>
                <c:pt idx="265">
                  <c:v>1870.5</c:v>
                </c:pt>
                <c:pt idx="266">
                  <c:v>1870</c:v>
                </c:pt>
                <c:pt idx="267">
                  <c:v>1869.5</c:v>
                </c:pt>
                <c:pt idx="268">
                  <c:v>1869</c:v>
                </c:pt>
                <c:pt idx="269">
                  <c:v>1868.5</c:v>
                </c:pt>
                <c:pt idx="270">
                  <c:v>1868</c:v>
                </c:pt>
                <c:pt idx="271">
                  <c:v>1867.5</c:v>
                </c:pt>
                <c:pt idx="272">
                  <c:v>1867</c:v>
                </c:pt>
                <c:pt idx="273">
                  <c:v>1866.5</c:v>
                </c:pt>
                <c:pt idx="274">
                  <c:v>1866</c:v>
                </c:pt>
                <c:pt idx="275">
                  <c:v>1865.5</c:v>
                </c:pt>
                <c:pt idx="276">
                  <c:v>1865</c:v>
                </c:pt>
                <c:pt idx="277">
                  <c:v>1864.5</c:v>
                </c:pt>
                <c:pt idx="278">
                  <c:v>1864</c:v>
                </c:pt>
                <c:pt idx="279">
                  <c:v>1863.5</c:v>
                </c:pt>
                <c:pt idx="280">
                  <c:v>1863</c:v>
                </c:pt>
                <c:pt idx="281">
                  <c:v>1862.5</c:v>
                </c:pt>
                <c:pt idx="282">
                  <c:v>1862</c:v>
                </c:pt>
                <c:pt idx="283">
                  <c:v>1861.5</c:v>
                </c:pt>
                <c:pt idx="284">
                  <c:v>1861</c:v>
                </c:pt>
                <c:pt idx="285">
                  <c:v>1860.5</c:v>
                </c:pt>
                <c:pt idx="286">
                  <c:v>1860</c:v>
                </c:pt>
                <c:pt idx="287">
                  <c:v>1859.5</c:v>
                </c:pt>
                <c:pt idx="288">
                  <c:v>1859</c:v>
                </c:pt>
                <c:pt idx="289">
                  <c:v>1858.5</c:v>
                </c:pt>
                <c:pt idx="290">
                  <c:v>1858</c:v>
                </c:pt>
                <c:pt idx="291">
                  <c:v>1857.5</c:v>
                </c:pt>
                <c:pt idx="292">
                  <c:v>1857</c:v>
                </c:pt>
                <c:pt idx="293">
                  <c:v>1856.5</c:v>
                </c:pt>
                <c:pt idx="294">
                  <c:v>1856</c:v>
                </c:pt>
                <c:pt idx="295">
                  <c:v>1855.5</c:v>
                </c:pt>
                <c:pt idx="296">
                  <c:v>1855</c:v>
                </c:pt>
                <c:pt idx="297">
                  <c:v>1854.5</c:v>
                </c:pt>
                <c:pt idx="298">
                  <c:v>1854</c:v>
                </c:pt>
                <c:pt idx="299">
                  <c:v>1853.5</c:v>
                </c:pt>
                <c:pt idx="300">
                  <c:v>1853</c:v>
                </c:pt>
                <c:pt idx="301">
                  <c:v>1852.5</c:v>
                </c:pt>
                <c:pt idx="302">
                  <c:v>1852</c:v>
                </c:pt>
                <c:pt idx="303">
                  <c:v>1851.5</c:v>
                </c:pt>
                <c:pt idx="304">
                  <c:v>1851</c:v>
                </c:pt>
                <c:pt idx="305">
                  <c:v>1850.5</c:v>
                </c:pt>
                <c:pt idx="306">
                  <c:v>1850</c:v>
                </c:pt>
                <c:pt idx="307">
                  <c:v>1849.5</c:v>
                </c:pt>
                <c:pt idx="308">
                  <c:v>1849</c:v>
                </c:pt>
                <c:pt idx="309">
                  <c:v>1848.5</c:v>
                </c:pt>
                <c:pt idx="310">
                  <c:v>1848</c:v>
                </c:pt>
                <c:pt idx="311">
                  <c:v>1847.5</c:v>
                </c:pt>
                <c:pt idx="312">
                  <c:v>1847</c:v>
                </c:pt>
                <c:pt idx="313">
                  <c:v>1846.5</c:v>
                </c:pt>
                <c:pt idx="314">
                  <c:v>1846</c:v>
                </c:pt>
                <c:pt idx="315">
                  <c:v>1845.5</c:v>
                </c:pt>
                <c:pt idx="316">
                  <c:v>1845</c:v>
                </c:pt>
                <c:pt idx="317">
                  <c:v>1844.5</c:v>
                </c:pt>
                <c:pt idx="318">
                  <c:v>1844</c:v>
                </c:pt>
                <c:pt idx="319">
                  <c:v>1843.5</c:v>
                </c:pt>
                <c:pt idx="320">
                  <c:v>1843</c:v>
                </c:pt>
                <c:pt idx="321">
                  <c:v>1842.5</c:v>
                </c:pt>
                <c:pt idx="322">
                  <c:v>1842</c:v>
                </c:pt>
                <c:pt idx="323">
                  <c:v>1841.5</c:v>
                </c:pt>
                <c:pt idx="324">
                  <c:v>1841</c:v>
                </c:pt>
                <c:pt idx="325">
                  <c:v>1840.5</c:v>
                </c:pt>
                <c:pt idx="326">
                  <c:v>1840</c:v>
                </c:pt>
                <c:pt idx="327">
                  <c:v>1839.5</c:v>
                </c:pt>
                <c:pt idx="328">
                  <c:v>1839</c:v>
                </c:pt>
                <c:pt idx="329">
                  <c:v>1838.5</c:v>
                </c:pt>
                <c:pt idx="330">
                  <c:v>1838</c:v>
                </c:pt>
                <c:pt idx="331">
                  <c:v>1837.5</c:v>
                </c:pt>
                <c:pt idx="332">
                  <c:v>1837</c:v>
                </c:pt>
                <c:pt idx="333">
                  <c:v>1836.5</c:v>
                </c:pt>
                <c:pt idx="334">
                  <c:v>1836</c:v>
                </c:pt>
                <c:pt idx="335">
                  <c:v>1835.5</c:v>
                </c:pt>
                <c:pt idx="336">
                  <c:v>1835</c:v>
                </c:pt>
                <c:pt idx="337">
                  <c:v>1834.5</c:v>
                </c:pt>
                <c:pt idx="338">
                  <c:v>1834</c:v>
                </c:pt>
                <c:pt idx="339">
                  <c:v>1833.5</c:v>
                </c:pt>
                <c:pt idx="340">
                  <c:v>1833</c:v>
                </c:pt>
                <c:pt idx="341">
                  <c:v>1832.5</c:v>
                </c:pt>
                <c:pt idx="342">
                  <c:v>1832</c:v>
                </c:pt>
                <c:pt idx="343">
                  <c:v>1831.5</c:v>
                </c:pt>
                <c:pt idx="344">
                  <c:v>1831</c:v>
                </c:pt>
                <c:pt idx="345">
                  <c:v>1830.5</c:v>
                </c:pt>
                <c:pt idx="346">
                  <c:v>1830</c:v>
                </c:pt>
                <c:pt idx="347">
                  <c:v>1829.5</c:v>
                </c:pt>
                <c:pt idx="348">
                  <c:v>1829</c:v>
                </c:pt>
                <c:pt idx="349">
                  <c:v>1828.5</c:v>
                </c:pt>
                <c:pt idx="350">
                  <c:v>1828</c:v>
                </c:pt>
                <c:pt idx="351">
                  <c:v>1827.5</c:v>
                </c:pt>
                <c:pt idx="352">
                  <c:v>1827</c:v>
                </c:pt>
                <c:pt idx="353">
                  <c:v>1826.5</c:v>
                </c:pt>
                <c:pt idx="354">
                  <c:v>1826</c:v>
                </c:pt>
                <c:pt idx="355">
                  <c:v>1825.5</c:v>
                </c:pt>
                <c:pt idx="356">
                  <c:v>1825</c:v>
                </c:pt>
                <c:pt idx="357">
                  <c:v>1824.5</c:v>
                </c:pt>
                <c:pt idx="358">
                  <c:v>1824</c:v>
                </c:pt>
                <c:pt idx="359">
                  <c:v>1823.5</c:v>
                </c:pt>
                <c:pt idx="360">
                  <c:v>1823</c:v>
                </c:pt>
                <c:pt idx="361">
                  <c:v>1822.5</c:v>
                </c:pt>
                <c:pt idx="362">
                  <c:v>1822</c:v>
                </c:pt>
                <c:pt idx="363">
                  <c:v>1821.5</c:v>
                </c:pt>
                <c:pt idx="364">
                  <c:v>1821</c:v>
                </c:pt>
                <c:pt idx="365">
                  <c:v>1820.5</c:v>
                </c:pt>
                <c:pt idx="366">
                  <c:v>1820</c:v>
                </c:pt>
                <c:pt idx="367">
                  <c:v>1819.5</c:v>
                </c:pt>
                <c:pt idx="368">
                  <c:v>1819</c:v>
                </c:pt>
                <c:pt idx="369">
                  <c:v>1818.5</c:v>
                </c:pt>
                <c:pt idx="370">
                  <c:v>1818</c:v>
                </c:pt>
                <c:pt idx="371">
                  <c:v>1817.5</c:v>
                </c:pt>
                <c:pt idx="372">
                  <c:v>1817</c:v>
                </c:pt>
                <c:pt idx="373">
                  <c:v>1816.5</c:v>
                </c:pt>
                <c:pt idx="374">
                  <c:v>1816</c:v>
                </c:pt>
                <c:pt idx="375">
                  <c:v>1815.5</c:v>
                </c:pt>
                <c:pt idx="376">
                  <c:v>1815</c:v>
                </c:pt>
                <c:pt idx="377">
                  <c:v>1814.5</c:v>
                </c:pt>
                <c:pt idx="378">
                  <c:v>1814</c:v>
                </c:pt>
                <c:pt idx="379">
                  <c:v>1813.5</c:v>
                </c:pt>
                <c:pt idx="380">
                  <c:v>1813</c:v>
                </c:pt>
                <c:pt idx="381">
                  <c:v>1812.5</c:v>
                </c:pt>
                <c:pt idx="382">
                  <c:v>1812</c:v>
                </c:pt>
                <c:pt idx="383">
                  <c:v>1811.5</c:v>
                </c:pt>
                <c:pt idx="384">
                  <c:v>1811</c:v>
                </c:pt>
                <c:pt idx="385">
                  <c:v>1810.5</c:v>
                </c:pt>
                <c:pt idx="386">
                  <c:v>1810</c:v>
                </c:pt>
                <c:pt idx="387">
                  <c:v>1809.5</c:v>
                </c:pt>
                <c:pt idx="388">
                  <c:v>1809</c:v>
                </c:pt>
                <c:pt idx="389">
                  <c:v>1808.5</c:v>
                </c:pt>
                <c:pt idx="390">
                  <c:v>1808</c:v>
                </c:pt>
                <c:pt idx="391">
                  <c:v>1807.5</c:v>
                </c:pt>
                <c:pt idx="392">
                  <c:v>1807</c:v>
                </c:pt>
                <c:pt idx="393">
                  <c:v>1806.5</c:v>
                </c:pt>
                <c:pt idx="394">
                  <c:v>1806</c:v>
                </c:pt>
                <c:pt idx="395">
                  <c:v>1805.5</c:v>
                </c:pt>
                <c:pt idx="396">
                  <c:v>1805</c:v>
                </c:pt>
                <c:pt idx="397">
                  <c:v>1804.5</c:v>
                </c:pt>
                <c:pt idx="398">
                  <c:v>1804</c:v>
                </c:pt>
                <c:pt idx="399">
                  <c:v>1803.5</c:v>
                </c:pt>
                <c:pt idx="400">
                  <c:v>1803</c:v>
                </c:pt>
                <c:pt idx="401">
                  <c:v>1802.5</c:v>
                </c:pt>
                <c:pt idx="402">
                  <c:v>1802</c:v>
                </c:pt>
                <c:pt idx="403">
                  <c:v>1801.5</c:v>
                </c:pt>
                <c:pt idx="404">
                  <c:v>1801</c:v>
                </c:pt>
                <c:pt idx="405">
                  <c:v>1800.5</c:v>
                </c:pt>
                <c:pt idx="406">
                  <c:v>1800</c:v>
                </c:pt>
                <c:pt idx="407">
                  <c:v>1799.5</c:v>
                </c:pt>
                <c:pt idx="408">
                  <c:v>1799</c:v>
                </c:pt>
                <c:pt idx="409">
                  <c:v>1798.5</c:v>
                </c:pt>
                <c:pt idx="410">
                  <c:v>1798</c:v>
                </c:pt>
                <c:pt idx="411">
                  <c:v>1797.5</c:v>
                </c:pt>
                <c:pt idx="412">
                  <c:v>1797</c:v>
                </c:pt>
                <c:pt idx="413">
                  <c:v>1796.5</c:v>
                </c:pt>
                <c:pt idx="414">
                  <c:v>1796</c:v>
                </c:pt>
                <c:pt idx="415">
                  <c:v>1795.5</c:v>
                </c:pt>
                <c:pt idx="416">
                  <c:v>1795</c:v>
                </c:pt>
                <c:pt idx="417">
                  <c:v>1794.5</c:v>
                </c:pt>
                <c:pt idx="418">
                  <c:v>1794</c:v>
                </c:pt>
                <c:pt idx="419">
                  <c:v>1793.5</c:v>
                </c:pt>
                <c:pt idx="420">
                  <c:v>1793</c:v>
                </c:pt>
                <c:pt idx="421">
                  <c:v>1792.5</c:v>
                </c:pt>
                <c:pt idx="422">
                  <c:v>1792</c:v>
                </c:pt>
                <c:pt idx="423">
                  <c:v>1791.5</c:v>
                </c:pt>
                <c:pt idx="424">
                  <c:v>1791</c:v>
                </c:pt>
                <c:pt idx="425">
                  <c:v>1790.5</c:v>
                </c:pt>
                <c:pt idx="426">
                  <c:v>1790</c:v>
                </c:pt>
                <c:pt idx="427">
                  <c:v>1789.5</c:v>
                </c:pt>
                <c:pt idx="428">
                  <c:v>1789</c:v>
                </c:pt>
                <c:pt idx="429">
                  <c:v>1788.5</c:v>
                </c:pt>
                <c:pt idx="430">
                  <c:v>1788</c:v>
                </c:pt>
                <c:pt idx="431">
                  <c:v>1787.5</c:v>
                </c:pt>
                <c:pt idx="432">
                  <c:v>1787</c:v>
                </c:pt>
                <c:pt idx="433">
                  <c:v>1786.5</c:v>
                </c:pt>
                <c:pt idx="434">
                  <c:v>1786</c:v>
                </c:pt>
                <c:pt idx="435">
                  <c:v>1785.5</c:v>
                </c:pt>
                <c:pt idx="436">
                  <c:v>1785</c:v>
                </c:pt>
                <c:pt idx="437">
                  <c:v>1784.5</c:v>
                </c:pt>
                <c:pt idx="438">
                  <c:v>1784</c:v>
                </c:pt>
                <c:pt idx="439">
                  <c:v>1783.5</c:v>
                </c:pt>
                <c:pt idx="440">
                  <c:v>1783</c:v>
                </c:pt>
                <c:pt idx="441">
                  <c:v>1782.5</c:v>
                </c:pt>
                <c:pt idx="442">
                  <c:v>1782</c:v>
                </c:pt>
                <c:pt idx="443">
                  <c:v>1781.5</c:v>
                </c:pt>
                <c:pt idx="444">
                  <c:v>1781</c:v>
                </c:pt>
                <c:pt idx="445">
                  <c:v>1780.5</c:v>
                </c:pt>
                <c:pt idx="446">
                  <c:v>1780</c:v>
                </c:pt>
                <c:pt idx="447">
                  <c:v>1779.5</c:v>
                </c:pt>
                <c:pt idx="448">
                  <c:v>1779</c:v>
                </c:pt>
                <c:pt idx="449">
                  <c:v>1778.5</c:v>
                </c:pt>
                <c:pt idx="450">
                  <c:v>1778</c:v>
                </c:pt>
                <c:pt idx="451">
                  <c:v>1777.5</c:v>
                </c:pt>
                <c:pt idx="452">
                  <c:v>1777</c:v>
                </c:pt>
                <c:pt idx="453">
                  <c:v>1776.5</c:v>
                </c:pt>
                <c:pt idx="454">
                  <c:v>1776</c:v>
                </c:pt>
                <c:pt idx="455">
                  <c:v>1775.5</c:v>
                </c:pt>
                <c:pt idx="456">
                  <c:v>1775</c:v>
                </c:pt>
                <c:pt idx="457">
                  <c:v>1774.5</c:v>
                </c:pt>
                <c:pt idx="458">
                  <c:v>1774</c:v>
                </c:pt>
                <c:pt idx="459">
                  <c:v>1773.5</c:v>
                </c:pt>
                <c:pt idx="460">
                  <c:v>1773</c:v>
                </c:pt>
                <c:pt idx="461">
                  <c:v>1772.5</c:v>
                </c:pt>
                <c:pt idx="462">
                  <c:v>1772</c:v>
                </c:pt>
                <c:pt idx="463">
                  <c:v>1771.5</c:v>
                </c:pt>
                <c:pt idx="464">
                  <c:v>1771</c:v>
                </c:pt>
                <c:pt idx="465">
                  <c:v>1770.5</c:v>
                </c:pt>
                <c:pt idx="466">
                  <c:v>1770</c:v>
                </c:pt>
                <c:pt idx="467">
                  <c:v>1769.5</c:v>
                </c:pt>
                <c:pt idx="468">
                  <c:v>1769</c:v>
                </c:pt>
                <c:pt idx="469">
                  <c:v>1768.5</c:v>
                </c:pt>
                <c:pt idx="470">
                  <c:v>1768</c:v>
                </c:pt>
                <c:pt idx="471">
                  <c:v>1767.5</c:v>
                </c:pt>
                <c:pt idx="472">
                  <c:v>1767</c:v>
                </c:pt>
                <c:pt idx="473">
                  <c:v>1766.5</c:v>
                </c:pt>
                <c:pt idx="474">
                  <c:v>1766</c:v>
                </c:pt>
                <c:pt idx="475">
                  <c:v>1765.5</c:v>
                </c:pt>
                <c:pt idx="476">
                  <c:v>1765</c:v>
                </c:pt>
                <c:pt idx="477">
                  <c:v>1764.5</c:v>
                </c:pt>
                <c:pt idx="478">
                  <c:v>1764</c:v>
                </c:pt>
                <c:pt idx="479">
                  <c:v>1763.5</c:v>
                </c:pt>
                <c:pt idx="480">
                  <c:v>1763</c:v>
                </c:pt>
                <c:pt idx="481">
                  <c:v>1762.5</c:v>
                </c:pt>
                <c:pt idx="482">
                  <c:v>1762</c:v>
                </c:pt>
                <c:pt idx="483">
                  <c:v>1761.5</c:v>
                </c:pt>
                <c:pt idx="484">
                  <c:v>1761</c:v>
                </c:pt>
                <c:pt idx="485">
                  <c:v>1760.5</c:v>
                </c:pt>
                <c:pt idx="486">
                  <c:v>1760</c:v>
                </c:pt>
                <c:pt idx="487">
                  <c:v>1759.5</c:v>
                </c:pt>
                <c:pt idx="488">
                  <c:v>1759</c:v>
                </c:pt>
                <c:pt idx="489">
                  <c:v>1758.5</c:v>
                </c:pt>
                <c:pt idx="490">
                  <c:v>1758</c:v>
                </c:pt>
                <c:pt idx="491">
                  <c:v>1757.5</c:v>
                </c:pt>
                <c:pt idx="492">
                  <c:v>1757</c:v>
                </c:pt>
                <c:pt idx="493">
                  <c:v>1756.5</c:v>
                </c:pt>
                <c:pt idx="494">
                  <c:v>1756</c:v>
                </c:pt>
                <c:pt idx="495">
                  <c:v>1755.5</c:v>
                </c:pt>
                <c:pt idx="496">
                  <c:v>1755</c:v>
                </c:pt>
                <c:pt idx="497">
                  <c:v>1754.5</c:v>
                </c:pt>
                <c:pt idx="498">
                  <c:v>1754</c:v>
                </c:pt>
                <c:pt idx="499">
                  <c:v>1753.5</c:v>
                </c:pt>
                <c:pt idx="500">
                  <c:v>1753</c:v>
                </c:pt>
                <c:pt idx="501">
                  <c:v>1752.5</c:v>
                </c:pt>
                <c:pt idx="502">
                  <c:v>1752</c:v>
                </c:pt>
                <c:pt idx="503">
                  <c:v>1751.5</c:v>
                </c:pt>
                <c:pt idx="504">
                  <c:v>1751</c:v>
                </c:pt>
                <c:pt idx="505">
                  <c:v>1750.5</c:v>
                </c:pt>
                <c:pt idx="506">
                  <c:v>1750</c:v>
                </c:pt>
                <c:pt idx="507">
                  <c:v>1749.5</c:v>
                </c:pt>
                <c:pt idx="508">
                  <c:v>1749</c:v>
                </c:pt>
                <c:pt idx="509">
                  <c:v>1748.5</c:v>
                </c:pt>
                <c:pt idx="510">
                  <c:v>1748</c:v>
                </c:pt>
                <c:pt idx="511">
                  <c:v>1747.5</c:v>
                </c:pt>
                <c:pt idx="512">
                  <c:v>1747</c:v>
                </c:pt>
                <c:pt idx="513">
                  <c:v>1746.5</c:v>
                </c:pt>
                <c:pt idx="514">
                  <c:v>1746</c:v>
                </c:pt>
                <c:pt idx="515">
                  <c:v>1745.5</c:v>
                </c:pt>
                <c:pt idx="516">
                  <c:v>1745</c:v>
                </c:pt>
                <c:pt idx="517">
                  <c:v>1744.5</c:v>
                </c:pt>
                <c:pt idx="518">
                  <c:v>1744</c:v>
                </c:pt>
                <c:pt idx="519">
                  <c:v>1743.5</c:v>
                </c:pt>
                <c:pt idx="520">
                  <c:v>1743</c:v>
                </c:pt>
                <c:pt idx="521">
                  <c:v>1742.5</c:v>
                </c:pt>
                <c:pt idx="522">
                  <c:v>1742</c:v>
                </c:pt>
                <c:pt idx="523">
                  <c:v>1741.5</c:v>
                </c:pt>
                <c:pt idx="524">
                  <c:v>1741</c:v>
                </c:pt>
                <c:pt idx="525">
                  <c:v>1740.5</c:v>
                </c:pt>
                <c:pt idx="526">
                  <c:v>1740</c:v>
                </c:pt>
                <c:pt idx="527">
                  <c:v>1739.5</c:v>
                </c:pt>
                <c:pt idx="528">
                  <c:v>1739</c:v>
                </c:pt>
                <c:pt idx="529">
                  <c:v>1738.5</c:v>
                </c:pt>
                <c:pt idx="530">
                  <c:v>1738</c:v>
                </c:pt>
                <c:pt idx="531">
                  <c:v>1737.5</c:v>
                </c:pt>
                <c:pt idx="532">
                  <c:v>1737</c:v>
                </c:pt>
                <c:pt idx="533">
                  <c:v>1736.5</c:v>
                </c:pt>
                <c:pt idx="534">
                  <c:v>1736</c:v>
                </c:pt>
                <c:pt idx="535">
                  <c:v>1735.5</c:v>
                </c:pt>
                <c:pt idx="536">
                  <c:v>1735</c:v>
                </c:pt>
                <c:pt idx="537">
                  <c:v>1734.5</c:v>
                </c:pt>
                <c:pt idx="538">
                  <c:v>1734</c:v>
                </c:pt>
                <c:pt idx="539">
                  <c:v>1733.5</c:v>
                </c:pt>
                <c:pt idx="540">
                  <c:v>1733</c:v>
                </c:pt>
                <c:pt idx="541">
                  <c:v>1732.5</c:v>
                </c:pt>
                <c:pt idx="542">
                  <c:v>1732</c:v>
                </c:pt>
                <c:pt idx="543">
                  <c:v>1731.5</c:v>
                </c:pt>
                <c:pt idx="544">
                  <c:v>1731</c:v>
                </c:pt>
                <c:pt idx="545">
                  <c:v>1730.5</c:v>
                </c:pt>
                <c:pt idx="546">
                  <c:v>1730</c:v>
                </c:pt>
                <c:pt idx="547">
                  <c:v>1729.5</c:v>
                </c:pt>
                <c:pt idx="548">
                  <c:v>1729</c:v>
                </c:pt>
                <c:pt idx="549">
                  <c:v>1728.5</c:v>
                </c:pt>
                <c:pt idx="550">
                  <c:v>1728</c:v>
                </c:pt>
                <c:pt idx="551">
                  <c:v>1727.5</c:v>
                </c:pt>
                <c:pt idx="552">
                  <c:v>1727</c:v>
                </c:pt>
                <c:pt idx="553">
                  <c:v>1726.5</c:v>
                </c:pt>
                <c:pt idx="554">
                  <c:v>1726</c:v>
                </c:pt>
                <c:pt idx="555">
                  <c:v>1725.5</c:v>
                </c:pt>
                <c:pt idx="556">
                  <c:v>1725</c:v>
                </c:pt>
                <c:pt idx="557">
                  <c:v>1724.5</c:v>
                </c:pt>
                <c:pt idx="558">
                  <c:v>1724</c:v>
                </c:pt>
                <c:pt idx="559">
                  <c:v>1723.5</c:v>
                </c:pt>
                <c:pt idx="560">
                  <c:v>1723</c:v>
                </c:pt>
                <c:pt idx="561">
                  <c:v>1722.5</c:v>
                </c:pt>
                <c:pt idx="562">
                  <c:v>1722</c:v>
                </c:pt>
                <c:pt idx="563">
                  <c:v>1721.5</c:v>
                </c:pt>
                <c:pt idx="564">
                  <c:v>1721</c:v>
                </c:pt>
                <c:pt idx="565">
                  <c:v>1720.5</c:v>
                </c:pt>
                <c:pt idx="566">
                  <c:v>1720</c:v>
                </c:pt>
                <c:pt idx="567">
                  <c:v>1719.5</c:v>
                </c:pt>
                <c:pt idx="568">
                  <c:v>1719</c:v>
                </c:pt>
                <c:pt idx="569">
                  <c:v>1718.5</c:v>
                </c:pt>
                <c:pt idx="570">
                  <c:v>1718</c:v>
                </c:pt>
                <c:pt idx="571">
                  <c:v>1717.5</c:v>
                </c:pt>
                <c:pt idx="572">
                  <c:v>1717</c:v>
                </c:pt>
                <c:pt idx="573">
                  <c:v>1716.5</c:v>
                </c:pt>
                <c:pt idx="574">
                  <c:v>1716</c:v>
                </c:pt>
                <c:pt idx="575">
                  <c:v>1715.5</c:v>
                </c:pt>
                <c:pt idx="576">
                  <c:v>1715</c:v>
                </c:pt>
                <c:pt idx="577">
                  <c:v>1714.5</c:v>
                </c:pt>
                <c:pt idx="578">
                  <c:v>1714</c:v>
                </c:pt>
                <c:pt idx="579">
                  <c:v>1713.5</c:v>
                </c:pt>
                <c:pt idx="580">
                  <c:v>1713</c:v>
                </c:pt>
                <c:pt idx="581">
                  <c:v>1712.5</c:v>
                </c:pt>
                <c:pt idx="582">
                  <c:v>1712</c:v>
                </c:pt>
                <c:pt idx="583">
                  <c:v>1711.5</c:v>
                </c:pt>
                <c:pt idx="584">
                  <c:v>1711</c:v>
                </c:pt>
                <c:pt idx="585">
                  <c:v>1710.5</c:v>
                </c:pt>
                <c:pt idx="586">
                  <c:v>1710</c:v>
                </c:pt>
                <c:pt idx="587">
                  <c:v>1709.5</c:v>
                </c:pt>
                <c:pt idx="588">
                  <c:v>1709</c:v>
                </c:pt>
                <c:pt idx="589">
                  <c:v>1708.5</c:v>
                </c:pt>
                <c:pt idx="590">
                  <c:v>1708</c:v>
                </c:pt>
                <c:pt idx="591">
                  <c:v>1707.5</c:v>
                </c:pt>
                <c:pt idx="592">
                  <c:v>1707</c:v>
                </c:pt>
                <c:pt idx="593">
                  <c:v>1706.5</c:v>
                </c:pt>
                <c:pt idx="594">
                  <c:v>1706</c:v>
                </c:pt>
                <c:pt idx="595">
                  <c:v>1705.5</c:v>
                </c:pt>
                <c:pt idx="596">
                  <c:v>1705</c:v>
                </c:pt>
                <c:pt idx="597">
                  <c:v>1704.5</c:v>
                </c:pt>
                <c:pt idx="598">
                  <c:v>1704</c:v>
                </c:pt>
                <c:pt idx="599">
                  <c:v>1703.5</c:v>
                </c:pt>
                <c:pt idx="600">
                  <c:v>1703</c:v>
                </c:pt>
                <c:pt idx="601">
                  <c:v>1702.5</c:v>
                </c:pt>
                <c:pt idx="602">
                  <c:v>1702</c:v>
                </c:pt>
                <c:pt idx="603">
                  <c:v>1701.5</c:v>
                </c:pt>
                <c:pt idx="604">
                  <c:v>1701</c:v>
                </c:pt>
                <c:pt idx="605">
                  <c:v>1700.5</c:v>
                </c:pt>
                <c:pt idx="606">
                  <c:v>1700</c:v>
                </c:pt>
                <c:pt idx="607">
                  <c:v>1699.5</c:v>
                </c:pt>
                <c:pt idx="608">
                  <c:v>1699</c:v>
                </c:pt>
                <c:pt idx="609">
                  <c:v>1698.5</c:v>
                </c:pt>
                <c:pt idx="610">
                  <c:v>1698</c:v>
                </c:pt>
                <c:pt idx="611">
                  <c:v>1697.5</c:v>
                </c:pt>
                <c:pt idx="612">
                  <c:v>1697</c:v>
                </c:pt>
                <c:pt idx="613">
                  <c:v>1696.5</c:v>
                </c:pt>
                <c:pt idx="614">
                  <c:v>1696</c:v>
                </c:pt>
                <c:pt idx="615">
                  <c:v>1695.5</c:v>
                </c:pt>
                <c:pt idx="616">
                  <c:v>1695</c:v>
                </c:pt>
                <c:pt idx="617">
                  <c:v>1694.5</c:v>
                </c:pt>
                <c:pt idx="618">
                  <c:v>1694</c:v>
                </c:pt>
                <c:pt idx="619">
                  <c:v>1693.5</c:v>
                </c:pt>
                <c:pt idx="620">
                  <c:v>1693</c:v>
                </c:pt>
                <c:pt idx="621">
                  <c:v>1692.5</c:v>
                </c:pt>
                <c:pt idx="622">
                  <c:v>1692</c:v>
                </c:pt>
                <c:pt idx="623">
                  <c:v>1691.5</c:v>
                </c:pt>
                <c:pt idx="624">
                  <c:v>1691</c:v>
                </c:pt>
                <c:pt idx="625">
                  <c:v>1690.5</c:v>
                </c:pt>
                <c:pt idx="626">
                  <c:v>1690</c:v>
                </c:pt>
                <c:pt idx="627">
                  <c:v>1689.5</c:v>
                </c:pt>
                <c:pt idx="628">
                  <c:v>1689</c:v>
                </c:pt>
                <c:pt idx="629">
                  <c:v>1688.5</c:v>
                </c:pt>
                <c:pt idx="630">
                  <c:v>1688</c:v>
                </c:pt>
                <c:pt idx="631">
                  <c:v>1687.5</c:v>
                </c:pt>
                <c:pt idx="632">
                  <c:v>1687</c:v>
                </c:pt>
                <c:pt idx="633">
                  <c:v>1686.5</c:v>
                </c:pt>
                <c:pt idx="634">
                  <c:v>1686</c:v>
                </c:pt>
                <c:pt idx="635">
                  <c:v>1685.5</c:v>
                </c:pt>
                <c:pt idx="636">
                  <c:v>1685</c:v>
                </c:pt>
                <c:pt idx="637">
                  <c:v>1684.5</c:v>
                </c:pt>
                <c:pt idx="638">
                  <c:v>1684</c:v>
                </c:pt>
                <c:pt idx="639">
                  <c:v>1683.5</c:v>
                </c:pt>
                <c:pt idx="640">
                  <c:v>1683</c:v>
                </c:pt>
                <c:pt idx="641">
                  <c:v>1682.5</c:v>
                </c:pt>
                <c:pt idx="642">
                  <c:v>1682</c:v>
                </c:pt>
                <c:pt idx="643">
                  <c:v>1681.5</c:v>
                </c:pt>
                <c:pt idx="644">
                  <c:v>1681</c:v>
                </c:pt>
                <c:pt idx="645">
                  <c:v>1680.5</c:v>
                </c:pt>
                <c:pt idx="646">
                  <c:v>1680</c:v>
                </c:pt>
                <c:pt idx="647">
                  <c:v>1679.5</c:v>
                </c:pt>
                <c:pt idx="648">
                  <c:v>1679</c:v>
                </c:pt>
                <c:pt idx="649">
                  <c:v>1678.5</c:v>
                </c:pt>
                <c:pt idx="650">
                  <c:v>1678</c:v>
                </c:pt>
                <c:pt idx="651">
                  <c:v>1677.5</c:v>
                </c:pt>
                <c:pt idx="652">
                  <c:v>1677</c:v>
                </c:pt>
                <c:pt idx="653">
                  <c:v>1676.5</c:v>
                </c:pt>
                <c:pt idx="654">
                  <c:v>1676</c:v>
                </c:pt>
                <c:pt idx="655">
                  <c:v>1675.5</c:v>
                </c:pt>
                <c:pt idx="656">
                  <c:v>1675</c:v>
                </c:pt>
                <c:pt idx="657">
                  <c:v>1674.5</c:v>
                </c:pt>
                <c:pt idx="658">
                  <c:v>1674</c:v>
                </c:pt>
                <c:pt idx="659">
                  <c:v>1673.5</c:v>
                </c:pt>
                <c:pt idx="660">
                  <c:v>1673</c:v>
                </c:pt>
                <c:pt idx="661">
                  <c:v>1672.5</c:v>
                </c:pt>
                <c:pt idx="662">
                  <c:v>1672</c:v>
                </c:pt>
                <c:pt idx="663">
                  <c:v>1671.5</c:v>
                </c:pt>
                <c:pt idx="664">
                  <c:v>1671</c:v>
                </c:pt>
                <c:pt idx="665">
                  <c:v>1670.5</c:v>
                </c:pt>
                <c:pt idx="666">
                  <c:v>1670</c:v>
                </c:pt>
                <c:pt idx="667">
                  <c:v>1669.5</c:v>
                </c:pt>
                <c:pt idx="668">
                  <c:v>1669</c:v>
                </c:pt>
                <c:pt idx="669">
                  <c:v>1668.5</c:v>
                </c:pt>
                <c:pt idx="670">
                  <c:v>1668</c:v>
                </c:pt>
                <c:pt idx="671">
                  <c:v>1667.5</c:v>
                </c:pt>
                <c:pt idx="672">
                  <c:v>1667</c:v>
                </c:pt>
                <c:pt idx="673">
                  <c:v>1666.5</c:v>
                </c:pt>
                <c:pt idx="674">
                  <c:v>1666</c:v>
                </c:pt>
                <c:pt idx="675">
                  <c:v>1665.5</c:v>
                </c:pt>
                <c:pt idx="676">
                  <c:v>1665</c:v>
                </c:pt>
                <c:pt idx="677">
                  <c:v>1664.5</c:v>
                </c:pt>
                <c:pt idx="678">
                  <c:v>1664</c:v>
                </c:pt>
                <c:pt idx="679">
                  <c:v>1663.5</c:v>
                </c:pt>
                <c:pt idx="680">
                  <c:v>1663</c:v>
                </c:pt>
                <c:pt idx="681">
                  <c:v>1662.5</c:v>
                </c:pt>
                <c:pt idx="682">
                  <c:v>1662</c:v>
                </c:pt>
                <c:pt idx="683">
                  <c:v>1661.5</c:v>
                </c:pt>
                <c:pt idx="684">
                  <c:v>1661</c:v>
                </c:pt>
                <c:pt idx="685">
                  <c:v>1660.5</c:v>
                </c:pt>
                <c:pt idx="686">
                  <c:v>1660</c:v>
                </c:pt>
                <c:pt idx="687">
                  <c:v>1659.5</c:v>
                </c:pt>
                <c:pt idx="688">
                  <c:v>1659</c:v>
                </c:pt>
                <c:pt idx="689">
                  <c:v>1658.5</c:v>
                </c:pt>
                <c:pt idx="690">
                  <c:v>1658</c:v>
                </c:pt>
                <c:pt idx="691">
                  <c:v>1657.5</c:v>
                </c:pt>
                <c:pt idx="692">
                  <c:v>1657</c:v>
                </c:pt>
                <c:pt idx="693">
                  <c:v>1656.5</c:v>
                </c:pt>
                <c:pt idx="694">
                  <c:v>1656</c:v>
                </c:pt>
                <c:pt idx="695">
                  <c:v>1655.5</c:v>
                </c:pt>
                <c:pt idx="696">
                  <c:v>1655</c:v>
                </c:pt>
                <c:pt idx="697">
                  <c:v>1654.5</c:v>
                </c:pt>
                <c:pt idx="698">
                  <c:v>1654</c:v>
                </c:pt>
                <c:pt idx="699">
                  <c:v>1653.5</c:v>
                </c:pt>
                <c:pt idx="700">
                  <c:v>1653</c:v>
                </c:pt>
                <c:pt idx="701">
                  <c:v>1652.5</c:v>
                </c:pt>
                <c:pt idx="702">
                  <c:v>1652</c:v>
                </c:pt>
                <c:pt idx="703">
                  <c:v>1651.5</c:v>
                </c:pt>
                <c:pt idx="704">
                  <c:v>1651</c:v>
                </c:pt>
                <c:pt idx="705">
                  <c:v>1650.5</c:v>
                </c:pt>
                <c:pt idx="706">
                  <c:v>1650</c:v>
                </c:pt>
                <c:pt idx="707">
                  <c:v>1649.5</c:v>
                </c:pt>
                <c:pt idx="708">
                  <c:v>1649</c:v>
                </c:pt>
                <c:pt idx="709">
                  <c:v>1648.5</c:v>
                </c:pt>
                <c:pt idx="710">
                  <c:v>1648</c:v>
                </c:pt>
                <c:pt idx="711">
                  <c:v>1647.5</c:v>
                </c:pt>
                <c:pt idx="712">
                  <c:v>1647</c:v>
                </c:pt>
                <c:pt idx="713">
                  <c:v>1646.5</c:v>
                </c:pt>
                <c:pt idx="714">
                  <c:v>1646</c:v>
                </c:pt>
                <c:pt idx="715">
                  <c:v>1645.5</c:v>
                </c:pt>
                <c:pt idx="716">
                  <c:v>1645</c:v>
                </c:pt>
                <c:pt idx="717">
                  <c:v>1644.5</c:v>
                </c:pt>
                <c:pt idx="718">
                  <c:v>1644</c:v>
                </c:pt>
                <c:pt idx="719">
                  <c:v>1643.5</c:v>
                </c:pt>
                <c:pt idx="720">
                  <c:v>1643</c:v>
                </c:pt>
                <c:pt idx="721">
                  <c:v>1642.5</c:v>
                </c:pt>
                <c:pt idx="722">
                  <c:v>1642</c:v>
                </c:pt>
                <c:pt idx="723">
                  <c:v>1641.5</c:v>
                </c:pt>
                <c:pt idx="724">
                  <c:v>1641</c:v>
                </c:pt>
                <c:pt idx="725">
                  <c:v>1640.5</c:v>
                </c:pt>
                <c:pt idx="726">
                  <c:v>1640</c:v>
                </c:pt>
                <c:pt idx="727">
                  <c:v>1639.5</c:v>
                </c:pt>
                <c:pt idx="728">
                  <c:v>1639</c:v>
                </c:pt>
                <c:pt idx="729">
                  <c:v>1638.5</c:v>
                </c:pt>
                <c:pt idx="730">
                  <c:v>1638</c:v>
                </c:pt>
                <c:pt idx="731">
                  <c:v>1637.5</c:v>
                </c:pt>
                <c:pt idx="732">
                  <c:v>1637</c:v>
                </c:pt>
                <c:pt idx="733">
                  <c:v>1636.5</c:v>
                </c:pt>
                <c:pt idx="734">
                  <c:v>1636</c:v>
                </c:pt>
                <c:pt idx="735">
                  <c:v>1635.5</c:v>
                </c:pt>
                <c:pt idx="736">
                  <c:v>1635</c:v>
                </c:pt>
                <c:pt idx="737">
                  <c:v>1634.5</c:v>
                </c:pt>
                <c:pt idx="738">
                  <c:v>1634</c:v>
                </c:pt>
                <c:pt idx="739">
                  <c:v>1633.5</c:v>
                </c:pt>
                <c:pt idx="740">
                  <c:v>1633</c:v>
                </c:pt>
                <c:pt idx="741">
                  <c:v>1632.5</c:v>
                </c:pt>
                <c:pt idx="742">
                  <c:v>1632</c:v>
                </c:pt>
                <c:pt idx="743">
                  <c:v>1631.5</c:v>
                </c:pt>
                <c:pt idx="744">
                  <c:v>1631</c:v>
                </c:pt>
                <c:pt idx="745">
                  <c:v>1630.5</c:v>
                </c:pt>
                <c:pt idx="746">
                  <c:v>1630</c:v>
                </c:pt>
                <c:pt idx="747">
                  <c:v>1629.5</c:v>
                </c:pt>
                <c:pt idx="748">
                  <c:v>1629</c:v>
                </c:pt>
                <c:pt idx="749">
                  <c:v>1628.5</c:v>
                </c:pt>
                <c:pt idx="750">
                  <c:v>1628</c:v>
                </c:pt>
                <c:pt idx="751">
                  <c:v>1627.5</c:v>
                </c:pt>
                <c:pt idx="752">
                  <c:v>1627</c:v>
                </c:pt>
                <c:pt idx="753">
                  <c:v>1626.5</c:v>
                </c:pt>
                <c:pt idx="754">
                  <c:v>1626</c:v>
                </c:pt>
                <c:pt idx="755">
                  <c:v>1625.5</c:v>
                </c:pt>
                <c:pt idx="756">
                  <c:v>1625</c:v>
                </c:pt>
                <c:pt idx="757">
                  <c:v>1624.5</c:v>
                </c:pt>
                <c:pt idx="758">
                  <c:v>1624</c:v>
                </c:pt>
                <c:pt idx="759">
                  <c:v>1623.5</c:v>
                </c:pt>
                <c:pt idx="760">
                  <c:v>1623</c:v>
                </c:pt>
                <c:pt idx="761">
                  <c:v>1622.5</c:v>
                </c:pt>
                <c:pt idx="762">
                  <c:v>1622</c:v>
                </c:pt>
                <c:pt idx="763">
                  <c:v>1621.5</c:v>
                </c:pt>
                <c:pt idx="764">
                  <c:v>1621</c:v>
                </c:pt>
                <c:pt idx="765">
                  <c:v>1620.5</c:v>
                </c:pt>
                <c:pt idx="766">
                  <c:v>1620</c:v>
                </c:pt>
                <c:pt idx="767">
                  <c:v>1619.5</c:v>
                </c:pt>
                <c:pt idx="768">
                  <c:v>1619</c:v>
                </c:pt>
                <c:pt idx="769">
                  <c:v>1618.5</c:v>
                </c:pt>
                <c:pt idx="770">
                  <c:v>1618</c:v>
                </c:pt>
                <c:pt idx="771">
                  <c:v>1617.5</c:v>
                </c:pt>
                <c:pt idx="772">
                  <c:v>1617</c:v>
                </c:pt>
                <c:pt idx="773">
                  <c:v>1616.5</c:v>
                </c:pt>
                <c:pt idx="774">
                  <c:v>1616</c:v>
                </c:pt>
                <c:pt idx="775">
                  <c:v>1615.5</c:v>
                </c:pt>
                <c:pt idx="776">
                  <c:v>1615</c:v>
                </c:pt>
                <c:pt idx="777">
                  <c:v>1614.5</c:v>
                </c:pt>
                <c:pt idx="778">
                  <c:v>1614</c:v>
                </c:pt>
                <c:pt idx="779">
                  <c:v>1613.5</c:v>
                </c:pt>
                <c:pt idx="780">
                  <c:v>1613</c:v>
                </c:pt>
                <c:pt idx="781">
                  <c:v>1612.5</c:v>
                </c:pt>
                <c:pt idx="782">
                  <c:v>1612</c:v>
                </c:pt>
                <c:pt idx="783">
                  <c:v>1611.5</c:v>
                </c:pt>
                <c:pt idx="784">
                  <c:v>1611</c:v>
                </c:pt>
                <c:pt idx="785">
                  <c:v>1610.5</c:v>
                </c:pt>
                <c:pt idx="786">
                  <c:v>1610</c:v>
                </c:pt>
                <c:pt idx="787">
                  <c:v>1609.5</c:v>
                </c:pt>
                <c:pt idx="788">
                  <c:v>1609</c:v>
                </c:pt>
                <c:pt idx="789">
                  <c:v>1608.5</c:v>
                </c:pt>
                <c:pt idx="790">
                  <c:v>1608</c:v>
                </c:pt>
                <c:pt idx="791">
                  <c:v>1607.5</c:v>
                </c:pt>
                <c:pt idx="792">
                  <c:v>1607</c:v>
                </c:pt>
                <c:pt idx="793">
                  <c:v>1606.5</c:v>
                </c:pt>
                <c:pt idx="794">
                  <c:v>1606</c:v>
                </c:pt>
                <c:pt idx="795">
                  <c:v>1605.5</c:v>
                </c:pt>
                <c:pt idx="796">
                  <c:v>1605</c:v>
                </c:pt>
                <c:pt idx="797">
                  <c:v>1604.5</c:v>
                </c:pt>
                <c:pt idx="798">
                  <c:v>1604</c:v>
                </c:pt>
                <c:pt idx="799">
                  <c:v>1603.5</c:v>
                </c:pt>
                <c:pt idx="800">
                  <c:v>1603</c:v>
                </c:pt>
                <c:pt idx="801">
                  <c:v>1602.5</c:v>
                </c:pt>
                <c:pt idx="802">
                  <c:v>1602</c:v>
                </c:pt>
                <c:pt idx="803">
                  <c:v>1601.5</c:v>
                </c:pt>
                <c:pt idx="804">
                  <c:v>1601</c:v>
                </c:pt>
                <c:pt idx="805">
                  <c:v>1600.5</c:v>
                </c:pt>
                <c:pt idx="806">
                  <c:v>1600</c:v>
                </c:pt>
                <c:pt idx="807">
                  <c:v>1599.5</c:v>
                </c:pt>
                <c:pt idx="808">
                  <c:v>1599</c:v>
                </c:pt>
                <c:pt idx="809">
                  <c:v>1598.5</c:v>
                </c:pt>
                <c:pt idx="810">
                  <c:v>1598</c:v>
                </c:pt>
                <c:pt idx="811">
                  <c:v>1597.5</c:v>
                </c:pt>
                <c:pt idx="812">
                  <c:v>1597</c:v>
                </c:pt>
                <c:pt idx="813">
                  <c:v>1596.5</c:v>
                </c:pt>
                <c:pt idx="814">
                  <c:v>1596</c:v>
                </c:pt>
                <c:pt idx="815">
                  <c:v>1595.5</c:v>
                </c:pt>
                <c:pt idx="816">
                  <c:v>1595</c:v>
                </c:pt>
                <c:pt idx="817">
                  <c:v>1594.5</c:v>
                </c:pt>
                <c:pt idx="818">
                  <c:v>1594</c:v>
                </c:pt>
                <c:pt idx="819">
                  <c:v>1593.5</c:v>
                </c:pt>
                <c:pt idx="820">
                  <c:v>1593</c:v>
                </c:pt>
                <c:pt idx="821">
                  <c:v>1592.5</c:v>
                </c:pt>
                <c:pt idx="822">
                  <c:v>1592</c:v>
                </c:pt>
                <c:pt idx="823">
                  <c:v>1591.5</c:v>
                </c:pt>
                <c:pt idx="824">
                  <c:v>1591</c:v>
                </c:pt>
                <c:pt idx="825">
                  <c:v>1590.5</c:v>
                </c:pt>
                <c:pt idx="826">
                  <c:v>1590</c:v>
                </c:pt>
                <c:pt idx="827">
                  <c:v>1589.5</c:v>
                </c:pt>
                <c:pt idx="828">
                  <c:v>1589</c:v>
                </c:pt>
                <c:pt idx="829">
                  <c:v>1588.5</c:v>
                </c:pt>
                <c:pt idx="830">
                  <c:v>1588</c:v>
                </c:pt>
                <c:pt idx="831">
                  <c:v>1587.5</c:v>
                </c:pt>
                <c:pt idx="832">
                  <c:v>1587</c:v>
                </c:pt>
                <c:pt idx="833">
                  <c:v>1586.5</c:v>
                </c:pt>
                <c:pt idx="834">
                  <c:v>1586</c:v>
                </c:pt>
                <c:pt idx="835">
                  <c:v>1585.5</c:v>
                </c:pt>
                <c:pt idx="836">
                  <c:v>1585</c:v>
                </c:pt>
                <c:pt idx="837">
                  <c:v>1584.5</c:v>
                </c:pt>
                <c:pt idx="838">
                  <c:v>1584</c:v>
                </c:pt>
                <c:pt idx="839">
                  <c:v>1583.5</c:v>
                </c:pt>
                <c:pt idx="840">
                  <c:v>1583</c:v>
                </c:pt>
                <c:pt idx="841">
                  <c:v>1582.5</c:v>
                </c:pt>
                <c:pt idx="842">
                  <c:v>1582</c:v>
                </c:pt>
                <c:pt idx="843">
                  <c:v>1581.5</c:v>
                </c:pt>
                <c:pt idx="844">
                  <c:v>1581</c:v>
                </c:pt>
                <c:pt idx="845">
                  <c:v>1580.5</c:v>
                </c:pt>
                <c:pt idx="846">
                  <c:v>1580</c:v>
                </c:pt>
                <c:pt idx="847">
                  <c:v>1579.5</c:v>
                </c:pt>
                <c:pt idx="848">
                  <c:v>1579</c:v>
                </c:pt>
                <c:pt idx="849">
                  <c:v>1578.5</c:v>
                </c:pt>
                <c:pt idx="850">
                  <c:v>1578</c:v>
                </c:pt>
                <c:pt idx="851">
                  <c:v>1577.5</c:v>
                </c:pt>
                <c:pt idx="852">
                  <c:v>1577</c:v>
                </c:pt>
                <c:pt idx="853">
                  <c:v>1576.5</c:v>
                </c:pt>
                <c:pt idx="854">
                  <c:v>1576</c:v>
                </c:pt>
                <c:pt idx="855">
                  <c:v>1575.5</c:v>
                </c:pt>
                <c:pt idx="856">
                  <c:v>1575</c:v>
                </c:pt>
                <c:pt idx="857">
                  <c:v>1574.5</c:v>
                </c:pt>
                <c:pt idx="858">
                  <c:v>1574</c:v>
                </c:pt>
                <c:pt idx="859">
                  <c:v>1573.5</c:v>
                </c:pt>
                <c:pt idx="860">
                  <c:v>1573</c:v>
                </c:pt>
                <c:pt idx="861">
                  <c:v>1572.5</c:v>
                </c:pt>
                <c:pt idx="862">
                  <c:v>1572</c:v>
                </c:pt>
                <c:pt idx="863">
                  <c:v>1571.5</c:v>
                </c:pt>
                <c:pt idx="864">
                  <c:v>1571</c:v>
                </c:pt>
                <c:pt idx="865">
                  <c:v>1570.5</c:v>
                </c:pt>
                <c:pt idx="866">
                  <c:v>1570</c:v>
                </c:pt>
                <c:pt idx="867">
                  <c:v>1569.5</c:v>
                </c:pt>
                <c:pt idx="868">
                  <c:v>1569</c:v>
                </c:pt>
                <c:pt idx="869">
                  <c:v>1568.5</c:v>
                </c:pt>
                <c:pt idx="870">
                  <c:v>1568</c:v>
                </c:pt>
                <c:pt idx="871">
                  <c:v>1567.5</c:v>
                </c:pt>
                <c:pt idx="872">
                  <c:v>1567</c:v>
                </c:pt>
                <c:pt idx="873">
                  <c:v>1566.5</c:v>
                </c:pt>
                <c:pt idx="874">
                  <c:v>1566</c:v>
                </c:pt>
                <c:pt idx="875">
                  <c:v>1565.5</c:v>
                </c:pt>
                <c:pt idx="876">
                  <c:v>1565</c:v>
                </c:pt>
                <c:pt idx="877">
                  <c:v>1564.5</c:v>
                </c:pt>
                <c:pt idx="878">
                  <c:v>1564</c:v>
                </c:pt>
                <c:pt idx="879">
                  <c:v>1563.5</c:v>
                </c:pt>
                <c:pt idx="880">
                  <c:v>1563</c:v>
                </c:pt>
                <c:pt idx="881">
                  <c:v>1562.5</c:v>
                </c:pt>
                <c:pt idx="882">
                  <c:v>1562</c:v>
                </c:pt>
                <c:pt idx="883">
                  <c:v>1561.5</c:v>
                </c:pt>
                <c:pt idx="884">
                  <c:v>1561</c:v>
                </c:pt>
                <c:pt idx="885">
                  <c:v>1560.5</c:v>
                </c:pt>
                <c:pt idx="886">
                  <c:v>1560</c:v>
                </c:pt>
                <c:pt idx="887">
                  <c:v>1559.5</c:v>
                </c:pt>
                <c:pt idx="888">
                  <c:v>1559</c:v>
                </c:pt>
                <c:pt idx="889">
                  <c:v>1558.5</c:v>
                </c:pt>
                <c:pt idx="890">
                  <c:v>1558</c:v>
                </c:pt>
                <c:pt idx="891">
                  <c:v>1557.5</c:v>
                </c:pt>
                <c:pt idx="892">
                  <c:v>1557</c:v>
                </c:pt>
                <c:pt idx="893">
                  <c:v>1556.5</c:v>
                </c:pt>
                <c:pt idx="894">
                  <c:v>1556</c:v>
                </c:pt>
                <c:pt idx="895">
                  <c:v>1555.5</c:v>
                </c:pt>
                <c:pt idx="896">
                  <c:v>1555</c:v>
                </c:pt>
                <c:pt idx="897">
                  <c:v>1554.5</c:v>
                </c:pt>
                <c:pt idx="898">
                  <c:v>1554</c:v>
                </c:pt>
                <c:pt idx="899">
                  <c:v>1553.5</c:v>
                </c:pt>
                <c:pt idx="900">
                  <c:v>1553</c:v>
                </c:pt>
                <c:pt idx="901">
                  <c:v>1552.5</c:v>
                </c:pt>
                <c:pt idx="902">
                  <c:v>1552</c:v>
                </c:pt>
                <c:pt idx="903">
                  <c:v>1551.5</c:v>
                </c:pt>
                <c:pt idx="904">
                  <c:v>1551</c:v>
                </c:pt>
                <c:pt idx="905">
                  <c:v>1550.5</c:v>
                </c:pt>
                <c:pt idx="906">
                  <c:v>1550</c:v>
                </c:pt>
                <c:pt idx="907">
                  <c:v>1549.5</c:v>
                </c:pt>
                <c:pt idx="908">
                  <c:v>1549</c:v>
                </c:pt>
                <c:pt idx="909">
                  <c:v>1548.5</c:v>
                </c:pt>
                <c:pt idx="910">
                  <c:v>1548</c:v>
                </c:pt>
                <c:pt idx="911">
                  <c:v>1547.5</c:v>
                </c:pt>
                <c:pt idx="912">
                  <c:v>1547</c:v>
                </c:pt>
                <c:pt idx="913">
                  <c:v>1546.5</c:v>
                </c:pt>
                <c:pt idx="914">
                  <c:v>1546</c:v>
                </c:pt>
                <c:pt idx="915">
                  <c:v>1545.5</c:v>
                </c:pt>
                <c:pt idx="916">
                  <c:v>1545</c:v>
                </c:pt>
                <c:pt idx="917">
                  <c:v>1544.5</c:v>
                </c:pt>
                <c:pt idx="918">
                  <c:v>1544</c:v>
                </c:pt>
                <c:pt idx="919">
                  <c:v>1543.5</c:v>
                </c:pt>
                <c:pt idx="920">
                  <c:v>1543</c:v>
                </c:pt>
                <c:pt idx="921">
                  <c:v>1542.5</c:v>
                </c:pt>
                <c:pt idx="922">
                  <c:v>1542</c:v>
                </c:pt>
                <c:pt idx="923">
                  <c:v>1541.5</c:v>
                </c:pt>
                <c:pt idx="924">
                  <c:v>1541</c:v>
                </c:pt>
                <c:pt idx="925">
                  <c:v>1540.5</c:v>
                </c:pt>
                <c:pt idx="926">
                  <c:v>1540</c:v>
                </c:pt>
                <c:pt idx="927">
                  <c:v>1539.5</c:v>
                </c:pt>
                <c:pt idx="928">
                  <c:v>1539</c:v>
                </c:pt>
                <c:pt idx="929">
                  <c:v>1538.5</c:v>
                </c:pt>
                <c:pt idx="930">
                  <c:v>1538</c:v>
                </c:pt>
                <c:pt idx="931">
                  <c:v>1537.5</c:v>
                </c:pt>
                <c:pt idx="932">
                  <c:v>1537</c:v>
                </c:pt>
                <c:pt idx="933">
                  <c:v>1536.5</c:v>
                </c:pt>
                <c:pt idx="934">
                  <c:v>1536</c:v>
                </c:pt>
                <c:pt idx="935">
                  <c:v>1535.5</c:v>
                </c:pt>
                <c:pt idx="936">
                  <c:v>1535</c:v>
                </c:pt>
                <c:pt idx="937">
                  <c:v>1534.5</c:v>
                </c:pt>
                <c:pt idx="938">
                  <c:v>1534</c:v>
                </c:pt>
                <c:pt idx="939">
                  <c:v>1533.5</c:v>
                </c:pt>
                <c:pt idx="940">
                  <c:v>1533</c:v>
                </c:pt>
                <c:pt idx="941">
                  <c:v>1532.5</c:v>
                </c:pt>
                <c:pt idx="942">
                  <c:v>1532</c:v>
                </c:pt>
                <c:pt idx="943">
                  <c:v>1531.5</c:v>
                </c:pt>
                <c:pt idx="944">
                  <c:v>1531</c:v>
                </c:pt>
                <c:pt idx="945">
                  <c:v>1530.5</c:v>
                </c:pt>
                <c:pt idx="946">
                  <c:v>1530</c:v>
                </c:pt>
                <c:pt idx="947">
                  <c:v>1529.5</c:v>
                </c:pt>
                <c:pt idx="948">
                  <c:v>1529</c:v>
                </c:pt>
                <c:pt idx="949">
                  <c:v>1528.5</c:v>
                </c:pt>
                <c:pt idx="950">
                  <c:v>1528</c:v>
                </c:pt>
                <c:pt idx="951">
                  <c:v>1527.5</c:v>
                </c:pt>
                <c:pt idx="952">
                  <c:v>1527</c:v>
                </c:pt>
                <c:pt idx="953">
                  <c:v>1526.5</c:v>
                </c:pt>
                <c:pt idx="954">
                  <c:v>1526</c:v>
                </c:pt>
                <c:pt idx="955">
                  <c:v>1525.5</c:v>
                </c:pt>
                <c:pt idx="956">
                  <c:v>1525</c:v>
                </c:pt>
                <c:pt idx="957">
                  <c:v>1524.5</c:v>
                </c:pt>
                <c:pt idx="958">
                  <c:v>1524</c:v>
                </c:pt>
                <c:pt idx="959">
                  <c:v>1523.5</c:v>
                </c:pt>
                <c:pt idx="960">
                  <c:v>1523</c:v>
                </c:pt>
                <c:pt idx="961">
                  <c:v>1510.7</c:v>
                </c:pt>
                <c:pt idx="962">
                  <c:v>1498.4</c:v>
                </c:pt>
                <c:pt idx="963">
                  <c:v>1486.1000000000001</c:v>
                </c:pt>
                <c:pt idx="964">
                  <c:v>1473.8000000000002</c:v>
                </c:pt>
                <c:pt idx="965">
                  <c:v>1461.5</c:v>
                </c:pt>
                <c:pt idx="966">
                  <c:v>1449.2</c:v>
                </c:pt>
                <c:pt idx="967">
                  <c:v>1436.9</c:v>
                </c:pt>
                <c:pt idx="968">
                  <c:v>1424.6000000000001</c:v>
                </c:pt>
                <c:pt idx="969">
                  <c:v>1412.3</c:v>
                </c:pt>
                <c:pt idx="970">
                  <c:v>1400</c:v>
                </c:pt>
                <c:pt idx="971">
                  <c:v>1387.7</c:v>
                </c:pt>
                <c:pt idx="972">
                  <c:v>1375.4</c:v>
                </c:pt>
                <c:pt idx="973">
                  <c:v>1363.1000000000001</c:v>
                </c:pt>
                <c:pt idx="974">
                  <c:v>1350.8</c:v>
                </c:pt>
                <c:pt idx="975">
                  <c:v>1338.5</c:v>
                </c:pt>
                <c:pt idx="976">
                  <c:v>1326.2</c:v>
                </c:pt>
                <c:pt idx="977">
                  <c:v>1313.9</c:v>
                </c:pt>
                <c:pt idx="978">
                  <c:v>1301.5999999999999</c:v>
                </c:pt>
                <c:pt idx="979">
                  <c:v>1289.3000000000002</c:v>
                </c:pt>
                <c:pt idx="980">
                  <c:v>1277</c:v>
                </c:pt>
                <c:pt idx="981">
                  <c:v>1264.7</c:v>
                </c:pt>
                <c:pt idx="982">
                  <c:v>1252.4000000000001</c:v>
                </c:pt>
                <c:pt idx="983">
                  <c:v>1240.0999999999999</c:v>
                </c:pt>
                <c:pt idx="984">
                  <c:v>1227.8000000000002</c:v>
                </c:pt>
                <c:pt idx="985">
                  <c:v>1215.5</c:v>
                </c:pt>
                <c:pt idx="986">
                  <c:v>1203.2</c:v>
                </c:pt>
                <c:pt idx="987">
                  <c:v>1190.9000000000001</c:v>
                </c:pt>
                <c:pt idx="988">
                  <c:v>1178.5999999999999</c:v>
                </c:pt>
                <c:pt idx="989">
                  <c:v>1166.3000000000002</c:v>
                </c:pt>
                <c:pt idx="990">
                  <c:v>1154</c:v>
                </c:pt>
                <c:pt idx="991">
                  <c:v>1141.7</c:v>
                </c:pt>
                <c:pt idx="992">
                  <c:v>1129.4000000000001</c:v>
                </c:pt>
                <c:pt idx="993">
                  <c:v>1117.0999999999999</c:v>
                </c:pt>
                <c:pt idx="994">
                  <c:v>1104.8000000000002</c:v>
                </c:pt>
                <c:pt idx="995">
                  <c:v>1092.5</c:v>
                </c:pt>
                <c:pt idx="996">
                  <c:v>1080.2</c:v>
                </c:pt>
                <c:pt idx="997">
                  <c:v>1067.9000000000001</c:v>
                </c:pt>
                <c:pt idx="998">
                  <c:v>1055.5999999999999</c:v>
                </c:pt>
                <c:pt idx="999">
                  <c:v>1043.3000000000002</c:v>
                </c:pt>
                <c:pt idx="1000">
                  <c:v>1031</c:v>
                </c:pt>
                <c:pt idx="1001">
                  <c:v>1018.7</c:v>
                </c:pt>
                <c:pt idx="1002">
                  <c:v>1006.4000000000001</c:v>
                </c:pt>
                <c:pt idx="1003">
                  <c:v>994.1</c:v>
                </c:pt>
                <c:pt idx="1004">
                  <c:v>981.80000000000007</c:v>
                </c:pt>
                <c:pt idx="1005">
                  <c:v>969.5</c:v>
                </c:pt>
                <c:pt idx="1006">
                  <c:v>957.2</c:v>
                </c:pt>
                <c:pt idx="1007">
                  <c:v>944.90000000000009</c:v>
                </c:pt>
                <c:pt idx="1008">
                  <c:v>932.6</c:v>
                </c:pt>
                <c:pt idx="1009">
                  <c:v>920.30000000000007</c:v>
                </c:pt>
                <c:pt idx="1010">
                  <c:v>908</c:v>
                </c:pt>
                <c:pt idx="1011">
                  <c:v>895.7</c:v>
                </c:pt>
                <c:pt idx="1012">
                  <c:v>883.40000000000009</c:v>
                </c:pt>
                <c:pt idx="1013">
                  <c:v>871.1</c:v>
                </c:pt>
                <c:pt idx="1014">
                  <c:v>858.80000000000007</c:v>
                </c:pt>
                <c:pt idx="1015">
                  <c:v>846.5</c:v>
                </c:pt>
                <c:pt idx="1016">
                  <c:v>834.2</c:v>
                </c:pt>
                <c:pt idx="1017">
                  <c:v>821.9</c:v>
                </c:pt>
                <c:pt idx="1018">
                  <c:v>809.6</c:v>
                </c:pt>
                <c:pt idx="1019">
                  <c:v>797.3</c:v>
                </c:pt>
                <c:pt idx="1020">
                  <c:v>785</c:v>
                </c:pt>
                <c:pt idx="1021">
                  <c:v>772.7</c:v>
                </c:pt>
                <c:pt idx="1022">
                  <c:v>760.40000000000009</c:v>
                </c:pt>
                <c:pt idx="1023">
                  <c:v>748.1</c:v>
                </c:pt>
                <c:pt idx="1024">
                  <c:v>735.8</c:v>
                </c:pt>
                <c:pt idx="1025">
                  <c:v>723.5</c:v>
                </c:pt>
                <c:pt idx="1026">
                  <c:v>711.2</c:v>
                </c:pt>
                <c:pt idx="1027">
                  <c:v>698.90000000000009</c:v>
                </c:pt>
                <c:pt idx="1028">
                  <c:v>686.6</c:v>
                </c:pt>
                <c:pt idx="1029">
                  <c:v>674.3</c:v>
                </c:pt>
                <c:pt idx="1030">
                  <c:v>662</c:v>
                </c:pt>
                <c:pt idx="1031">
                  <c:v>649.70000000000005</c:v>
                </c:pt>
                <c:pt idx="1032">
                  <c:v>637.40000000000009</c:v>
                </c:pt>
                <c:pt idx="1033">
                  <c:v>625.1</c:v>
                </c:pt>
                <c:pt idx="1034">
                  <c:v>612.79999999999995</c:v>
                </c:pt>
                <c:pt idx="1035">
                  <c:v>600.5</c:v>
                </c:pt>
                <c:pt idx="1036">
                  <c:v>588.20000000000005</c:v>
                </c:pt>
                <c:pt idx="1037">
                  <c:v>575.90000000000009</c:v>
                </c:pt>
                <c:pt idx="1038">
                  <c:v>563.6</c:v>
                </c:pt>
                <c:pt idx="1039">
                  <c:v>551.29999999999995</c:v>
                </c:pt>
                <c:pt idx="1040">
                  <c:v>539</c:v>
                </c:pt>
                <c:pt idx="1041">
                  <c:v>526.70000000000005</c:v>
                </c:pt>
                <c:pt idx="1042">
                  <c:v>514.4</c:v>
                </c:pt>
                <c:pt idx="1043">
                  <c:v>502.1</c:v>
                </c:pt>
                <c:pt idx="1044">
                  <c:v>489.8</c:v>
                </c:pt>
                <c:pt idx="1045">
                  <c:v>477.5</c:v>
                </c:pt>
                <c:pt idx="1046">
                  <c:v>465.20000000000005</c:v>
                </c:pt>
                <c:pt idx="1047">
                  <c:v>452.9</c:v>
                </c:pt>
                <c:pt idx="1048">
                  <c:v>440.6</c:v>
                </c:pt>
                <c:pt idx="1049">
                  <c:v>428.3</c:v>
                </c:pt>
                <c:pt idx="1050">
                  <c:v>416</c:v>
                </c:pt>
                <c:pt idx="1051">
                  <c:v>403.7</c:v>
                </c:pt>
                <c:pt idx="1052">
                  <c:v>391.4</c:v>
                </c:pt>
                <c:pt idx="1053">
                  <c:v>379.1</c:v>
                </c:pt>
                <c:pt idx="1054">
                  <c:v>366.8</c:v>
                </c:pt>
                <c:pt idx="1055">
                  <c:v>354.5</c:v>
                </c:pt>
                <c:pt idx="1056">
                  <c:v>342.2</c:v>
                </c:pt>
                <c:pt idx="1057">
                  <c:v>329.9</c:v>
                </c:pt>
                <c:pt idx="1058">
                  <c:v>317.60000000000002</c:v>
                </c:pt>
                <c:pt idx="1059">
                  <c:v>305.3</c:v>
                </c:pt>
                <c:pt idx="1060">
                  <c:v>293</c:v>
                </c:pt>
              </c:numCache>
            </c:numRef>
          </c:xVal>
          <c:yVal>
            <c:numRef>
              <c:f>Sheet2!$N$31:$N$1095</c:f>
              <c:numCache>
                <c:formatCode>0.00E+00</c:formatCode>
                <c:ptCount val="1065"/>
                <c:pt idx="0">
                  <c:v>7.8829790957536944E+16</c:v>
                </c:pt>
                <c:pt idx="1">
                  <c:v>7.947060053914416E+16</c:v>
                </c:pt>
                <c:pt idx="2">
                  <c:v>8.0116943275177728E+16</c:v>
                </c:pt>
                <c:pt idx="3">
                  <c:v>8.0768869661091152E+16</c:v>
                </c:pt>
                <c:pt idx="4">
                  <c:v>8.1426430677371168E+16</c:v>
                </c:pt>
                <c:pt idx="5">
                  <c:v>8.2089677794416624E+16</c:v>
                </c:pt>
                <c:pt idx="6">
                  <c:v>8.2758662977481184E+16</c:v>
                </c:pt>
                <c:pt idx="7">
                  <c:v>8.3433438691661936E+16</c:v>
                </c:pt>
                <c:pt idx="8">
                  <c:v>8.411405790694048E+16</c:v>
                </c:pt>
                <c:pt idx="9">
                  <c:v>8.4800574103283312E+16</c:v>
                </c:pt>
                <c:pt idx="10">
                  <c:v>8.54930412757856E+16</c:v>
                </c:pt>
                <c:pt idx="11">
                  <c:v>8.619151393987848E+16</c:v>
                </c:pt>
                <c:pt idx="12">
                  <c:v>8.6896047136588304E+16</c:v>
                </c:pt>
                <c:pt idx="13">
                  <c:v>8.7606696437849664E+16</c:v>
                </c:pt>
                <c:pt idx="14">
                  <c:v>8.8323517951876912E+16</c:v>
                </c:pt>
                <c:pt idx="15">
                  <c:v>8.904656832859208E+16</c:v>
                </c:pt>
                <c:pt idx="16">
                  <c:v>8.9775904765107504E+16</c:v>
                </c:pt>
                <c:pt idx="17">
                  <c:v>9.0511585011273696E+16</c:v>
                </c:pt>
                <c:pt idx="18">
                  <c:v>9.1253667375274944E+16</c:v>
                </c:pt>
                <c:pt idx="19">
                  <c:v>9.2002210729295872E+16</c:v>
                </c:pt>
                <c:pt idx="20">
                  <c:v>9.2757274515238976E+16</c:v>
                </c:pt>
                <c:pt idx="21">
                  <c:v>9.3518918750507968E+16</c:v>
                </c:pt>
                <c:pt idx="22">
                  <c:v>9.4287204033851344E+16</c:v>
                </c:pt>
                <c:pt idx="23">
                  <c:v>9.50621915512644E+16</c:v>
                </c:pt>
                <c:pt idx="24">
                  <c:v>9.5843943081964272E+16</c:v>
                </c:pt>
                <c:pt idx="25">
                  <c:v>9.6632521004411376E+16</c:v>
                </c:pt>
                <c:pt idx="26">
                  <c:v>9.7427988302413168E+16</c:v>
                </c:pt>
                <c:pt idx="27">
                  <c:v>9.8230408571280848E+16</c:v>
                </c:pt>
                <c:pt idx="28">
                  <c:v>9.903984602405384E+16</c:v>
                </c:pt>
                <c:pt idx="29">
                  <c:v>9.9856365497797136E+16</c:v>
                </c:pt>
                <c:pt idx="30">
                  <c:v>1.0068003245995302E+17</c:v>
                </c:pt>
                <c:pt idx="31">
                  <c:v>1.0151091301477301E+17</c:v>
                </c:pt>
                <c:pt idx="32">
                  <c:v>1.0234907390981213E+17</c:v>
                </c:pt>
                <c:pt idx="33">
                  <c:v>1.0319458254249314E+17</c:v>
                </c:pt>
                <c:pt idx="34">
                  <c:v>1.0404750696674211E+17</c:v>
                </c:pt>
                <c:pt idx="35">
                  <c:v>1.0490791589969064E+17</c:v>
                </c:pt>
                <c:pt idx="36">
                  <c:v>1.057758787284553E+17</c:v>
                </c:pt>
                <c:pt idx="37">
                  <c:v>1.0665146551699114E+17</c:v>
                </c:pt>
                <c:pt idx="38">
                  <c:v>1.0753474701300422E+17</c:v>
                </c:pt>
                <c:pt idx="39">
                  <c:v>1.0842579465495912E+17</c:v>
                </c:pt>
                <c:pt idx="40">
                  <c:v>1.0932468057914246E+17</c:v>
                </c:pt>
                <c:pt idx="41">
                  <c:v>1.1023147762681334E+17</c:v>
                </c:pt>
                <c:pt idx="42">
                  <c:v>1.1114625935142837E+17</c:v>
                </c:pt>
                <c:pt idx="43">
                  <c:v>1.1206910002593981E+17</c:v>
                </c:pt>
                <c:pt idx="44">
                  <c:v>1.1300007465017846E+17</c:v>
                </c:pt>
                <c:pt idx="45">
                  <c:v>1.1393925895830699E+17</c:v>
                </c:pt>
                <c:pt idx="46">
                  <c:v>1.148867294263617E+17</c:v>
                </c:pt>
                <c:pt idx="47">
                  <c:v>1.1584256327987491E+17</c:v>
                </c:pt>
                <c:pt idx="48">
                  <c:v>1.1680683850156816E+17</c:v>
                </c:pt>
                <c:pt idx="49">
                  <c:v>1.1777963383914474E+17</c:v>
                </c:pt>
                <c:pt idx="50">
                  <c:v>1.1876102881315168E+17</c:v>
                </c:pt>
                <c:pt idx="51">
                  <c:v>1.1975110372492986E+17</c:v>
                </c:pt>
                <c:pt idx="52">
                  <c:v>1.2074993966466187E+17</c:v>
                </c:pt>
                <c:pt idx="53">
                  <c:v>1.2175761851948405E+17</c:v>
                </c:pt>
                <c:pt idx="54">
                  <c:v>1.2277422298170502E+17</c:v>
                </c:pt>
                <c:pt idx="55">
                  <c:v>1.2379983655710453E+17</c:v>
                </c:pt>
                <c:pt idx="56">
                  <c:v>1.2483454357332059E+17</c:v>
                </c:pt>
                <c:pt idx="57">
                  <c:v>1.2587842918833592E+17</c:v>
                </c:pt>
                <c:pt idx="58">
                  <c:v>1.2693157939903725E+17</c:v>
                </c:pt>
                <c:pt idx="59">
                  <c:v>1.2799408104989478E+17</c:v>
                </c:pt>
                <c:pt idx="60">
                  <c:v>1.2906602184170461E+17</c:v>
                </c:pt>
                <c:pt idx="61">
                  <c:v>1.3014749034045E+17</c:v>
                </c:pt>
                <c:pt idx="62">
                  <c:v>1.3123857598624773E+17</c:v>
                </c:pt>
                <c:pt idx="63">
                  <c:v>1.3233936910238803E+17</c:v>
                </c:pt>
                <c:pt idx="64">
                  <c:v>1.3344996090448363E+17</c:v>
                </c:pt>
                <c:pt idx="65">
                  <c:v>1.3457044350970189E+17</c:v>
                </c:pt>
                <c:pt idx="66">
                  <c:v>1.3570090994611456E+17</c:v>
                </c:pt>
                <c:pt idx="67">
                  <c:v>1.3684145416213581E+17</c:v>
                </c:pt>
                <c:pt idx="68">
                  <c:v>1.379921710360651E+17</c:v>
                </c:pt>
                <c:pt idx="69">
                  <c:v>1.3915315638573955E+17</c:v>
                </c:pt>
                <c:pt idx="70">
                  <c:v>1.4032450697828288E+17</c:v>
                </c:pt>
                <c:pt idx="71">
                  <c:v>1.4150632053996427E+17</c:v>
                </c:pt>
                <c:pt idx="72">
                  <c:v>1.4269869576616818E+17</c:v>
                </c:pt>
                <c:pt idx="73">
                  <c:v>1.4390173233146032E+17</c:v>
                </c:pt>
                <c:pt idx="74">
                  <c:v>1.4511553089977616E+17</c:v>
                </c:pt>
                <c:pt idx="75">
                  <c:v>1.463401931347151E+17</c:v>
                </c:pt>
                <c:pt idx="76">
                  <c:v>1.4757582170994035E+17</c:v>
                </c:pt>
                <c:pt idx="77">
                  <c:v>1.4882252031970656E+17</c:v>
                </c:pt>
                <c:pt idx="78">
                  <c:v>1.5008039368948515E+17</c:v>
                </c:pt>
                <c:pt idx="79">
                  <c:v>1.5134954758671818E+17</c:v>
                </c:pt>
                <c:pt idx="80">
                  <c:v>1.5263008883167965E+17</c:v>
                </c:pt>
                <c:pt idx="81">
                  <c:v>1.5392212530846902E+17</c:v>
                </c:pt>
                <c:pt idx="82">
                  <c:v>1.5522576597610672E+17</c:v>
                </c:pt>
                <c:pt idx="83">
                  <c:v>1.5654112087976301E+17</c:v>
                </c:pt>
                <c:pt idx="84">
                  <c:v>1.5786830116210778E+17</c:v>
                </c:pt>
                <c:pt idx="85">
                  <c:v>1.592074190747808E+17</c:v>
                </c:pt>
                <c:pt idx="86">
                  <c:v>1.6055858798998717E+17</c:v>
                </c:pt>
                <c:pt idx="87">
                  <c:v>1.6192192241222515E+17</c:v>
                </c:pt>
                <c:pt idx="88">
                  <c:v>1.6329753799013776E+17</c:v>
                </c:pt>
                <c:pt idx="89">
                  <c:v>1.6468555152849053E+17</c:v>
                </c:pt>
                <c:pt idx="90">
                  <c:v>1.660860810002895E+17</c:v>
                </c:pt>
                <c:pt idx="91">
                  <c:v>1.67499245559024E+17</c:v>
                </c:pt>
                <c:pt idx="92">
                  <c:v>1.6892516555104886E+17</c:v>
                </c:pt>
                <c:pt idx="93">
                  <c:v>1.7036396252809478E+17</c:v>
                </c:pt>
                <c:pt idx="94">
                  <c:v>1.7181575925992954E+17</c:v>
                </c:pt>
                <c:pt idx="95">
                  <c:v>1.7328067974713795E+17</c:v>
                </c:pt>
                <c:pt idx="96">
                  <c:v>1.7475884923406493E+17</c:v>
                </c:pt>
                <c:pt idx="97">
                  <c:v>1.7625039422188256E+17</c:v>
                </c:pt>
                <c:pt idx="98">
                  <c:v>1.7775544248180918E+17</c:v>
                </c:pt>
                <c:pt idx="99">
                  <c:v>1.7927412306847354E+17</c:v>
                </c:pt>
                <c:pt idx="100">
                  <c:v>1.8080656633341866E+17</c:v>
                </c:pt>
                <c:pt idx="101">
                  <c:v>1.8235290393877069E+17</c:v>
                </c:pt>
                <c:pt idx="102">
                  <c:v>1.8391326887103347E+17</c:v>
                </c:pt>
                <c:pt idx="103">
                  <c:v>1.8548779545506256E+17</c:v>
                </c:pt>
                <c:pt idx="104">
                  <c:v>1.8707661936816963E+17</c:v>
                </c:pt>
                <c:pt idx="105">
                  <c:v>1.8867987765439626E+17</c:v>
                </c:pt>
                <c:pt idx="106">
                  <c:v>1.9029770873894048E+17</c:v>
                </c:pt>
                <c:pt idx="107">
                  <c:v>1.9193025244274333E+17</c:v>
                </c:pt>
                <c:pt idx="108">
                  <c:v>1.9357764999723648E+17</c:v>
                </c:pt>
                <c:pt idx="109">
                  <c:v>1.9524004405924874E+17</c:v>
                </c:pt>
                <c:pt idx="110">
                  <c:v>1.9691757872608493E+17</c:v>
                </c:pt>
                <c:pt idx="111">
                  <c:v>1.9861039955076522E+17</c:v>
                </c:pt>
                <c:pt idx="112">
                  <c:v>2.003186535574336E+17</c:v>
                </c:pt>
                <c:pt idx="113">
                  <c:v>2.0204248925694006E+17</c:v>
                </c:pt>
                <c:pt idx="114">
                  <c:v>2.0378205666259213E+17</c:v>
                </c:pt>
                <c:pt idx="115">
                  <c:v>2.0553750730608381E+17</c:v>
                </c:pt>
                <c:pt idx="116">
                  <c:v>2.0730899425359206E+17</c:v>
                </c:pt>
                <c:pt idx="117">
                  <c:v>2.0909667212206624E+17</c:v>
                </c:pt>
                <c:pt idx="118">
                  <c:v>2.1090069709568947E+17</c:v>
                </c:pt>
                <c:pt idx="119">
                  <c:v>2.1272122694251661E+17</c:v>
                </c:pt>
                <c:pt idx="120">
                  <c:v>2.1455842103131466E+17</c:v>
                </c:pt>
                <c:pt idx="121">
                  <c:v>2.1641244034856448E+17</c:v>
                </c:pt>
                <c:pt idx="122">
                  <c:v>2.1828344751568013E+17</c:v>
                </c:pt>
                <c:pt idx="123">
                  <c:v>2.2017160680640016E+17</c:v>
                </c:pt>
                <c:pt idx="124">
                  <c:v>2.2207708416437299E+17</c:v>
                </c:pt>
                <c:pt idx="125">
                  <c:v>2.2400004722094922E+17</c:v>
                </c:pt>
                <c:pt idx="126">
                  <c:v>2.2594066531316096E+17</c:v>
                </c:pt>
                <c:pt idx="127">
                  <c:v>2.2789910950190422E+17</c:v>
                </c:pt>
                <c:pt idx="128">
                  <c:v>2.2987555259033024E+17</c:v>
                </c:pt>
                <c:pt idx="129">
                  <c:v>2.3187016914243235E+17</c:v>
                </c:pt>
                <c:pt idx="130">
                  <c:v>2.3388313550184451E+17</c:v>
                </c:pt>
                <c:pt idx="131">
                  <c:v>2.3591462981084813E+17</c:v>
                </c:pt>
                <c:pt idx="132">
                  <c:v>2.3796483202959562E+17</c:v>
                </c:pt>
                <c:pt idx="133">
                  <c:v>2.400339239555407E+17</c:v>
                </c:pt>
                <c:pt idx="134">
                  <c:v>2.4212208924309363E+17</c:v>
                </c:pt>
                <c:pt idx="135">
                  <c:v>2.442295134234911E+17</c:v>
                </c:pt>
                <c:pt idx="136">
                  <c:v>2.4635638392488339E+17</c:v>
                </c:pt>
                <c:pt idx="137">
                  <c:v>2.4850289009266093E+17</c:v>
                </c:pt>
                <c:pt idx="138">
                  <c:v>2.5066922320999728E+17</c:v>
                </c:pt>
                <c:pt idx="139">
                  <c:v>2.5285557651862086E+17</c:v>
                </c:pt>
                <c:pt idx="140">
                  <c:v>2.5506214523982557E+17</c:v>
                </c:pt>
                <c:pt idx="141">
                  <c:v>2.572891265957144E+17</c:v>
                </c:pt>
                <c:pt idx="142">
                  <c:v>2.59536719830676E+17</c:v>
                </c:pt>
                <c:pt idx="143">
                  <c:v>2.6180512623311501E+17</c:v>
                </c:pt>
                <c:pt idx="144">
                  <c:v>2.640945491574129E+17</c:v>
                </c:pt>
                <c:pt idx="145">
                  <c:v>2.664051940461377E+17</c:v>
                </c:pt>
                <c:pt idx="146">
                  <c:v>2.6873726845251786E+17</c:v>
                </c:pt>
                <c:pt idx="147">
                  <c:v>2.7109098206313818E+17</c:v>
                </c:pt>
                <c:pt idx="148">
                  <c:v>2.7346654672092554E+17</c:v>
                </c:pt>
                <c:pt idx="149">
                  <c:v>2.7586417644837197E+17</c:v>
                </c:pt>
                <c:pt idx="150">
                  <c:v>2.7828408747102061E+17</c:v>
                </c:pt>
                <c:pt idx="151">
                  <c:v>2.8072649824122611E+17</c:v>
                </c:pt>
                <c:pt idx="152">
                  <c:v>2.8319162946216493E+17</c:v>
                </c:pt>
                <c:pt idx="153">
                  <c:v>2.8567970411214154E+17</c:v>
                </c:pt>
                <c:pt idx="154">
                  <c:v>2.8819094746914522E+17</c:v>
                </c:pt>
                <c:pt idx="155">
                  <c:v>2.9072558713569126E+17</c:v>
                </c:pt>
                <c:pt idx="156">
                  <c:v>2.9328385306395334E+17</c:v>
                </c:pt>
                <c:pt idx="157">
                  <c:v>2.9586597758115802E+17</c:v>
                </c:pt>
                <c:pt idx="158">
                  <c:v>2.984721954152921E+17</c:v>
                </c:pt>
                <c:pt idx="159">
                  <c:v>3.0110274372107226E+17</c:v>
                </c:pt>
                <c:pt idx="160">
                  <c:v>3.0375786210623853E+17</c:v>
                </c:pt>
                <c:pt idx="161">
                  <c:v>3.0643779265811264E+17</c:v>
                </c:pt>
                <c:pt idx="162">
                  <c:v>3.0914277997048512E+17</c:v>
                </c:pt>
                <c:pt idx="163">
                  <c:v>3.1187307117079136E+17</c:v>
                </c:pt>
                <c:pt idx="164">
                  <c:v>3.1462891594759776E+17</c:v>
                </c:pt>
                <c:pt idx="165">
                  <c:v>3.1741056657840838E+17</c:v>
                </c:pt>
                <c:pt idx="166">
                  <c:v>3.2021827795776608E+17</c:v>
                </c:pt>
                <c:pt idx="167">
                  <c:v>3.2305230762569581E+17</c:v>
                </c:pt>
                <c:pt idx="168">
                  <c:v>3.2591291579645587E+17</c:v>
                </c:pt>
                <c:pt idx="169">
                  <c:v>3.2880036538762554E+17</c:v>
                </c:pt>
                <c:pt idx="170">
                  <c:v>3.3171492204950925E+17</c:v>
                </c:pt>
                <c:pt idx="171">
                  <c:v>3.3465685419488813E+17</c:v>
                </c:pt>
                <c:pt idx="172">
                  <c:v>3.376264330291056E+17</c:v>
                </c:pt>
                <c:pt idx="173">
                  <c:v>3.4062393258048806E+17</c:v>
                </c:pt>
                <c:pt idx="174">
                  <c:v>3.4364962973112787E+17</c:v>
                </c:pt>
                <c:pt idx="175">
                  <c:v>3.4670380424799597E+17</c:v>
                </c:pt>
                <c:pt idx="176">
                  <c:v>3.4978673881442989E+17</c:v>
                </c:pt>
                <c:pt idx="177">
                  <c:v>3.5289871906196365E+17</c:v>
                </c:pt>
                <c:pt idx="178">
                  <c:v>3.5604003360252602E+17</c:v>
                </c:pt>
                <c:pt idx="179">
                  <c:v>3.5921097406101466E+17</c:v>
                </c:pt>
                <c:pt idx="180">
                  <c:v>3.6241183510822848E+17</c:v>
                </c:pt>
                <c:pt idx="181">
                  <c:v>3.6564291449418496E+17</c:v>
                </c:pt>
                <c:pt idx="182">
                  <c:v>3.689045130818105E+17</c:v>
                </c:pt>
                <c:pt idx="183">
                  <c:v>3.7219693488102643E+17</c:v>
                </c:pt>
                <c:pt idx="184">
                  <c:v>3.7552048708321139E+17</c:v>
                </c:pt>
                <c:pt idx="185">
                  <c:v>3.7887548009607629E+17</c:v>
                </c:pt>
                <c:pt idx="186">
                  <c:v>3.82262227578912E+17</c:v>
                </c:pt>
                <c:pt idx="187">
                  <c:v>3.8568104647827232E+17</c:v>
                </c:pt>
                <c:pt idx="188">
                  <c:v>3.891322570640279E+17</c:v>
                </c:pt>
                <c:pt idx="189">
                  <c:v>3.9261618296587501E+17</c:v>
                </c:pt>
                <c:pt idx="190">
                  <c:v>3.9613315121023379E+17</c:v>
                </c:pt>
                <c:pt idx="191">
                  <c:v>3.9968349225757664E+17</c:v>
                </c:pt>
                <c:pt idx="192">
                  <c:v>4.0326754004018739E+17</c:v>
                </c:pt>
                <c:pt idx="193">
                  <c:v>4.0688563200035046E+17</c:v>
                </c:pt>
                <c:pt idx="194">
                  <c:v>4.1053810912898829E+17</c:v>
                </c:pt>
                <c:pt idx="195">
                  <c:v>4.1422531600473037E+17</c:v>
                </c:pt>
                <c:pt idx="196">
                  <c:v>4.1794760083343789E+17</c:v>
                </c:pt>
                <c:pt idx="197">
                  <c:v>4.2170531548818246E+17</c:v>
                </c:pt>
                <c:pt idx="198">
                  <c:v>4.2549881554968563E+17</c:v>
                </c:pt>
                <c:pt idx="199">
                  <c:v>4.2932846034721376E+17</c:v>
                </c:pt>
                <c:pt idx="200">
                  <c:v>4.3319461299996666E+17</c:v>
                </c:pt>
                <c:pt idx="201">
                  <c:v>4.370976404589207E+17</c:v>
                </c:pt>
                <c:pt idx="202">
                  <c:v>4.4103791354916698E+17</c:v>
                </c:pt>
                <c:pt idx="203">
                  <c:v>4.4501580701272864E+17</c:v>
                </c:pt>
                <c:pt idx="204">
                  <c:v>4.4903169955188518E+17</c:v>
                </c:pt>
                <c:pt idx="205">
                  <c:v>4.5308597387297696E+17</c:v>
                </c:pt>
                <c:pt idx="206">
                  <c:v>4.5717901673075181E+17</c:v>
                </c:pt>
                <c:pt idx="207">
                  <c:v>4.6131121897317261E+17</c:v>
                </c:pt>
                <c:pt idx="208">
                  <c:v>4.6548297558678765E+17</c:v>
                </c:pt>
                <c:pt idx="209">
                  <c:v>4.6969468574260019E+17</c:v>
                </c:pt>
                <c:pt idx="210">
                  <c:v>4.7394675284249517E+17</c:v>
                </c:pt>
                <c:pt idx="211">
                  <c:v>4.7823958456615693E+17</c:v>
                </c:pt>
                <c:pt idx="212">
                  <c:v>4.8257359291859443E+17</c:v>
                </c:pt>
                <c:pt idx="213">
                  <c:v>4.8694919427814554E+17</c:v>
                </c:pt>
                <c:pt idx="214">
                  <c:v>4.9136680944510656E+17</c:v>
                </c:pt>
                <c:pt idx="215">
                  <c:v>4.9582686369087462E+17</c:v>
                </c:pt>
                <c:pt idx="216">
                  <c:v>5.0032978680769158E+17</c:v>
                </c:pt>
                <c:pt idx="217">
                  <c:v>5.0487601315893626E+17</c:v>
                </c:pt>
                <c:pt idx="218">
                  <c:v>5.0946598173005274E+17</c:v>
                </c:pt>
                <c:pt idx="219">
                  <c:v>5.1410013617999347E+17</c:v>
                </c:pt>
                <c:pt idx="220">
                  <c:v>5.1877892489333414E+17</c:v>
                </c:pt>
                <c:pt idx="221">
                  <c:v>5.2350280103295366E+17</c:v>
                </c:pt>
                <c:pt idx="222">
                  <c:v>5.2827222259334291E+17</c:v>
                </c:pt>
                <c:pt idx="223">
                  <c:v>5.3308765245452672E+17</c:v>
                </c:pt>
                <c:pt idx="224">
                  <c:v>5.3794955843660224E+17</c:v>
                </c:pt>
                <c:pt idx="225">
                  <c:v>5.4285841335495501E+17</c:v>
                </c:pt>
                <c:pt idx="226">
                  <c:v>5.4781469507607328E+17</c:v>
                </c:pt>
                <c:pt idx="227">
                  <c:v>5.5281888657403642E+17</c:v>
                </c:pt>
                <c:pt idx="228">
                  <c:v>5.5787147598765101E+17</c:v>
                </c:pt>
                <c:pt idx="229">
                  <c:v>5.6297295667827808E+17</c:v>
                </c:pt>
                <c:pt idx="230">
                  <c:v>5.6812382728829562E+17</c:v>
                </c:pt>
                <c:pt idx="231">
                  <c:v>5.7332459180028928E+17</c:v>
                </c:pt>
                <c:pt idx="232">
                  <c:v>5.7857575959689882E+17</c:v>
                </c:pt>
                <c:pt idx="233">
                  <c:v>5.8387784552139264E+17</c:v>
                </c:pt>
                <c:pt idx="234">
                  <c:v>5.8923136993893184E+17</c:v>
                </c:pt>
                <c:pt idx="235">
                  <c:v>5.946368587985472E+17</c:v>
                </c:pt>
                <c:pt idx="236">
                  <c:v>6.0009484369587917E+17</c:v>
                </c:pt>
                <c:pt idx="237">
                  <c:v>6.056058619366089E+17</c:v>
                </c:pt>
                <c:pt idx="238">
                  <c:v>6.111704566006528E+17</c:v>
                </c:pt>
                <c:pt idx="239">
                  <c:v>6.1678917660712358E+17</c:v>
                </c:pt>
                <c:pt idx="240">
                  <c:v>6.2246257678002419E+17</c:v>
                </c:pt>
                <c:pt idx="241">
                  <c:v>6.281912179147392E+17</c:v>
                </c:pt>
                <c:pt idx="242">
                  <c:v>6.3397566684529408E+17</c:v>
                </c:pt>
                <c:pt idx="243">
                  <c:v>6.3981649651241037E+17</c:v>
                </c:pt>
                <c:pt idx="244">
                  <c:v>6.4571428603236928E+17</c:v>
                </c:pt>
                <c:pt idx="245">
                  <c:v>6.5166962076664614E+17</c:v>
                </c:pt>
                <c:pt idx="246">
                  <c:v>6.5768309239242278E+17</c:v>
                </c:pt>
                <c:pt idx="247">
                  <c:v>6.6375529897390848E+17</c:v>
                </c:pt>
                <c:pt idx="248">
                  <c:v>6.69886845034464E+17</c:v>
                </c:pt>
                <c:pt idx="249">
                  <c:v>6.7607834162963635E+17</c:v>
                </c:pt>
                <c:pt idx="250">
                  <c:v>6.823304064210039E+17</c:v>
                </c:pt>
                <c:pt idx="251">
                  <c:v>6.886436637509353E+17</c:v>
                </c:pt>
                <c:pt idx="252">
                  <c:v>6.9501874471820787E+17</c:v>
                </c:pt>
                <c:pt idx="253">
                  <c:v>7.0145628725449843E+17</c:v>
                </c:pt>
                <c:pt idx="254">
                  <c:v>7.0795693620183834E+17</c:v>
                </c:pt>
                <c:pt idx="255">
                  <c:v>7.145213433909248E+17</c:v>
                </c:pt>
                <c:pt idx="256">
                  <c:v>7.2115016772038259E+17</c:v>
                </c:pt>
                <c:pt idx="257">
                  <c:v>7.2784407523698074E+17</c:v>
                </c:pt>
                <c:pt idx="258">
                  <c:v>7.3460373921676109E+17</c:v>
                </c:pt>
                <c:pt idx="259">
                  <c:v>7.4142984024716198E+17</c:v>
                </c:pt>
                <c:pt idx="260">
                  <c:v>7.4832306631010214E+17</c:v>
                </c:pt>
                <c:pt idx="261">
                  <c:v>7.552841128660352E+17</c:v>
                </c:pt>
                <c:pt idx="262">
                  <c:v>7.623136829390391E+17</c:v>
                </c:pt>
                <c:pt idx="263">
                  <c:v>7.694124872028663E+17</c:v>
                </c:pt>
                <c:pt idx="264">
                  <c:v>7.7658124406807616E+17</c:v>
                </c:pt>
                <c:pt idx="265">
                  <c:v>7.8382067977013158E+17</c:v>
                </c:pt>
                <c:pt idx="266">
                  <c:v>7.9113152845860787E+17</c:v>
                </c:pt>
                <c:pt idx="267">
                  <c:v>7.9851453228740902E+17</c:v>
                </c:pt>
                <c:pt idx="268">
                  <c:v>8.0597044150612262E+17</c:v>
                </c:pt>
                <c:pt idx="269">
                  <c:v>8.1350001455237888E+17</c:v>
                </c:pt>
                <c:pt idx="270">
                  <c:v>8.2110401814537792E+17</c:v>
                </c:pt>
                <c:pt idx="271">
                  <c:v>8.2878322738050202E+17</c:v>
                </c:pt>
                <c:pt idx="272">
                  <c:v>8.3653842582506752E+17</c:v>
                </c:pt>
                <c:pt idx="273">
                  <c:v>8.4437040561519117E+17</c:v>
                </c:pt>
                <c:pt idx="274">
                  <c:v>8.5227996755386355E+17</c:v>
                </c:pt>
                <c:pt idx="275">
                  <c:v>8.6026792121014618E+17</c:v>
                </c:pt>
                <c:pt idx="276">
                  <c:v>8.6833508501955405E+17</c:v>
                </c:pt>
                <c:pt idx="277">
                  <c:v>8.7648228638569882E+17</c:v>
                </c:pt>
                <c:pt idx="278">
                  <c:v>8.8471036178306624E+17</c:v>
                </c:pt>
                <c:pt idx="279">
                  <c:v>8.9302015686106163E+17</c:v>
                </c:pt>
                <c:pt idx="280">
                  <c:v>9.0141252654932403E+17</c:v>
                </c:pt>
                <c:pt idx="281">
                  <c:v>9.0988833516424E+17</c:v>
                </c:pt>
                <c:pt idx="282">
                  <c:v>9.1844845651681498E+17</c:v>
                </c:pt>
                <c:pt idx="283">
                  <c:v>9.2709377402173466E+17</c:v>
                </c:pt>
                <c:pt idx="284">
                  <c:v>9.3582518080784512E+17</c:v>
                </c:pt>
                <c:pt idx="285">
                  <c:v>9.4464357982988595E+17</c:v>
                </c:pt>
                <c:pt idx="286">
                  <c:v>9.5354988398155853E+17</c:v>
                </c:pt>
                <c:pt idx="287">
                  <c:v>9.625450162100032E+17</c:v>
                </c:pt>
                <c:pt idx="288">
                  <c:v>9.7162990963163456E+17</c:v>
                </c:pt>
                <c:pt idx="289">
                  <c:v>9.8080550764933389E+17</c:v>
                </c:pt>
                <c:pt idx="290">
                  <c:v>9.9007276407109146E+17</c:v>
                </c:pt>
                <c:pt idx="291">
                  <c:v>9.9943264323006374E+17</c:v>
                </c:pt>
                <c:pt idx="292">
                  <c:v>1.0088861201060461E+18</c:v>
                </c:pt>
                <c:pt idx="293">
                  <c:v>1.0184341804484954E+18</c:v>
                </c:pt>
                <c:pt idx="294">
                  <c:v>1.0280778209009124E+18</c:v>
                </c:pt>
                <c:pt idx="295">
                  <c:v>1.0378180491268237E+18</c:v>
                </c:pt>
                <c:pt idx="296">
                  <c:v>1.0476558839372494E+18</c:v>
                </c:pt>
                <c:pt idx="297">
                  <c:v>1.0575923554196696E+18</c:v>
                </c:pt>
                <c:pt idx="298">
                  <c:v>1.0676285050686374E+18</c:v>
                </c:pt>
                <c:pt idx="299">
                  <c:v>1.0777653859178665E+18</c:v>
                </c:pt>
                <c:pt idx="300">
                  <c:v>1.0880040626740033E+18</c:v>
                </c:pt>
                <c:pt idx="301">
                  <c:v>1.0983456118519648E+18</c:v>
                </c:pt>
                <c:pt idx="302">
                  <c:v>1.1087911219118971E+18</c:v>
                </c:pt>
                <c:pt idx="303">
                  <c:v>1.1193416933978852E+18</c:v>
                </c:pt>
                <c:pt idx="304">
                  <c:v>1.1299984390782245E+18</c:v>
                </c:pt>
                <c:pt idx="305">
                  <c:v>1.1407624840874628E+18</c:v>
                </c:pt>
                <c:pt idx="306">
                  <c:v>1.1516349660701568E+18</c:v>
                </c:pt>
                <c:pt idx="307">
                  <c:v>1.162617035326345E+18</c:v>
                </c:pt>
                <c:pt idx="308">
                  <c:v>1.1737098549588216E+18</c:v>
                </c:pt>
                <c:pt idx="309">
                  <c:v>1.1849146010221455E+18</c:v>
                </c:pt>
                <c:pt idx="310">
                  <c:v>1.1962324626735442E+18</c:v>
                </c:pt>
                <c:pt idx="311">
                  <c:v>1.2076646423255393E+18</c:v>
                </c:pt>
                <c:pt idx="312">
                  <c:v>1.2192123558005248E+18</c:v>
                </c:pt>
                <c:pt idx="313">
                  <c:v>1.2308768324871946E+18</c:v>
                </c:pt>
                <c:pt idx="314">
                  <c:v>1.2426593154988255E+18</c:v>
                </c:pt>
                <c:pt idx="315">
                  <c:v>1.2545610618335808E+18</c:v>
                </c:pt>
                <c:pt idx="316">
                  <c:v>1.2665833425366533E+18</c:v>
                </c:pt>
                <c:pt idx="317">
                  <c:v>1.2787274428644874E+18</c:v>
                </c:pt>
                <c:pt idx="318">
                  <c:v>1.2909946624509647E+18</c:v>
                </c:pt>
                <c:pt idx="319">
                  <c:v>1.303386315475564E+18</c:v>
                </c:pt>
                <c:pt idx="320">
                  <c:v>1.3159037308336704E+18</c:v>
                </c:pt>
                <c:pt idx="321">
                  <c:v>1.3285482523089057E+18</c:v>
                </c:pt>
                <c:pt idx="322">
                  <c:v>1.3413212387475471E+18</c:v>
                </c:pt>
                <c:pt idx="323">
                  <c:v>1.3542240642351201E+18</c:v>
                </c:pt>
                <c:pt idx="324">
                  <c:v>1.3672581182751291E+18</c:v>
                </c:pt>
                <c:pt idx="325">
                  <c:v>1.3804248059699968E+18</c:v>
                </c:pt>
                <c:pt idx="326">
                  <c:v>1.3937255482041828E+18</c:v>
                </c:pt>
                <c:pt idx="327">
                  <c:v>1.4071617818295544E+18</c:v>
                </c:pt>
                <c:pt idx="328">
                  <c:v>1.4207349598530563E+18</c:v>
                </c:pt>
                <c:pt idx="329">
                  <c:v>1.4344465516266511E+18</c:v>
                </c:pt>
                <c:pt idx="330">
                  <c:v>1.4482980430395912E+18</c:v>
                </c:pt>
                <c:pt idx="331">
                  <c:v>1.4622909367130875E+18</c:v>
                </c:pt>
                <c:pt idx="332">
                  <c:v>1.4764267521972874E+18</c:v>
                </c:pt>
                <c:pt idx="333">
                  <c:v>1.4907070261707645E+18</c:v>
                </c:pt>
                <c:pt idx="334">
                  <c:v>1.5051333126423859E+18</c:v>
                </c:pt>
                <c:pt idx="335">
                  <c:v>1.5197071831557376E+18</c:v>
                </c:pt>
                <c:pt idx="336">
                  <c:v>1.5344302269959524E+18</c:v>
                </c:pt>
                <c:pt idx="337">
                  <c:v>1.5493040513992192E+18</c:v>
                </c:pt>
                <c:pt idx="338">
                  <c:v>1.5643302817647345E+18</c:v>
                </c:pt>
                <c:pt idx="339">
                  <c:v>1.579510561869399E+18</c:v>
                </c:pt>
                <c:pt idx="340">
                  <c:v>1.5948465540850427E+18</c:v>
                </c:pt>
                <c:pt idx="341">
                  <c:v>1.6103399395983956E+18</c:v>
                </c:pt>
                <c:pt idx="342">
                  <c:v>1.6259924186337516E+18</c:v>
                </c:pt>
                <c:pt idx="343">
                  <c:v>1.6418057106784023E+18</c:v>
                </c:pt>
                <c:pt idx="344">
                  <c:v>1.6577815547108073E+18</c:v>
                </c:pt>
                <c:pt idx="345">
                  <c:v>1.6739217094316201E+18</c:v>
                </c:pt>
                <c:pt idx="346">
                  <c:v>1.6902279534976028E+18</c:v>
                </c:pt>
                <c:pt idx="347">
                  <c:v>1.7067020857583191E+18</c:v>
                </c:pt>
                <c:pt idx="348">
                  <c:v>1.7233459254959032E+18</c:v>
                </c:pt>
                <c:pt idx="349">
                  <c:v>1.7401613126676262E+18</c:v>
                </c:pt>
                <c:pt idx="350">
                  <c:v>1.7571501081516984E+18</c:v>
                </c:pt>
                <c:pt idx="351">
                  <c:v>1.7743141939958472E+18</c:v>
                </c:pt>
                <c:pt idx="352">
                  <c:v>1.7916554736692134E+18</c:v>
                </c:pt>
                <c:pt idx="353">
                  <c:v>1.809175872317218E+18</c:v>
                </c:pt>
                <c:pt idx="354">
                  <c:v>1.8268773370196076E+18</c:v>
                </c:pt>
                <c:pt idx="355">
                  <c:v>1.8447618370518428E+18</c:v>
                </c:pt>
                <c:pt idx="356">
                  <c:v>1.8628313641495529E+18</c:v>
                </c:pt>
                <c:pt idx="357">
                  <c:v>1.8810879327763556E+18</c:v>
                </c:pt>
                <c:pt idx="358">
                  <c:v>1.8995335803950459E+18</c:v>
                </c:pt>
                <c:pt idx="359">
                  <c:v>1.9181703677420785E+18</c:v>
                </c:pt>
                <c:pt idx="360">
                  <c:v>1.937000379105534E+18</c:v>
                </c:pt>
                <c:pt idx="361">
                  <c:v>1.9560257226065065E+18</c:v>
                </c:pt>
                <c:pt idx="362">
                  <c:v>1.9752485304839818E+18</c:v>
                </c:pt>
                <c:pt idx="363">
                  <c:v>1.9946709593833628E+18</c:v>
                </c:pt>
                <c:pt idx="364">
                  <c:v>2.0142951906484424E+18</c:v>
                </c:pt>
                <c:pt idx="365">
                  <c:v>2.0341234306171697E+18</c:v>
                </c:pt>
                <c:pt idx="366">
                  <c:v>2.0541579109209864E+18</c:v>
                </c:pt>
                <c:pt idx="367">
                  <c:v>2.0744008887880113E+18</c:v>
                </c:pt>
                <c:pt idx="368">
                  <c:v>2.0948546473498854E+18</c:v>
                </c:pt>
                <c:pt idx="369">
                  <c:v>2.1155214959525829E+18</c:v>
                </c:pt>
                <c:pt idx="370">
                  <c:v>2.1364037704710246E+18</c:v>
                </c:pt>
                <c:pt idx="371">
                  <c:v>2.1575038336276536E+18</c:v>
                </c:pt>
                <c:pt idx="372">
                  <c:v>2.1788240753150188E+18</c:v>
                </c:pt>
                <c:pt idx="373">
                  <c:v>2.200366912922399E+18</c:v>
                </c:pt>
                <c:pt idx="374">
                  <c:v>2.2221347916664248E+18</c:v>
                </c:pt>
                <c:pt idx="375">
                  <c:v>2.2441301849260047E+18</c:v>
                </c:pt>
                <c:pt idx="376">
                  <c:v>2.2663555945813435E+18</c:v>
                </c:pt>
                <c:pt idx="377">
                  <c:v>2.2888135513572436E+18</c:v>
                </c:pt>
                <c:pt idx="378">
                  <c:v>2.3115066151707566E+18</c:v>
                </c:pt>
                <c:pt idx="379">
                  <c:v>2.3344373754830817E+18</c:v>
                </c:pt>
                <c:pt idx="380">
                  <c:v>2.3576084516560404E+18</c:v>
                </c:pt>
                <c:pt idx="381">
                  <c:v>2.3810224933129641E+18</c:v>
                </c:pt>
                <c:pt idx="382">
                  <c:v>2.4046821807040947E+18</c:v>
                </c:pt>
                <c:pt idx="383">
                  <c:v>2.4285902250766474E+18</c:v>
                </c:pt>
                <c:pt idx="384">
                  <c:v>2.4527493690494879E+18</c:v>
                </c:pt>
                <c:pt idx="385">
                  <c:v>2.4771623869924931E+18</c:v>
                </c:pt>
                <c:pt idx="386">
                  <c:v>2.5018320854108534E+18</c:v>
                </c:pt>
                <c:pt idx="387">
                  <c:v>2.5267613033340467E+18</c:v>
                </c:pt>
                <c:pt idx="388">
                  <c:v>2.5519529127097743E+18</c:v>
                </c:pt>
                <c:pt idx="389">
                  <c:v>2.5774098188029993E+18</c:v>
                </c:pt>
                <c:pt idx="390">
                  <c:v>2.6031349605997312E+18</c:v>
                </c:pt>
                <c:pt idx="391">
                  <c:v>2.6291313112163026E+18</c:v>
                </c:pt>
                <c:pt idx="392">
                  <c:v>2.6554018783134505E+18</c:v>
                </c:pt>
                <c:pt idx="393">
                  <c:v>2.6819497045159183E+18</c:v>
                </c:pt>
                <c:pt idx="394">
                  <c:v>2.7087778678371768E+18</c:v>
                </c:pt>
                <c:pt idx="395">
                  <c:v>2.7358894821096627E+18</c:v>
                </c:pt>
                <c:pt idx="396">
                  <c:v>2.7632876974203694E+18</c:v>
                </c:pt>
                <c:pt idx="397">
                  <c:v>2.79097570055198E+18</c:v>
                </c:pt>
                <c:pt idx="398">
                  <c:v>2.8189567154297329E+18</c:v>
                </c:pt>
                <c:pt idx="399">
                  <c:v>2.8472340035736837E+18</c:v>
                </c:pt>
                <c:pt idx="400">
                  <c:v>2.8758108645569254E+18</c:v>
                </c:pt>
                <c:pt idx="401">
                  <c:v>2.9046906364696305E+18</c:v>
                </c:pt>
                <c:pt idx="402">
                  <c:v>2.9338766963888686E+18</c:v>
                </c:pt>
                <c:pt idx="403">
                  <c:v>2.9633724608544655E+18</c:v>
                </c:pt>
                <c:pt idx="404">
                  <c:v>2.9931813863509258E+18</c:v>
                </c:pt>
                <c:pt idx="405">
                  <c:v>3.023306969795457E+18</c:v>
                </c:pt>
                <c:pt idx="406">
                  <c:v>3.0537527490322703E+18</c:v>
                </c:pt>
                <c:pt idx="407">
                  <c:v>3.0845223033330483E+18</c:v>
                </c:pt>
                <c:pt idx="408">
                  <c:v>3.1156192539039887E+18</c:v>
                </c:pt>
                <c:pt idx="409">
                  <c:v>3.1470472643991419E+18</c:v>
                </c:pt>
                <c:pt idx="410">
                  <c:v>3.1788100414403855E+18</c:v>
                </c:pt>
                <c:pt idx="411">
                  <c:v>3.2109113351439498E+18</c:v>
                </c:pt>
                <c:pt idx="412">
                  <c:v>3.2433549396538895E+18</c:v>
                </c:pt>
                <c:pt idx="413">
                  <c:v>3.2761446936820649E+18</c:v>
                </c:pt>
                <c:pt idx="414">
                  <c:v>3.3092844810552202E+18</c:v>
                </c:pt>
                <c:pt idx="415">
                  <c:v>3.3427782312691215E+18</c:v>
                </c:pt>
                <c:pt idx="416">
                  <c:v>3.3766299200494935E+18</c:v>
                </c:pt>
                <c:pt idx="417">
                  <c:v>3.4108435699205499E+18</c:v>
                </c:pt>
                <c:pt idx="418">
                  <c:v>3.4454232507804237E+18</c:v>
                </c:pt>
                <c:pt idx="419">
                  <c:v>3.4803730804842368E+18</c:v>
                </c:pt>
                <c:pt idx="420">
                  <c:v>3.5156972254345298E+18</c:v>
                </c:pt>
                <c:pt idx="421">
                  <c:v>3.5513999011792886E+18</c:v>
                </c:pt>
                <c:pt idx="422">
                  <c:v>3.5874853730176E+18</c:v>
                </c:pt>
                <c:pt idx="423">
                  <c:v>3.6239579566132675E+18</c:v>
                </c:pt>
                <c:pt idx="424">
                  <c:v>3.6608220186160225E+18</c:v>
                </c:pt>
                <c:pt idx="425">
                  <c:v>3.6980819772910182E+18</c:v>
                </c:pt>
                <c:pt idx="426">
                  <c:v>3.7357423031561764E+18</c:v>
                </c:pt>
                <c:pt idx="427">
                  <c:v>3.7738075196279808E+18</c:v>
                </c:pt>
                <c:pt idx="428">
                  <c:v>3.8122822036753203E+18</c:v>
                </c:pt>
                <c:pt idx="429">
                  <c:v>3.8511709864819103E+18</c:v>
                </c:pt>
                <c:pt idx="430">
                  <c:v>3.8904785541173996E+18</c:v>
                </c:pt>
                <c:pt idx="431">
                  <c:v>3.9302096482166574E+18</c:v>
                </c:pt>
                <c:pt idx="432">
                  <c:v>3.9703690666684088E+18</c:v>
                </c:pt>
                <c:pt idx="433">
                  <c:v>4.0109616643123686E+18</c:v>
                </c:pt>
                <c:pt idx="434">
                  <c:v>4.0519923536455009E+18</c:v>
                </c:pt>
                <c:pt idx="435">
                  <c:v>4.0934661055374469E+18</c:v>
                </c:pt>
                <c:pt idx="436">
                  <c:v>4.1353879499549865E+18</c:v>
                </c:pt>
                <c:pt idx="437">
                  <c:v>4.1777629766962975E+18</c:v>
                </c:pt>
                <c:pt idx="438">
                  <c:v>4.2205963361342858E+18</c:v>
                </c:pt>
                <c:pt idx="439">
                  <c:v>4.2638932399697741E+18</c:v>
                </c:pt>
                <c:pt idx="440">
                  <c:v>4.3076589619943578E+18</c:v>
                </c:pt>
                <c:pt idx="441">
                  <c:v>4.3518988388632417E+18</c:v>
                </c:pt>
                <c:pt idx="442">
                  <c:v>4.3966182708779791E+18</c:v>
                </c:pt>
                <c:pt idx="443">
                  <c:v>4.4418227227794565E+18</c:v>
                </c:pt>
                <c:pt idx="444">
                  <c:v>4.4875177245511404E+18</c:v>
                </c:pt>
                <c:pt idx="445">
                  <c:v>4.533708872232766E+18</c:v>
                </c:pt>
                <c:pt idx="446">
                  <c:v>4.5804018287446195E+18</c:v>
                </c:pt>
                <c:pt idx="447">
                  <c:v>4.6276023247224494E+18</c:v>
                </c:pt>
                <c:pt idx="448">
                  <c:v>4.675316159363371E+18</c:v>
                </c:pt>
                <c:pt idx="449">
                  <c:v>4.7235492012827003E+18</c:v>
                </c:pt>
                <c:pt idx="450">
                  <c:v>4.7723073893818675E+18</c:v>
                </c:pt>
                <c:pt idx="451">
                  <c:v>4.8215967337279181E+18</c:v>
                </c:pt>
                <c:pt idx="452">
                  <c:v>4.8714233164440883E+18</c:v>
                </c:pt>
                <c:pt idx="453">
                  <c:v>4.9217932926122947E+18</c:v>
                </c:pt>
                <c:pt idx="454">
                  <c:v>4.9727128911873659E+18</c:v>
                </c:pt>
                <c:pt idx="455">
                  <c:v>5.0241884159229297E+18</c:v>
                </c:pt>
                <c:pt idx="456">
                  <c:v>5.076226246309932E+18</c:v>
                </c:pt>
                <c:pt idx="457">
                  <c:v>5.1288328385267272E+18</c:v>
                </c:pt>
                <c:pt idx="458">
                  <c:v>5.1820147264022508E+18</c:v>
                </c:pt>
                <c:pt idx="459">
                  <c:v>5.2357785223913912E+18</c:v>
                </c:pt>
                <c:pt idx="460">
                  <c:v>5.2901309185632348E+18</c:v>
                </c:pt>
                <c:pt idx="461">
                  <c:v>5.3450786876022866E+18</c:v>
                </c:pt>
                <c:pt idx="462">
                  <c:v>5.4006286838227374E+18</c:v>
                </c:pt>
                <c:pt idx="463">
                  <c:v>5.4567878441960305E+18</c:v>
                </c:pt>
                <c:pt idx="464">
                  <c:v>5.5135631893921608E+18</c:v>
                </c:pt>
                <c:pt idx="465">
                  <c:v>5.5709618248341504E+18</c:v>
                </c:pt>
                <c:pt idx="466">
                  <c:v>5.6289909417667441E+18</c:v>
                </c:pt>
                <c:pt idx="467">
                  <c:v>5.6876578183390331E+18</c:v>
                </c:pt>
                <c:pt idx="468">
                  <c:v>5.7469698207013417E+18</c:v>
                </c:pt>
                <c:pt idx="469">
                  <c:v>5.8069344041165025E+18</c:v>
                </c:pt>
                <c:pt idx="470">
                  <c:v>5.8675591140856207E+18</c:v>
                </c:pt>
                <c:pt idx="471">
                  <c:v>5.9288515874890322E+18</c:v>
                </c:pt>
                <c:pt idx="472">
                  <c:v>5.9908195537417892E+18</c:v>
                </c:pt>
                <c:pt idx="473">
                  <c:v>6.0534708359647355E+18</c:v>
                </c:pt>
                <c:pt idx="474">
                  <c:v>6.1168133521709128E+18</c:v>
                </c:pt>
                <c:pt idx="475">
                  <c:v>6.1808551164677222E+18</c:v>
                </c:pt>
                <c:pt idx="476">
                  <c:v>6.2456042402745405E+18</c:v>
                </c:pt>
                <c:pt idx="477">
                  <c:v>6.3110689335570391E+18</c:v>
                </c:pt>
                <c:pt idx="478">
                  <c:v>6.3772575060771226E+18</c:v>
                </c:pt>
                <c:pt idx="479">
                  <c:v>6.444178368660095E+18</c:v>
                </c:pt>
                <c:pt idx="480">
                  <c:v>6.5118400344781332E+18</c:v>
                </c:pt>
                <c:pt idx="481">
                  <c:v>6.5802511203505531E+18</c:v>
                </c:pt>
                <c:pt idx="482">
                  <c:v>6.6494203480620698E+18</c:v>
                </c:pt>
                <c:pt idx="483">
                  <c:v>6.7193565456974572E+18</c:v>
                </c:pt>
                <c:pt idx="484">
                  <c:v>6.7900686489949051E+18</c:v>
                </c:pt>
                <c:pt idx="485">
                  <c:v>6.8615657027167283E+18</c:v>
                </c:pt>
                <c:pt idx="486">
                  <c:v>6.9338568620382321E+18</c:v>
                </c:pt>
                <c:pt idx="487">
                  <c:v>7.0069513939554642E+18</c:v>
                </c:pt>
                <c:pt idx="488">
                  <c:v>7.080858678710953E+18</c:v>
                </c:pt>
                <c:pt idx="489">
                  <c:v>7.1555882112393492E+18</c:v>
                </c:pt>
                <c:pt idx="490">
                  <c:v>7.2311496026311608E+18</c:v>
                </c:pt>
                <c:pt idx="491">
                  <c:v>7.307552581616981E+18</c:v>
                </c:pt>
                <c:pt idx="492">
                  <c:v>7.3848069960707348E+18</c:v>
                </c:pt>
                <c:pt idx="493">
                  <c:v>7.462922814533204E+18</c:v>
                </c:pt>
                <c:pt idx="494">
                  <c:v>7.5419101277561549E+18</c:v>
                </c:pt>
                <c:pt idx="495">
                  <c:v>7.6217791502663598E+18</c:v>
                </c:pt>
                <c:pt idx="496">
                  <c:v>7.7025402219510436E+18</c:v>
                </c:pt>
                <c:pt idx="497">
                  <c:v>7.7842038096642335E+18</c:v>
                </c:pt>
                <c:pt idx="498">
                  <c:v>7.8667805088545751E+18</c:v>
                </c:pt>
                <c:pt idx="499">
                  <c:v>7.950281045215019E+18</c:v>
                </c:pt>
                <c:pt idx="500">
                  <c:v>8.0347162763543675E+18</c:v>
                </c:pt>
                <c:pt idx="501">
                  <c:v>8.120097193491114E+18</c:v>
                </c:pt>
                <c:pt idx="502">
                  <c:v>8.2064349231703265E+18</c:v>
                </c:pt>
                <c:pt idx="503">
                  <c:v>8.2937407290030643E+18</c:v>
                </c:pt>
                <c:pt idx="504">
                  <c:v>8.3820260134289889E+18</c:v>
                </c:pt>
                <c:pt idx="505">
                  <c:v>8.4713023195035607E+18</c:v>
                </c:pt>
                <c:pt idx="506">
                  <c:v>8.5615813327076844E+18</c:v>
                </c:pt>
                <c:pt idx="507">
                  <c:v>8.6528748827829975E+18</c:v>
                </c:pt>
                <c:pt idx="508">
                  <c:v>8.7451949455908854E+18</c:v>
                </c:pt>
                <c:pt idx="509">
                  <c:v>8.8385536449968046E+18</c:v>
                </c:pt>
                <c:pt idx="510">
                  <c:v>8.9329632547799071E+18</c:v>
                </c:pt>
                <c:pt idx="511">
                  <c:v>9.0284362005683405E+18</c:v>
                </c:pt>
                <c:pt idx="512">
                  <c:v>9.1249850618003681E+18</c:v>
                </c:pt>
                <c:pt idx="513">
                  <c:v>9.222622573712044E+18</c:v>
                </c:pt>
                <c:pt idx="514">
                  <c:v>9.3213616293517292E+18</c:v>
                </c:pt>
                <c:pt idx="515">
                  <c:v>9.4212152816214508E+18</c:v>
                </c:pt>
                <c:pt idx="516">
                  <c:v>9.5221967453459661E+18</c:v>
                </c:pt>
                <c:pt idx="517">
                  <c:v>9.6243193993696481E+18</c:v>
                </c:pt>
                <c:pt idx="518">
                  <c:v>9.7275967886817157E+18</c:v>
                </c:pt>
                <c:pt idx="519">
                  <c:v>9.8320426265699983E+18</c:v>
                </c:pt>
                <c:pt idx="520">
                  <c:v>9.9376707968038564E+18</c:v>
                </c:pt>
                <c:pt idx="521">
                  <c:v>1.0044495355846769E+19</c:v>
                </c:pt>
                <c:pt idx="522">
                  <c:v>1.0152530535098509E+19</c:v>
                </c:pt>
                <c:pt idx="523">
                  <c:v>1.0261790743167668E+19</c:v>
                </c:pt>
                <c:pt idx="524">
                  <c:v>1.0372290568175157E+19</c:v>
                </c:pt>
                <c:pt idx="525">
                  <c:v>1.0484044780088881E+19</c:v>
                </c:pt>
                <c:pt idx="526">
                  <c:v>1.0597068333089518E+19</c:v>
                </c:pt>
                <c:pt idx="527">
                  <c:v>1.0711376367969155E+19</c:v>
                </c:pt>
                <c:pt idx="528">
                  <c:v>1.08269842145618E+19</c:v>
                </c:pt>
                <c:pt idx="529">
                  <c:v>1.0943907394207111E+19</c:v>
                </c:pt>
                <c:pt idx="530">
                  <c:v>1.1062161622247444E+19</c:v>
                </c:pt>
                <c:pt idx="531">
                  <c:v>1.1181762810558941E+19</c:v>
                </c:pt>
                <c:pt idx="532">
                  <c:v>1.1302727070117171E+19</c:v>
                </c:pt>
                <c:pt idx="533">
                  <c:v>1.1425070713597069E+19</c:v>
                </c:pt>
                <c:pt idx="534">
                  <c:v>1.1548810258008891E+19</c:v>
                </c:pt>
                <c:pt idx="535">
                  <c:v>1.1673962427369372E+19</c:v>
                </c:pt>
                <c:pt idx="536">
                  <c:v>1.1800544155409734E+19</c:v>
                </c:pt>
                <c:pt idx="537">
                  <c:v>1.1928572588320754E+19</c:v>
                </c:pt>
                <c:pt idx="538">
                  <c:v>1.2058065087534561E+19</c:v>
                </c:pt>
                <c:pt idx="539">
                  <c:v>1.2189039232544797E+19</c:v>
                </c:pt>
                <c:pt idx="540">
                  <c:v>1.2321512823764967E+19</c:v>
                </c:pt>
                <c:pt idx="541">
                  <c:v>1.245550388542668E+19</c:v>
                </c:pt>
                <c:pt idx="542">
                  <c:v>1.2591030668515903E+19</c:v>
                </c:pt>
                <c:pt idx="543">
                  <c:v>1.2728111653751171E+19</c:v>
                </c:pt>
                <c:pt idx="544">
                  <c:v>1.2866765554600651E+19</c:v>
                </c:pt>
                <c:pt idx="545">
                  <c:v>1.3007011320341893E+19</c:v>
                </c:pt>
                <c:pt idx="546">
                  <c:v>1.3148868139162907E+19</c:v>
                </c:pt>
                <c:pt idx="547">
                  <c:v>1.3292355441305637E+19</c:v>
                </c:pt>
                <c:pt idx="548">
                  <c:v>1.3437492902252739E+19</c:v>
                </c:pt>
                <c:pt idx="549">
                  <c:v>1.3584300445957771E+19</c:v>
                </c:pt>
                <c:pt idx="550">
                  <c:v>1.3732798248119493E+19</c:v>
                </c:pt>
                <c:pt idx="551">
                  <c:v>1.3883006739502012E+19</c:v>
                </c:pt>
                <c:pt idx="552">
                  <c:v>1.4034946609299515E+19</c:v>
                </c:pt>
                <c:pt idx="553">
                  <c:v>1.4188638808547723E+19</c:v>
                </c:pt>
                <c:pt idx="554">
                  <c:v>1.4344104553581881E+19</c:v>
                </c:pt>
                <c:pt idx="555">
                  <c:v>1.450136532954266E+19</c:v>
                </c:pt>
                <c:pt idx="556">
                  <c:v>1.4660442893930207E+19</c:v>
                </c:pt>
                <c:pt idx="557">
                  <c:v>1.4821359280206805E+19</c:v>
                </c:pt>
                <c:pt idx="558">
                  <c:v>1.498413680144974E+19</c:v>
                </c:pt>
                <c:pt idx="559">
                  <c:v>1.5148798054053603E+19</c:v>
                </c:pt>
                <c:pt idx="560">
                  <c:v>1.5315365921484841E+19</c:v>
                </c:pt>
                <c:pt idx="561">
                  <c:v>1.5483863578086648E+19</c:v>
                </c:pt>
                <c:pt idx="562">
                  <c:v>1.5654314492937509E+19</c:v>
                </c:pt>
                <c:pt idx="563">
                  <c:v>1.5826742433763054E+19</c:v>
                </c:pt>
                <c:pt idx="564">
                  <c:v>1.6001171470900605E+19</c:v>
                </c:pt>
                <c:pt idx="565">
                  <c:v>1.6177625981320442E+19</c:v>
                </c:pt>
                <c:pt idx="566">
                  <c:v>1.6356130652700717E+19</c:v>
                </c:pt>
                <c:pt idx="567">
                  <c:v>1.6536710487560516E+19</c:v>
                </c:pt>
                <c:pt idx="568">
                  <c:v>1.671939080744893E+19</c:v>
                </c:pt>
                <c:pt idx="569">
                  <c:v>1.6904197257192901E+19</c:v>
                </c:pt>
                <c:pt idx="570">
                  <c:v>1.7091155809203081E+19</c:v>
                </c:pt>
                <c:pt idx="571">
                  <c:v>1.7280292767840088E+19</c:v>
                </c:pt>
                <c:pt idx="572">
                  <c:v>1.7471634773841754E+19</c:v>
                </c:pt>
                <c:pt idx="573">
                  <c:v>1.7665208808810316E+19</c:v>
                </c:pt>
                <c:pt idx="574">
                  <c:v>1.7861042199763421E+19</c:v>
                </c:pt>
                <c:pt idx="575">
                  <c:v>1.8059162623747867E+19</c:v>
                </c:pt>
                <c:pt idx="576">
                  <c:v>1.8259598112516592E+19</c:v>
                </c:pt>
                <c:pt idx="577">
                  <c:v>1.8462377057272521E+19</c:v>
                </c:pt>
                <c:pt idx="578">
                  <c:v>1.8667528213476999E+19</c:v>
                </c:pt>
                <c:pt idx="579">
                  <c:v>1.88750807057256E+19</c:v>
                </c:pt>
                <c:pt idx="580">
                  <c:v>1.908506403269195E+19</c:v>
                </c:pt>
                <c:pt idx="581">
                  <c:v>1.9297508072140378E+19</c:v>
                </c:pt>
                <c:pt idx="582">
                  <c:v>1.9512443086008439E+19</c:v>
                </c:pt>
                <c:pt idx="583">
                  <c:v>1.9729899725560648E+19</c:v>
                </c:pt>
                <c:pt idx="584">
                  <c:v>1.9949909036613628E+19</c:v>
                </c:pt>
                <c:pt idx="585">
                  <c:v>2.0172502464835199E+19</c:v>
                </c:pt>
                <c:pt idx="586">
                  <c:v>2.0397711861115728E+19</c:v>
                </c:pt>
                <c:pt idx="587">
                  <c:v>2.0625569487016829E+19</c:v>
                </c:pt>
                <c:pt idx="588">
                  <c:v>2.0856108020295025E+19</c:v>
                </c:pt>
                <c:pt idx="589">
                  <c:v>2.1089360560502469E+19</c:v>
                </c:pt>
                <c:pt idx="590">
                  <c:v>2.1325360634666775E+19</c:v>
                </c:pt>
                <c:pt idx="591">
                  <c:v>2.1564142203050967E+19</c:v>
                </c:pt>
                <c:pt idx="592">
                  <c:v>2.1805739664991883E+19</c:v>
                </c:pt>
                <c:pt idx="593">
                  <c:v>2.2050187864823845E+19</c:v>
                </c:pt>
                <c:pt idx="594">
                  <c:v>2.2297522097882382E+19</c:v>
                </c:pt>
                <c:pt idx="595">
                  <c:v>2.2547778116594332E+19</c:v>
                </c:pt>
                <c:pt idx="596">
                  <c:v>2.2800992136652354E+19</c:v>
                </c:pt>
                <c:pt idx="597">
                  <c:v>2.3057200843276775E+19</c:v>
                </c:pt>
                <c:pt idx="598">
                  <c:v>2.3316441397565465E+19</c:v>
                </c:pt>
                <c:pt idx="599">
                  <c:v>2.3578751442932802E+19</c:v>
                </c:pt>
                <c:pt idx="600">
                  <c:v>2.3844169111640097E+19</c:v>
                </c:pt>
                <c:pt idx="601">
                  <c:v>2.4112733031416521E+19</c:v>
                </c:pt>
                <c:pt idx="602">
                  <c:v>2.4384482332174905E+19</c:v>
                </c:pt>
                <c:pt idx="603">
                  <c:v>2.4659456652821529E+19</c:v>
                </c:pt>
                <c:pt idx="604">
                  <c:v>2.493769614816204E+19</c:v>
                </c:pt>
                <c:pt idx="605">
                  <c:v>2.5219241495904702E+19</c:v>
                </c:pt>
                <c:pt idx="606">
                  <c:v>2.5504133903763616E+19</c:v>
                </c:pt>
                <c:pt idx="607">
                  <c:v>2.5792415116660179E+19</c:v>
                </c:pt>
                <c:pt idx="608">
                  <c:v>2.608412742402911E+19</c:v>
                </c:pt>
                <c:pt idx="609">
                  <c:v>2.6379313667225686E+19</c:v>
                </c:pt>
                <c:pt idx="610">
                  <c:v>2.6678017247038693E+19</c:v>
                </c:pt>
                <c:pt idx="611">
                  <c:v>2.6980282131310039E+19</c:v>
                </c:pt>
                <c:pt idx="612">
                  <c:v>2.7286152862661337E+19</c:v>
                </c:pt>
                <c:pt idx="613">
                  <c:v>2.7595674566331863E+19</c:v>
                </c:pt>
                <c:pt idx="614">
                  <c:v>2.790889295812549E+19</c:v>
                </c:pt>
                <c:pt idx="615">
                  <c:v>2.8225854352472035E+19</c:v>
                </c:pt>
                <c:pt idx="616">
                  <c:v>2.8546605670602895E+19</c:v>
                </c:pt>
                <c:pt idx="617">
                  <c:v>2.8871194448841429E+19</c:v>
                </c:pt>
                <c:pt idx="618">
                  <c:v>2.9199668847013659E+19</c:v>
                </c:pt>
                <c:pt idx="619">
                  <c:v>2.953207765697638E+19</c:v>
                </c:pt>
                <c:pt idx="620">
                  <c:v>2.9868470311267815E+19</c:v>
                </c:pt>
                <c:pt idx="621">
                  <c:v>3.0208896891881349E+19</c:v>
                </c:pt>
                <c:pt idx="622">
                  <c:v>3.0553408139163972E+19</c:v>
                </c:pt>
                <c:pt idx="623">
                  <c:v>3.0902055460840964E+19</c:v>
                </c:pt>
                <c:pt idx="624">
                  <c:v>3.1254890941171925E+19</c:v>
                </c:pt>
                <c:pt idx="625">
                  <c:v>3.1611967350233498E+19</c:v>
                </c:pt>
                <c:pt idx="626">
                  <c:v>3.1973338153337946E+19</c:v>
                </c:pt>
                <c:pt idx="627">
                  <c:v>3.2339057520584983E+19</c:v>
                </c:pt>
                <c:pt idx="628">
                  <c:v>3.2709180336549642E+19</c:v>
                </c:pt>
                <c:pt idx="629">
                  <c:v>3.3083762210109649E+19</c:v>
                </c:pt>
                <c:pt idx="630">
                  <c:v>3.3462859484413612E+19</c:v>
                </c:pt>
                <c:pt idx="631">
                  <c:v>3.3846529246989877E+19</c:v>
                </c:pt>
                <c:pt idx="632">
                  <c:v>3.4234829340003664E+19</c:v>
                </c:pt>
                <c:pt idx="633">
                  <c:v>3.4627818370657223E+19</c:v>
                </c:pt>
                <c:pt idx="634">
                  <c:v>3.5025555721742459E+19</c:v>
                </c:pt>
                <c:pt idx="635">
                  <c:v>3.5428101562343526E+19</c:v>
                </c:pt>
                <c:pt idx="636">
                  <c:v>3.5835516858692334E+19</c:v>
                </c:pt>
                <c:pt idx="637">
                  <c:v>3.6247863385182192E+19</c:v>
                </c:pt>
                <c:pt idx="638">
                  <c:v>3.666520373553673E+19</c:v>
                </c:pt>
                <c:pt idx="639">
                  <c:v>3.7087601334142755E+19</c:v>
                </c:pt>
                <c:pt idx="640">
                  <c:v>3.7515120447542706E+19</c:v>
                </c:pt>
                <c:pt idx="641">
                  <c:v>3.7947826196096328E+19</c:v>
                </c:pt>
                <c:pt idx="642">
                  <c:v>3.8385784565806793E+19</c:v>
                </c:pt>
                <c:pt idx="643">
                  <c:v>3.882906242031797E+19</c:v>
                </c:pt>
                <c:pt idx="644">
                  <c:v>3.9277727513087779E+19</c:v>
                </c:pt>
                <c:pt idx="645">
                  <c:v>3.9731848499733553E+19</c:v>
                </c:pt>
                <c:pt idx="646">
                  <c:v>4.0191494950556082E+19</c:v>
                </c:pt>
                <c:pt idx="647">
                  <c:v>4.0656737363246301E+19</c:v>
                </c:pt>
                <c:pt idx="648">
                  <c:v>4.1127647175774355E+19</c:v>
                </c:pt>
                <c:pt idx="649">
                  <c:v>4.1604296779464745E+19</c:v>
                </c:pt>
                <c:pt idx="650">
                  <c:v>4.2086759532261843E+19</c:v>
                </c:pt>
                <c:pt idx="651">
                  <c:v>4.2575109772185788E+19</c:v>
                </c:pt>
                <c:pt idx="652">
                  <c:v>4.3069422830984241E+19</c:v>
                </c:pt>
                <c:pt idx="653">
                  <c:v>4.3569775047983088E+19</c:v>
                </c:pt>
                <c:pt idx="654">
                  <c:v>4.4076243784133353E+19</c:v>
                </c:pt>
                <c:pt idx="655">
                  <c:v>4.4588907436268954E+19</c:v>
                </c:pt>
                <c:pt idx="656">
                  <c:v>4.5107845451565146E+19</c:v>
                </c:pt>
                <c:pt idx="657">
                  <c:v>4.5633138342209733E+19</c:v>
                </c:pt>
                <c:pt idx="658">
                  <c:v>4.6164867700287054E+19</c:v>
                </c:pt>
                <c:pt idx="659">
                  <c:v>4.670311621287841E+19</c:v>
                </c:pt>
                <c:pt idx="660">
                  <c:v>4.7247967677381067E+19</c:v>
                </c:pt>
                <c:pt idx="661">
                  <c:v>4.7799507017052815E+19</c:v>
                </c:pt>
                <c:pt idx="662">
                  <c:v>4.8357820296779203E+19</c:v>
                </c:pt>
                <c:pt idx="663">
                  <c:v>4.8922994739073212E+19</c:v>
                </c:pt>
                <c:pt idx="664">
                  <c:v>4.9495118740306248E+19</c:v>
                </c:pt>
                <c:pt idx="665">
                  <c:v>5.0074281887179506E+19</c:v>
                </c:pt>
                <c:pt idx="666">
                  <c:v>5.0660574973429285E+19</c:v>
                </c:pt>
                <c:pt idx="667">
                  <c:v>5.1254090016783221E+19</c:v>
                </c:pt>
                <c:pt idx="668">
                  <c:v>5.1854920276159283E+19</c:v>
                </c:pt>
                <c:pt idx="669">
                  <c:v>5.2463160269116457E+19</c:v>
                </c:pt>
                <c:pt idx="670">
                  <c:v>5.3078905789565297E+19</c:v>
                </c:pt>
                <c:pt idx="671">
                  <c:v>5.3702253925731525E+19</c:v>
                </c:pt>
                <c:pt idx="672">
                  <c:v>5.4333303078385713E+19</c:v>
                </c:pt>
                <c:pt idx="673">
                  <c:v>5.4972152979341337E+19</c:v>
                </c:pt>
                <c:pt idx="674">
                  <c:v>5.5618904710218359E+19</c:v>
                </c:pt>
                <c:pt idx="675">
                  <c:v>5.6273660721490674E+19</c:v>
                </c:pt>
                <c:pt idx="676">
                  <c:v>5.6936524851803824E+19</c:v>
                </c:pt>
                <c:pt idx="677">
                  <c:v>5.7607602347583537E+19</c:v>
                </c:pt>
                <c:pt idx="678">
                  <c:v>5.8286999882926998E+19</c:v>
                </c:pt>
                <c:pt idx="679">
                  <c:v>5.897482557979086E+19</c:v>
                </c:pt>
                <c:pt idx="680">
                  <c:v>5.9671189028470833E+19</c:v>
                </c:pt>
                <c:pt idx="681">
                  <c:v>6.0376201308389106E+19</c:v>
                </c:pt>
                <c:pt idx="682">
                  <c:v>6.1089975009182802E+19</c:v>
                </c:pt>
                <c:pt idx="683">
                  <c:v>6.1812624252103852E+19</c:v>
                </c:pt>
                <c:pt idx="684">
                  <c:v>6.2544264711736287E+19</c:v>
                </c:pt>
                <c:pt idx="685">
                  <c:v>6.3285013638030762E+19</c:v>
                </c:pt>
                <c:pt idx="686">
                  <c:v>6.403498987866674E+19</c:v>
                </c:pt>
                <c:pt idx="687">
                  <c:v>6.4794313901743366E+19</c:v>
                </c:pt>
                <c:pt idx="688">
                  <c:v>6.5563107818806436E+19</c:v>
                </c:pt>
                <c:pt idx="689">
                  <c:v>6.6341495408214213E+19</c:v>
                </c:pt>
                <c:pt idx="690">
                  <c:v>6.7129602138848641E+19</c:v>
                </c:pt>
                <c:pt idx="691">
                  <c:v>6.7927555194179625E+19</c:v>
                </c:pt>
                <c:pt idx="692">
                  <c:v>6.8735483496684225E+19</c:v>
                </c:pt>
                <c:pt idx="693">
                  <c:v>6.9553517732624933E+19</c:v>
                </c:pt>
                <c:pt idx="694">
                  <c:v>7.0381790377200402E+19</c:v>
                </c:pt>
                <c:pt idx="695">
                  <c:v>7.1220435720062255E+19</c:v>
                </c:pt>
                <c:pt idx="696">
                  <c:v>7.2069589891217736E+19</c:v>
                </c:pt>
                <c:pt idx="697">
                  <c:v>7.2929390887310926E+19</c:v>
                </c:pt>
                <c:pt idx="698">
                  <c:v>7.3799978598298616E+19</c:v>
                </c:pt>
                <c:pt idx="699">
                  <c:v>7.4681494834518049E+19</c:v>
                </c:pt>
                <c:pt idx="700">
                  <c:v>7.557408335415953E+19</c:v>
                </c:pt>
                <c:pt idx="701">
                  <c:v>7.6477889891149283E+19</c:v>
                </c:pt>
                <c:pt idx="702">
                  <c:v>7.7393062183445758E+19</c:v>
                </c:pt>
                <c:pt idx="703">
                  <c:v>7.8319750001753424E+19</c:v>
                </c:pt>
                <c:pt idx="704">
                  <c:v>7.9258105178673021E+19</c:v>
                </c:pt>
                <c:pt idx="705">
                  <c:v>8.0208281638276694E+19</c:v>
                </c:pt>
                <c:pt idx="706">
                  <c:v>8.1170435426132804E+19</c:v>
                </c:pt>
                <c:pt idx="707">
                  <c:v>8.2144724739771826E+19</c:v>
                </c:pt>
                <c:pt idx="708">
                  <c:v>8.3131309959612629E+19</c:v>
                </c:pt>
                <c:pt idx="709">
                  <c:v>8.4130353680346907E+19</c:v>
                </c:pt>
                <c:pt idx="710">
                  <c:v>8.5142020742794346E+19</c:v>
                </c:pt>
                <c:pt idx="711">
                  <c:v>8.6166478266234388E+19</c:v>
                </c:pt>
                <c:pt idx="712">
                  <c:v>8.7203895681222984E+19</c:v>
                </c:pt>
                <c:pt idx="713">
                  <c:v>8.8254444762895794E+19</c:v>
                </c:pt>
                <c:pt idx="714">
                  <c:v>8.9318299664779018E+19</c:v>
                </c:pt>
                <c:pt idx="715">
                  <c:v>9.0395636953096487E+19</c:v>
                </c:pt>
                <c:pt idx="716">
                  <c:v>9.1486635641600524E+19</c:v>
                </c:pt>
                <c:pt idx="717">
                  <c:v>9.2591477226919412E+19</c:v>
                </c:pt>
                <c:pt idx="718">
                  <c:v>9.3710345724439937E+19</c:v>
                </c:pt>
                <c:pt idx="719">
                  <c:v>9.4843427704725078E+19</c:v>
                </c:pt>
                <c:pt idx="720">
                  <c:v>9.5990912330481779E+19</c:v>
                </c:pt>
                <c:pt idx="721">
                  <c:v>9.7152991394083488E+19</c:v>
                </c:pt>
                <c:pt idx="722">
                  <c:v>9.8329859355657716E+19</c:v>
                </c:pt>
                <c:pt idx="723">
                  <c:v>9.9521713381747327E+19</c:v>
                </c:pt>
                <c:pt idx="724">
                  <c:v>1.0072875338455563E+20</c:v>
                </c:pt>
                <c:pt idx="725">
                  <c:v>1.0195118206177791E+20</c:v>
                </c:pt>
                <c:pt idx="726">
                  <c:v>1.0318920493703818E+20</c:v>
                </c:pt>
                <c:pt idx="727">
                  <c:v>1.0444303040093726E+20</c:v>
                </c:pt>
                <c:pt idx="728">
                  <c:v>1.057128697527181E+20</c:v>
                </c:pt>
                <c:pt idx="729">
                  <c:v>1.0699893724255733E+20</c:v>
                </c:pt>
                <c:pt idx="730">
                  <c:v>1.0830145011450411E+20</c:v>
                </c:pt>
                <c:pt idx="731">
                  <c:v>1.0962062865006055E+20</c:v>
                </c:pt>
                <c:pt idx="732">
                  <c:v>1.1095669621242795E+20</c:v>
                </c:pt>
                <c:pt idx="733">
                  <c:v>1.123098792914171E+20</c:v>
                </c:pt>
                <c:pt idx="734">
                  <c:v>1.1368040754904272E+20</c:v>
                </c:pt>
                <c:pt idx="735">
                  <c:v>1.1506851386580892E+20</c:v>
                </c:pt>
                <c:pt idx="736">
                  <c:v>1.1647443438769511E+20</c:v>
                </c:pt>
                <c:pt idx="737">
                  <c:v>1.1789840857385501E+20</c:v>
                </c:pt>
                <c:pt idx="738">
                  <c:v>1.1934067924504116E+20</c:v>
                </c:pt>
                <c:pt idx="739">
                  <c:v>1.2080149263276288E+20</c:v>
                </c:pt>
                <c:pt idx="740">
                  <c:v>1.2228109842919632E+20</c:v>
                </c:pt>
                <c:pt idx="741">
                  <c:v>1.2377974983784607E+20</c:v>
                </c:pt>
                <c:pt idx="742">
                  <c:v>1.2529770362498158E+20</c:v>
                </c:pt>
                <c:pt idx="743">
                  <c:v>1.2683522017186152E+20</c:v>
                </c:pt>
                <c:pt idx="744">
                  <c:v>1.2839256352774195E+20</c:v>
                </c:pt>
                <c:pt idx="745">
                  <c:v>1.2997000146370878E+20</c:v>
                </c:pt>
                <c:pt idx="746">
                  <c:v>1.3156780552731199E+20</c:v>
                </c:pt>
                <c:pt idx="747">
                  <c:v>1.3318625109804823E+20</c:v>
                </c:pt>
                <c:pt idx="748">
                  <c:v>1.3482561744368791E+20</c:v>
                </c:pt>
                <c:pt idx="749">
                  <c:v>1.364861877774579E+20</c:v>
                </c:pt>
                <c:pt idx="750">
                  <c:v>1.3816824931610031E+20</c:v>
                </c:pt>
                <c:pt idx="751">
                  <c:v>1.3987209333882293E+20</c:v>
                </c:pt>
                <c:pt idx="752">
                  <c:v>1.4159801524714298E+20</c:v>
                </c:pt>
                <c:pt idx="753">
                  <c:v>1.4334631462566098E+20</c:v>
                </c:pt>
                <c:pt idx="754">
                  <c:v>1.4511729530375171E+20</c:v>
                </c:pt>
                <c:pt idx="755">
                  <c:v>1.4691126541820771E+20</c:v>
                </c:pt>
                <c:pt idx="756">
                  <c:v>1.4872853747684465E+20</c:v>
                </c:pt>
                <c:pt idx="757">
                  <c:v>1.5056942842307546E+20</c:v>
                </c:pt>
                <c:pt idx="758">
                  <c:v>1.5243425970148737E+20</c:v>
                </c:pt>
                <c:pt idx="759">
                  <c:v>1.5432335732441488E+20</c:v>
                </c:pt>
                <c:pt idx="760">
                  <c:v>1.5623705193954545E+20</c:v>
                </c:pt>
                <c:pt idx="761">
                  <c:v>1.5817567889855781E+20</c:v>
                </c:pt>
                <c:pt idx="762">
                  <c:v>1.6013957832681583E+20</c:v>
                </c:pt>
                <c:pt idx="763">
                  <c:v>1.6212909519414824E+20</c:v>
                </c:pt>
                <c:pt idx="764">
                  <c:v>1.6414457938670174E+20</c:v>
                </c:pt>
                <c:pt idx="765">
                  <c:v>1.6618638577991175E+20</c:v>
                </c:pt>
                <c:pt idx="766">
                  <c:v>1.6825487431260032E+20</c:v>
                </c:pt>
                <c:pt idx="767">
                  <c:v>1.7035041006220254E+20</c:v>
                </c:pt>
                <c:pt idx="768">
                  <c:v>1.7247336332118032E+20</c:v>
                </c:pt>
                <c:pt idx="769">
                  <c:v>1.7462410967458968E+20</c:v>
                </c:pt>
                <c:pt idx="770">
                  <c:v>1.7680303007886439E+20</c:v>
                </c:pt>
                <c:pt idx="771">
                  <c:v>1.790105109418156E+20</c:v>
                </c:pt>
                <c:pt idx="772">
                  <c:v>1.8124694420386205E+20</c:v>
                </c:pt>
                <c:pt idx="773">
                  <c:v>1.835127274205204E+20</c:v>
                </c:pt>
                <c:pt idx="774">
                  <c:v>1.8580826384618786E+20</c:v>
                </c:pt>
                <c:pt idx="775">
                  <c:v>1.8813396251919899E+20</c:v>
                </c:pt>
                <c:pt idx="776">
                  <c:v>1.904902383482226E+20</c:v>
                </c:pt>
                <c:pt idx="777">
                  <c:v>1.9287751219999054E+20</c:v>
                </c:pt>
                <c:pt idx="778">
                  <c:v>1.9529621098838393E+20</c:v>
                </c:pt>
                <c:pt idx="779">
                  <c:v>1.9774676776491542E+20</c:v>
                </c:pt>
                <c:pt idx="780">
                  <c:v>2.0022962181061162E+20</c:v>
                </c:pt>
                <c:pt idx="781">
                  <c:v>2.0274521872932258E+20</c:v>
                </c:pt>
                <c:pt idx="782">
                  <c:v>2.0529401054248891E+20</c:v>
                </c:pt>
                <c:pt idx="783">
                  <c:v>2.0787645578537586E+20</c:v>
                </c:pt>
                <c:pt idx="784">
                  <c:v>2.1049301960481856E+20</c:v>
                </c:pt>
                <c:pt idx="785">
                  <c:v>2.1314417385848373E+20</c:v>
                </c:pt>
                <c:pt idx="786">
                  <c:v>2.1583039721567987E+20</c:v>
                </c:pt>
                <c:pt idx="787">
                  <c:v>2.1855217525974512E+20</c:v>
                </c:pt>
                <c:pt idx="788">
                  <c:v>2.2131000059202349E+20</c:v>
                </c:pt>
                <c:pt idx="789">
                  <c:v>2.2410437293748276E+20</c:v>
                </c:pt>
                <c:pt idx="790">
                  <c:v>2.2693579925197255E+20</c:v>
                </c:pt>
                <c:pt idx="791">
                  <c:v>2.2980479383115265E+20</c:v>
                </c:pt>
                <c:pt idx="792">
                  <c:v>2.3271187842114807E+20</c:v>
                </c:pt>
                <c:pt idx="793">
                  <c:v>2.3565758233091657E+20</c:v>
                </c:pt>
                <c:pt idx="794">
                  <c:v>2.3864244254638496E+20</c:v>
                </c:pt>
                <c:pt idx="795">
                  <c:v>2.4166700384638134E+20</c:v>
                </c:pt>
                <c:pt idx="796">
                  <c:v>2.4473181892037303E+20</c:v>
                </c:pt>
                <c:pt idx="797">
                  <c:v>2.4783744848806229E+20</c:v>
                </c:pt>
                <c:pt idx="798">
                  <c:v>2.5098446142085192E+20</c:v>
                </c:pt>
                <c:pt idx="799">
                  <c:v>2.5417343486523562E+20</c:v>
                </c:pt>
                <c:pt idx="800">
                  <c:v>2.5740495436810299E+20</c:v>
                </c:pt>
                <c:pt idx="801">
                  <c:v>2.6067961400404725E+20</c:v>
                </c:pt>
                <c:pt idx="802">
                  <c:v>2.6399801650464342E+20</c:v>
                </c:pt>
                <c:pt idx="803">
                  <c:v>2.6736077338979625E+20</c:v>
                </c:pt>
                <c:pt idx="804">
                  <c:v>2.7076850510112463E+20</c:v>
                </c:pt>
                <c:pt idx="805">
                  <c:v>2.7422184113747909E+20</c:v>
                </c:pt>
                <c:pt idx="806">
                  <c:v>2.7772142019257827E+20</c:v>
                </c:pt>
                <c:pt idx="807">
                  <c:v>2.8126789029482447E+20</c:v>
                </c:pt>
                <c:pt idx="808">
                  <c:v>2.8486190894933318E+20</c:v>
                </c:pt>
                <c:pt idx="809">
                  <c:v>2.8850414328218524E+20</c:v>
                </c:pt>
                <c:pt idx="810">
                  <c:v>2.9219527018700046E+20</c:v>
                </c:pt>
                <c:pt idx="811">
                  <c:v>2.9593597647378619E+20</c:v>
                </c:pt>
                <c:pt idx="812">
                  <c:v>2.9972695902017022E+20</c:v>
                </c:pt>
                <c:pt idx="813">
                  <c:v>3.035689249250282E+20</c:v>
                </c:pt>
                <c:pt idx="814">
                  <c:v>3.07462591664522E+20</c:v>
                </c:pt>
                <c:pt idx="815">
                  <c:v>3.1140868725064722E+20</c:v>
                </c:pt>
                <c:pt idx="816">
                  <c:v>3.1540795039227268E+20</c:v>
                </c:pt>
                <c:pt idx="817">
                  <c:v>3.1946113065874332E+20</c:v>
                </c:pt>
                <c:pt idx="818">
                  <c:v>3.2356898864607992E+20</c:v>
                </c:pt>
                <c:pt idx="819">
                  <c:v>3.2773229614582668E+20</c:v>
                </c:pt>
                <c:pt idx="820">
                  <c:v>3.3195183631658084E+20</c:v>
                </c:pt>
                <c:pt idx="821">
                  <c:v>3.362284038582466E+20</c:v>
                </c:pt>
                <c:pt idx="822">
                  <c:v>3.4056280518907481E+20</c:v>
                </c:pt>
                <c:pt idx="823">
                  <c:v>3.449558586255126E+20</c:v>
                </c:pt>
                <c:pt idx="824">
                  <c:v>3.4940839456492618E+20</c:v>
                </c:pt>
                <c:pt idx="825">
                  <c:v>3.5392125567123351E+20</c:v>
                </c:pt>
                <c:pt idx="826">
                  <c:v>3.5849529706350707E+20</c:v>
                </c:pt>
                <c:pt idx="827">
                  <c:v>3.6313138650758054E+20</c:v>
                </c:pt>
                <c:pt idx="828">
                  <c:v>3.6783040461071968E+20</c:v>
                </c:pt>
                <c:pt idx="829">
                  <c:v>3.7259324501940542E+20</c:v>
                </c:pt>
                <c:pt idx="830">
                  <c:v>3.7742081462028003E+20</c:v>
                </c:pt>
                <c:pt idx="831">
                  <c:v>3.8231403374431856E+20</c:v>
                </c:pt>
                <c:pt idx="832">
                  <c:v>3.8727383637424479E+20</c:v>
                </c:pt>
                <c:pt idx="833">
                  <c:v>3.9230117035530938E+20</c:v>
                </c:pt>
                <c:pt idx="834">
                  <c:v>3.9739699760940889E+20</c:v>
                </c:pt>
                <c:pt idx="835">
                  <c:v>4.0256229435265312E+20</c:v>
                </c:pt>
                <c:pt idx="836">
                  <c:v>4.0779805131645315E+20</c:v>
                </c:pt>
                <c:pt idx="837">
                  <c:v>4.1310527397211282E+20</c:v>
                </c:pt>
                <c:pt idx="838">
                  <c:v>4.1848498275905044E+20</c:v>
                </c:pt>
                <c:pt idx="839">
                  <c:v>4.2393821331671836E+20</c:v>
                </c:pt>
                <c:pt idx="840">
                  <c:v>4.2946601672018716E+20</c:v>
                </c:pt>
                <c:pt idx="841">
                  <c:v>4.3506945971959851E+20</c:v>
                </c:pt>
                <c:pt idx="842">
                  <c:v>4.4074962498341326E+20</c:v>
                </c:pt>
                <c:pt idx="843">
                  <c:v>4.4650761134562627E+20</c:v>
                </c:pt>
                <c:pt idx="844">
                  <c:v>4.5234453405693103E+20</c:v>
                </c:pt>
                <c:pt idx="845">
                  <c:v>4.5826152503994817E+20</c:v>
                </c:pt>
                <c:pt idx="846">
                  <c:v>4.6425973314860437E+20</c:v>
                </c:pt>
                <c:pt idx="847">
                  <c:v>4.7034032443164931E+20</c:v>
                </c:pt>
                <c:pt idx="848">
                  <c:v>4.7650448240047063E+20</c:v>
                </c:pt>
                <c:pt idx="849">
                  <c:v>4.8275340830123465E+20</c:v>
                </c:pt>
                <c:pt idx="850">
                  <c:v>4.8908832139140275E+20</c:v>
                </c:pt>
                <c:pt idx="851">
                  <c:v>4.9551045922076629E+20</c:v>
                </c:pt>
                <c:pt idx="852">
                  <c:v>5.0202107791701049E+20</c:v>
                </c:pt>
                <c:pt idx="853">
                  <c:v>5.0862145247590803E+20</c:v>
                </c:pt>
                <c:pt idx="854">
                  <c:v>5.1531287705622138E+20</c:v>
                </c:pt>
                <c:pt idx="855">
                  <c:v>5.2209666527939566E+20</c:v>
                </c:pt>
                <c:pt idx="856">
                  <c:v>5.2897415053412257E+20</c:v>
                </c:pt>
                <c:pt idx="857">
                  <c:v>5.3594668628582498E+20</c:v>
                </c:pt>
                <c:pt idx="858">
                  <c:v>5.4301564639122339E+20</c:v>
                </c:pt>
                <c:pt idx="859">
                  <c:v>5.5018242541796596E+20</c:v>
                </c:pt>
                <c:pt idx="860">
                  <c:v>5.5744843896948274E+20</c:v>
                </c:pt>
                <c:pt idx="861">
                  <c:v>5.6481512401515525E+20</c:v>
                </c:pt>
                <c:pt idx="862">
                  <c:v>5.7228393922581843E+20</c:v>
                </c:pt>
                <c:pt idx="863">
                  <c:v>5.7985636531477211E+20</c:v>
                </c:pt>
                <c:pt idx="864">
                  <c:v>5.8753390538434544E+20</c:v>
                </c:pt>
                <c:pt idx="865">
                  <c:v>5.9531808527809642E+20</c:v>
                </c:pt>
                <c:pt idx="866">
                  <c:v>6.0321045393878942E+20</c:v>
                </c:pt>
                <c:pt idx="867">
                  <c:v>6.1121258377223537E+20</c:v>
                </c:pt>
                <c:pt idx="868">
                  <c:v>6.1932607101703225E+20</c:v>
                </c:pt>
                <c:pt idx="869">
                  <c:v>6.2755253612040408E+20</c:v>
                </c:pt>
                <c:pt idx="870">
                  <c:v>6.3589362412016973E+20</c:v>
                </c:pt>
                <c:pt idx="871">
                  <c:v>6.4435100503296626E+20</c:v>
                </c:pt>
                <c:pt idx="872">
                  <c:v>6.5292637424885498E+20</c:v>
                </c:pt>
                <c:pt idx="873">
                  <c:v>6.6162145293237617E+20</c:v>
                </c:pt>
                <c:pt idx="874">
                  <c:v>6.704379884302028E+20</c:v>
                </c:pt>
                <c:pt idx="875">
                  <c:v>6.7937775468547487E+20</c:v>
                </c:pt>
                <c:pt idx="876">
                  <c:v>6.8844255265894433E+20</c:v>
                </c:pt>
                <c:pt idx="877">
                  <c:v>6.9763421075705784E+20</c:v>
                </c:pt>
                <c:pt idx="878">
                  <c:v>7.0695458526705235E+20</c:v>
                </c:pt>
                <c:pt idx="879">
                  <c:v>7.1640556079923475E+20</c:v>
                </c:pt>
                <c:pt idx="880">
                  <c:v>7.2598905073654117E+20</c:v>
                </c:pt>
                <c:pt idx="881">
                  <c:v>7.3570699769148749E+20</c:v>
                </c:pt>
                <c:pt idx="882">
                  <c:v>7.4556137397067448E+20</c:v>
                </c:pt>
                <c:pt idx="883">
                  <c:v>7.5555418204696098E+20</c:v>
                </c:pt>
                <c:pt idx="884">
                  <c:v>7.6568745503938367E+20</c:v>
                </c:pt>
                <c:pt idx="885">
                  <c:v>7.7596325720107214E+20</c:v>
                </c:pt>
                <c:pt idx="886">
                  <c:v>7.8638368441515128E+20</c:v>
                </c:pt>
                <c:pt idx="887">
                  <c:v>7.9695086469892551E+20</c:v>
                </c:pt>
                <c:pt idx="888">
                  <c:v>8.0766695871635076E+20</c:v>
                </c:pt>
                <c:pt idx="889">
                  <c:v>8.1853416029897766E+20</c:v>
                </c:pt>
                <c:pt idx="890">
                  <c:v>8.2955469697558092E+20</c:v>
                </c:pt>
                <c:pt idx="891">
                  <c:v>8.4073083051052119E+20</c:v>
                </c:pt>
                <c:pt idx="892">
                  <c:v>8.5206485745104742E+20</c:v>
                </c:pt>
                <c:pt idx="893">
                  <c:v>8.635591096836792E+20</c:v>
                </c:pt>
                <c:pt idx="894">
                  <c:v>8.7521595499985948E+20</c:v>
                </c:pt>
                <c:pt idx="895">
                  <c:v>8.8703779767092314E+20</c:v>
                </c:pt>
                <c:pt idx="896">
                  <c:v>8.9902707903273684E+20</c:v>
                </c:pt>
                <c:pt idx="897">
                  <c:v>9.1118627807994184E+20</c:v>
                </c:pt>
                <c:pt idx="898">
                  <c:v>9.2351791207019643E+20</c:v>
                </c:pt>
                <c:pt idx="899">
                  <c:v>9.3602453713840859E+20</c:v>
                </c:pt>
                <c:pt idx="900">
                  <c:v>9.4870874892122404E+20</c:v>
                </c:pt>
                <c:pt idx="901">
                  <c:v>9.6157318319194466E+20</c:v>
                </c:pt>
                <c:pt idx="902">
                  <c:v>9.7462051650599164E+20</c:v>
                </c:pt>
                <c:pt idx="903">
                  <c:v>9.8785346685721169E+20</c:v>
                </c:pt>
                <c:pt idx="904">
                  <c:v>1.0012747943450748E+21</c:v>
                </c:pt>
                <c:pt idx="905">
                  <c:v>1.0148873018530795E+21</c:v>
                </c:pt>
                <c:pt idx="906">
                  <c:v>1.0286938357384508E+21</c:v>
                </c:pt>
                <c:pt idx="907">
                  <c:v>1.0426972865333991E+21</c:v>
                </c:pt>
                <c:pt idx="908">
                  <c:v>1.0569005896581791E+21</c:v>
                </c:pt>
                <c:pt idx="909">
                  <c:v>1.071306726145953E+21</c:v>
                </c:pt>
                <c:pt idx="910">
                  <c:v>1.085918723379966E+21</c:v>
                </c:pt>
                <c:pt idx="911">
                  <c:v>1.1007396558429736E+21</c:v>
                </c:pt>
                <c:pt idx="912">
                  <c:v>1.1157726458792359E+21</c:v>
                </c:pt>
                <c:pt idx="913">
                  <c:v>1.1310208644694308E+21</c:v>
                </c:pt>
                <c:pt idx="914">
                  <c:v>1.1464875320184628E+21</c:v>
                </c:pt>
                <c:pt idx="915">
                  <c:v>1.1621759191565455E+21</c:v>
                </c:pt>
                <c:pt idx="916">
                  <c:v>1.1780893475538074E+21</c:v>
                </c:pt>
                <c:pt idx="917">
                  <c:v>1.1942311907485284E+21</c:v>
                </c:pt>
                <c:pt idx="918">
                  <c:v>1.2106048749894036E+21</c:v>
                </c:pt>
                <c:pt idx="919">
                  <c:v>1.2272138800919562E+21</c:v>
                </c:pt>
                <c:pt idx="920">
                  <c:v>1.2440617403093995E+21</c:v>
                </c:pt>
                <c:pt idx="921">
                  <c:v>1.2611520452181717E+21</c:v>
                </c:pt>
                <c:pt idx="922">
                  <c:v>1.2784884406184958E+21</c:v>
                </c:pt>
                <c:pt idx="923">
                  <c:v>1.2960746294500073E+21</c:v>
                </c:pt>
                <c:pt idx="924">
                  <c:v>1.3139143727230131E+21</c:v>
                </c:pt>
                <c:pt idx="925">
                  <c:v>1.3320114904654055E+21</c:v>
                </c:pt>
                <c:pt idx="926">
                  <c:v>1.3503698626856372E+21</c:v>
                </c:pt>
                <c:pt idx="927">
                  <c:v>1.3689934303519645E+21</c:v>
                </c:pt>
                <c:pt idx="928">
                  <c:v>1.3878861963883153E+21</c:v>
                </c:pt>
                <c:pt idx="929">
                  <c:v>1.4070522266870208E+21</c:v>
                </c:pt>
                <c:pt idx="930">
                  <c:v>1.4264956511387567E+21</c:v>
                </c:pt>
                <c:pt idx="931">
                  <c:v>1.4462206646799004E+21</c:v>
                </c:pt>
                <c:pt idx="932">
                  <c:v>1.466231528357748E+21</c:v>
                </c:pt>
                <c:pt idx="933">
                  <c:v>1.486532570413738E+21</c:v>
                </c:pt>
                <c:pt idx="934">
                  <c:v>1.5071281873852375E+21</c:v>
                </c:pt>
                <c:pt idx="935">
                  <c:v>1.5280228452258944E+21</c:v>
                </c:pt>
                <c:pt idx="936">
                  <c:v>1.549221080445242E+21</c:v>
                </c:pt>
                <c:pt idx="937">
                  <c:v>1.5707275012675409E+21</c:v>
                </c:pt>
                <c:pt idx="938">
                  <c:v>1.5925467888105022E+21</c:v>
                </c:pt>
                <c:pt idx="939">
                  <c:v>1.6146836982840332E+21</c:v>
                </c:pt>
                <c:pt idx="940">
                  <c:v>1.6371430602095196E+21</c:v>
                </c:pt>
                <c:pt idx="941">
                  <c:v>1.6599297816598062E+21</c:v>
                </c:pt>
                <c:pt idx="942">
                  <c:v>1.683048847520494E+21</c:v>
                </c:pt>
                <c:pt idx="943">
                  <c:v>1.7065053217726755E+21</c:v>
                </c:pt>
                <c:pt idx="944">
                  <c:v>1.7303043487976842E+21</c:v>
                </c:pt>
                <c:pt idx="945">
                  <c:v>1.754451154704198E+21</c:v>
                </c:pt>
                <c:pt idx="946">
                  <c:v>1.7789510486779712E+21</c:v>
                </c:pt>
                <c:pt idx="947">
                  <c:v>1.8038094243548205E+21</c:v>
                </c:pt>
                <c:pt idx="948">
                  <c:v>1.8290317612169434E+21</c:v>
                </c:pt>
                <c:pt idx="949">
                  <c:v>1.8546236260135296E+21</c:v>
                </c:pt>
                <c:pt idx="950">
                  <c:v>1.8805906742053954E+21</c:v>
                </c:pt>
                <c:pt idx="951">
                  <c:v>1.9069386514346769E+21</c:v>
                </c:pt>
                <c:pt idx="952">
                  <c:v>1.9336733950196798E+21</c:v>
                </c:pt>
                <c:pt idx="953">
                  <c:v>1.9608008354754629E+21</c:v>
                </c:pt>
                <c:pt idx="954">
                  <c:v>1.988326998060555E+21</c:v>
                </c:pt>
                <c:pt idx="955">
                  <c:v>2.0162580043503777E+21</c:v>
                </c:pt>
                <c:pt idx="956">
                  <c:v>2.0446000738376729E+21</c:v>
                </c:pt>
                <c:pt idx="957">
                  <c:v>2.073359525560634E+21</c:v>
                </c:pt>
                <c:pt idx="958">
                  <c:v>2.1025427797590215E+21</c:v>
                </c:pt>
                <c:pt idx="959">
                  <c:v>2.1321563595588276E+21</c:v>
                </c:pt>
                <c:pt idx="960">
                  <c:v>2.1622068926862902E+21</c:v>
                </c:pt>
                <c:pt idx="961">
                  <c:v>3.0597630876826919E+21</c:v>
                </c:pt>
                <c:pt idx="962">
                  <c:v>4.3546570752589389E+21</c:v>
                </c:pt>
                <c:pt idx="963">
                  <c:v>6.2338621586134752E+21</c:v>
                </c:pt>
                <c:pt idx="964">
                  <c:v>8.9776160226109177E+21</c:v>
                </c:pt>
                <c:pt idx="965">
                  <c:v>1.3008616618229454E+22</c:v>
                </c:pt>
                <c:pt idx="966">
                  <c:v>1.8968603065616255E+22</c:v>
                </c:pt>
                <c:pt idx="967">
                  <c:v>2.783837893566661E+22</c:v>
                </c:pt>
                <c:pt idx="968">
                  <c:v>4.1127236988257945E+22</c:v>
                </c:pt>
                <c:pt idx="969">
                  <c:v>6.1174058254015748E+22</c:v>
                </c:pt>
                <c:pt idx="970">
                  <c:v>9.1629439227510827E+22</c:v>
                </c:pt>
                <c:pt idx="971">
                  <c:v>1.3823350253674843E+23</c:v>
                </c:pt>
                <c:pt idx="972">
                  <c:v>2.100804284452668E+23</c:v>
                </c:pt>
                <c:pt idx="973">
                  <c:v>3.2169057647391413E+23</c:v>
                </c:pt>
                <c:pt idx="974">
                  <c:v>4.9643358920644098E+23</c:v>
                </c:pt>
                <c:pt idx="975">
                  <c:v>7.72230517331791E+23</c:v>
                </c:pt>
                <c:pt idx="976">
                  <c:v>1.2111337244232807E+24</c:v>
                </c:pt>
                <c:pt idx="977">
                  <c:v>1.9155634043386665E+24</c:v>
                </c:pt>
                <c:pt idx="978">
                  <c:v>3.0560749618806293E+24</c:v>
                </c:pt>
                <c:pt idx="979">
                  <c:v>4.9192875559714568E+24</c:v>
                </c:pt>
                <c:pt idx="980">
                  <c:v>7.9914024258419763E+24</c:v>
                </c:pt>
                <c:pt idx="981">
                  <c:v>1.3105167491580286E+25</c:v>
                </c:pt>
                <c:pt idx="982">
                  <c:v>2.17010975039369E+25</c:v>
                </c:pt>
                <c:pt idx="983">
                  <c:v>3.6296598196006072E+25</c:v>
                </c:pt>
                <c:pt idx="984">
                  <c:v>6.1337467262785805E+25</c:v>
                </c:pt>
                <c:pt idx="985">
                  <c:v>1.0476044072358258E+26</c:v>
                </c:pt>
                <c:pt idx="986">
                  <c:v>1.8089300989683051E+26</c:v>
                </c:pt>
                <c:pt idx="987">
                  <c:v>3.1589773738321631E+26</c:v>
                </c:pt>
                <c:pt idx="988">
                  <c:v>5.5811658270144335E+26</c:v>
                </c:pt>
                <c:pt idx="989">
                  <c:v>9.9796867483502257E+26</c:v>
                </c:pt>
                <c:pt idx="990">
                  <c:v>1.8067130113520002E+27</c:v>
                </c:pt>
                <c:pt idx="991">
                  <c:v>3.3129555312249077E+27</c:v>
                </c:pt>
                <c:pt idx="992">
                  <c:v>6.1557033064424848E+27</c:v>
                </c:pt>
                <c:pt idx="993">
                  <c:v>1.1594842412311441E+28</c:v>
                </c:pt>
                <c:pt idx="994">
                  <c:v>2.2150065559277299E+28</c:v>
                </c:pt>
                <c:pt idx="995">
                  <c:v>4.293534775180904E+28</c:v>
                </c:pt>
                <c:pt idx="996">
                  <c:v>8.4489158593494134E+28</c:v>
                </c:pt>
                <c:pt idx="997">
                  <c:v>1.6887260670519708E+29</c:v>
                </c:pt>
                <c:pt idx="998">
                  <c:v>3.4302548230191569E+29</c:v>
                </c:pt>
                <c:pt idx="999">
                  <c:v>7.0851722174773137E+29</c:v>
                </c:pt>
                <c:pt idx="1000">
                  <c:v>1.4889873754084976E+30</c:v>
                </c:pt>
                <c:pt idx="1001">
                  <c:v>3.18581437466533E+30</c:v>
                </c:pt>
                <c:pt idx="1002">
                  <c:v>6.9442340129308248E+30</c:v>
                </c:pt>
                <c:pt idx="1003">
                  <c:v>1.5431294891562826E+31</c:v>
                </c:pt>
                <c:pt idx="1004">
                  <c:v>3.4983984398811084E+31</c:v>
                </c:pt>
                <c:pt idx="1005">
                  <c:v>8.0975894408552259E+31</c:v>
                </c:pt>
                <c:pt idx="1006">
                  <c:v>1.9151796746476255E+32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694-954C-A7F8-D50D2C502A66}"/>
            </c:ext>
          </c:extLst>
        </c:ser>
        <c:ser>
          <c:idx val="1"/>
          <c:order val="1"/>
          <c:tx>
            <c:v>Discl.creep-&gt;mu2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Sheet2!$D$31:$D$1095</c:f>
              <c:numCache>
                <c:formatCode>General</c:formatCode>
                <c:ptCount val="1065"/>
                <c:pt idx="0">
                  <c:v>2003</c:v>
                </c:pt>
                <c:pt idx="1">
                  <c:v>2002.5</c:v>
                </c:pt>
                <c:pt idx="2">
                  <c:v>2002</c:v>
                </c:pt>
                <c:pt idx="3">
                  <c:v>2001.5</c:v>
                </c:pt>
                <c:pt idx="4">
                  <c:v>2001</c:v>
                </c:pt>
                <c:pt idx="5">
                  <c:v>2000.5</c:v>
                </c:pt>
                <c:pt idx="6">
                  <c:v>2000</c:v>
                </c:pt>
                <c:pt idx="7">
                  <c:v>1999.5</c:v>
                </c:pt>
                <c:pt idx="8">
                  <c:v>1999</c:v>
                </c:pt>
                <c:pt idx="9">
                  <c:v>1998.5</c:v>
                </c:pt>
                <c:pt idx="10">
                  <c:v>1998</c:v>
                </c:pt>
                <c:pt idx="11">
                  <c:v>1997.5</c:v>
                </c:pt>
                <c:pt idx="12">
                  <c:v>1997</c:v>
                </c:pt>
                <c:pt idx="13">
                  <c:v>1996.5</c:v>
                </c:pt>
                <c:pt idx="14">
                  <c:v>1996</c:v>
                </c:pt>
                <c:pt idx="15">
                  <c:v>1995.5</c:v>
                </c:pt>
                <c:pt idx="16">
                  <c:v>1995</c:v>
                </c:pt>
                <c:pt idx="17">
                  <c:v>1994.5</c:v>
                </c:pt>
                <c:pt idx="18">
                  <c:v>1994</c:v>
                </c:pt>
                <c:pt idx="19">
                  <c:v>1993.5</c:v>
                </c:pt>
                <c:pt idx="20">
                  <c:v>1993</c:v>
                </c:pt>
                <c:pt idx="21">
                  <c:v>1992.5</c:v>
                </c:pt>
                <c:pt idx="22">
                  <c:v>1992</c:v>
                </c:pt>
                <c:pt idx="23">
                  <c:v>1991.5</c:v>
                </c:pt>
                <c:pt idx="24">
                  <c:v>1991</c:v>
                </c:pt>
                <c:pt idx="25">
                  <c:v>1990.5</c:v>
                </c:pt>
                <c:pt idx="26">
                  <c:v>1990</c:v>
                </c:pt>
                <c:pt idx="27">
                  <c:v>1989.5</c:v>
                </c:pt>
                <c:pt idx="28">
                  <c:v>1989</c:v>
                </c:pt>
                <c:pt idx="29">
                  <c:v>1988.5</c:v>
                </c:pt>
                <c:pt idx="30">
                  <c:v>1988</c:v>
                </c:pt>
                <c:pt idx="31">
                  <c:v>1987.5</c:v>
                </c:pt>
                <c:pt idx="32">
                  <c:v>1987</c:v>
                </c:pt>
                <c:pt idx="33">
                  <c:v>1986.5</c:v>
                </c:pt>
                <c:pt idx="34">
                  <c:v>1986</c:v>
                </c:pt>
                <c:pt idx="35">
                  <c:v>1985.5</c:v>
                </c:pt>
                <c:pt idx="36">
                  <c:v>1985</c:v>
                </c:pt>
                <c:pt idx="37">
                  <c:v>1984.5</c:v>
                </c:pt>
                <c:pt idx="38">
                  <c:v>1984</c:v>
                </c:pt>
                <c:pt idx="39">
                  <c:v>1983.5</c:v>
                </c:pt>
                <c:pt idx="40">
                  <c:v>1983</c:v>
                </c:pt>
                <c:pt idx="41">
                  <c:v>1982.5</c:v>
                </c:pt>
                <c:pt idx="42">
                  <c:v>1982</c:v>
                </c:pt>
                <c:pt idx="43">
                  <c:v>1981.5</c:v>
                </c:pt>
                <c:pt idx="44">
                  <c:v>1981</c:v>
                </c:pt>
                <c:pt idx="45">
                  <c:v>1980.5</c:v>
                </c:pt>
                <c:pt idx="46">
                  <c:v>1980</c:v>
                </c:pt>
                <c:pt idx="47">
                  <c:v>1979.5</c:v>
                </c:pt>
                <c:pt idx="48">
                  <c:v>1979</c:v>
                </c:pt>
                <c:pt idx="49">
                  <c:v>1978.5</c:v>
                </c:pt>
                <c:pt idx="50">
                  <c:v>1978</c:v>
                </c:pt>
                <c:pt idx="51">
                  <c:v>1977.5</c:v>
                </c:pt>
                <c:pt idx="52">
                  <c:v>1977</c:v>
                </c:pt>
                <c:pt idx="53">
                  <c:v>1976.5</c:v>
                </c:pt>
                <c:pt idx="54">
                  <c:v>1976</c:v>
                </c:pt>
                <c:pt idx="55">
                  <c:v>1975.5</c:v>
                </c:pt>
                <c:pt idx="56">
                  <c:v>1975</c:v>
                </c:pt>
                <c:pt idx="57">
                  <c:v>1974.5</c:v>
                </c:pt>
                <c:pt idx="58">
                  <c:v>1974</c:v>
                </c:pt>
                <c:pt idx="59">
                  <c:v>1973.5</c:v>
                </c:pt>
                <c:pt idx="60">
                  <c:v>1973</c:v>
                </c:pt>
                <c:pt idx="61">
                  <c:v>1972.5</c:v>
                </c:pt>
                <c:pt idx="62">
                  <c:v>1972</c:v>
                </c:pt>
                <c:pt idx="63">
                  <c:v>1971.5</c:v>
                </c:pt>
                <c:pt idx="64">
                  <c:v>1971</c:v>
                </c:pt>
                <c:pt idx="65">
                  <c:v>1970.5</c:v>
                </c:pt>
                <c:pt idx="66">
                  <c:v>1970</c:v>
                </c:pt>
                <c:pt idx="67">
                  <c:v>1969.5</c:v>
                </c:pt>
                <c:pt idx="68">
                  <c:v>1969</c:v>
                </c:pt>
                <c:pt idx="69">
                  <c:v>1968.5</c:v>
                </c:pt>
                <c:pt idx="70">
                  <c:v>1968</c:v>
                </c:pt>
                <c:pt idx="71">
                  <c:v>1967.5</c:v>
                </c:pt>
                <c:pt idx="72">
                  <c:v>1967</c:v>
                </c:pt>
                <c:pt idx="73">
                  <c:v>1966.5</c:v>
                </c:pt>
                <c:pt idx="74">
                  <c:v>1966</c:v>
                </c:pt>
                <c:pt idx="75">
                  <c:v>1965.5</c:v>
                </c:pt>
                <c:pt idx="76">
                  <c:v>1965</c:v>
                </c:pt>
                <c:pt idx="77">
                  <c:v>1964.5</c:v>
                </c:pt>
                <c:pt idx="78">
                  <c:v>1964</c:v>
                </c:pt>
                <c:pt idx="79">
                  <c:v>1963.5</c:v>
                </c:pt>
                <c:pt idx="80">
                  <c:v>1963</c:v>
                </c:pt>
                <c:pt idx="81">
                  <c:v>1962.5</c:v>
                </c:pt>
                <c:pt idx="82">
                  <c:v>1962</c:v>
                </c:pt>
                <c:pt idx="83">
                  <c:v>1961.5</c:v>
                </c:pt>
                <c:pt idx="84">
                  <c:v>1961</c:v>
                </c:pt>
                <c:pt idx="85">
                  <c:v>1960.5</c:v>
                </c:pt>
                <c:pt idx="86">
                  <c:v>1960</c:v>
                </c:pt>
                <c:pt idx="87">
                  <c:v>1959.5</c:v>
                </c:pt>
                <c:pt idx="88">
                  <c:v>1959</c:v>
                </c:pt>
                <c:pt idx="89">
                  <c:v>1958.5</c:v>
                </c:pt>
                <c:pt idx="90">
                  <c:v>1958</c:v>
                </c:pt>
                <c:pt idx="91">
                  <c:v>1957.5</c:v>
                </c:pt>
                <c:pt idx="92">
                  <c:v>1957</c:v>
                </c:pt>
                <c:pt idx="93">
                  <c:v>1956.5</c:v>
                </c:pt>
                <c:pt idx="94">
                  <c:v>1956</c:v>
                </c:pt>
                <c:pt idx="95">
                  <c:v>1955.5</c:v>
                </c:pt>
                <c:pt idx="96">
                  <c:v>1955</c:v>
                </c:pt>
                <c:pt idx="97">
                  <c:v>1954.5</c:v>
                </c:pt>
                <c:pt idx="98">
                  <c:v>1954</c:v>
                </c:pt>
                <c:pt idx="99">
                  <c:v>1953.5</c:v>
                </c:pt>
                <c:pt idx="100">
                  <c:v>1953</c:v>
                </c:pt>
                <c:pt idx="101">
                  <c:v>1952.5</c:v>
                </c:pt>
                <c:pt idx="102">
                  <c:v>1952</c:v>
                </c:pt>
                <c:pt idx="103">
                  <c:v>1951.5</c:v>
                </c:pt>
                <c:pt idx="104">
                  <c:v>1951</c:v>
                </c:pt>
                <c:pt idx="105">
                  <c:v>1950.5</c:v>
                </c:pt>
                <c:pt idx="106">
                  <c:v>1950</c:v>
                </c:pt>
                <c:pt idx="107">
                  <c:v>1949.5</c:v>
                </c:pt>
                <c:pt idx="108">
                  <c:v>1949</c:v>
                </c:pt>
                <c:pt idx="109">
                  <c:v>1948.5</c:v>
                </c:pt>
                <c:pt idx="110">
                  <c:v>1948</c:v>
                </c:pt>
                <c:pt idx="111">
                  <c:v>1947.5</c:v>
                </c:pt>
                <c:pt idx="112">
                  <c:v>1947</c:v>
                </c:pt>
                <c:pt idx="113">
                  <c:v>1946.5</c:v>
                </c:pt>
                <c:pt idx="114">
                  <c:v>1946</c:v>
                </c:pt>
                <c:pt idx="115">
                  <c:v>1945.5</c:v>
                </c:pt>
                <c:pt idx="116">
                  <c:v>1945</c:v>
                </c:pt>
                <c:pt idx="117">
                  <c:v>1944.5</c:v>
                </c:pt>
                <c:pt idx="118">
                  <c:v>1944</c:v>
                </c:pt>
                <c:pt idx="119">
                  <c:v>1943.5</c:v>
                </c:pt>
                <c:pt idx="120">
                  <c:v>1943</c:v>
                </c:pt>
                <c:pt idx="121">
                  <c:v>1942.5</c:v>
                </c:pt>
                <c:pt idx="122">
                  <c:v>1942</c:v>
                </c:pt>
                <c:pt idx="123">
                  <c:v>1941.5</c:v>
                </c:pt>
                <c:pt idx="124">
                  <c:v>1941</c:v>
                </c:pt>
                <c:pt idx="125">
                  <c:v>1940.5</c:v>
                </c:pt>
                <c:pt idx="126">
                  <c:v>1940</c:v>
                </c:pt>
                <c:pt idx="127">
                  <c:v>1939.5</c:v>
                </c:pt>
                <c:pt idx="128">
                  <c:v>1939</c:v>
                </c:pt>
                <c:pt idx="129">
                  <c:v>1938.5</c:v>
                </c:pt>
                <c:pt idx="130">
                  <c:v>1938</c:v>
                </c:pt>
                <c:pt idx="131">
                  <c:v>1937.5</c:v>
                </c:pt>
                <c:pt idx="132">
                  <c:v>1937</c:v>
                </c:pt>
                <c:pt idx="133">
                  <c:v>1936.5</c:v>
                </c:pt>
                <c:pt idx="134">
                  <c:v>1936</c:v>
                </c:pt>
                <c:pt idx="135">
                  <c:v>1935.5</c:v>
                </c:pt>
                <c:pt idx="136">
                  <c:v>1935</c:v>
                </c:pt>
                <c:pt idx="137">
                  <c:v>1934.5</c:v>
                </c:pt>
                <c:pt idx="138">
                  <c:v>1934</c:v>
                </c:pt>
                <c:pt idx="139">
                  <c:v>1933.5</c:v>
                </c:pt>
                <c:pt idx="140">
                  <c:v>1933</c:v>
                </c:pt>
                <c:pt idx="141">
                  <c:v>1932.5</c:v>
                </c:pt>
                <c:pt idx="142">
                  <c:v>1932</c:v>
                </c:pt>
                <c:pt idx="143">
                  <c:v>1931.5</c:v>
                </c:pt>
                <c:pt idx="144">
                  <c:v>1931</c:v>
                </c:pt>
                <c:pt idx="145">
                  <c:v>1930.5</c:v>
                </c:pt>
                <c:pt idx="146">
                  <c:v>1930</c:v>
                </c:pt>
                <c:pt idx="147">
                  <c:v>1929.5</c:v>
                </c:pt>
                <c:pt idx="148">
                  <c:v>1929</c:v>
                </c:pt>
                <c:pt idx="149">
                  <c:v>1928.5</c:v>
                </c:pt>
                <c:pt idx="150">
                  <c:v>1928</c:v>
                </c:pt>
                <c:pt idx="151">
                  <c:v>1927.5</c:v>
                </c:pt>
                <c:pt idx="152">
                  <c:v>1927</c:v>
                </c:pt>
                <c:pt idx="153">
                  <c:v>1926.5</c:v>
                </c:pt>
                <c:pt idx="154">
                  <c:v>1926</c:v>
                </c:pt>
                <c:pt idx="155">
                  <c:v>1925.5</c:v>
                </c:pt>
                <c:pt idx="156">
                  <c:v>1925</c:v>
                </c:pt>
                <c:pt idx="157">
                  <c:v>1924.5</c:v>
                </c:pt>
                <c:pt idx="158">
                  <c:v>1924</c:v>
                </c:pt>
                <c:pt idx="159">
                  <c:v>1923.5</c:v>
                </c:pt>
                <c:pt idx="160">
                  <c:v>1923</c:v>
                </c:pt>
                <c:pt idx="161">
                  <c:v>1922.5</c:v>
                </c:pt>
                <c:pt idx="162">
                  <c:v>1922</c:v>
                </c:pt>
                <c:pt idx="163">
                  <c:v>1921.5</c:v>
                </c:pt>
                <c:pt idx="164">
                  <c:v>1921</c:v>
                </c:pt>
                <c:pt idx="165">
                  <c:v>1920.5</c:v>
                </c:pt>
                <c:pt idx="166">
                  <c:v>1920</c:v>
                </c:pt>
                <c:pt idx="167">
                  <c:v>1919.5</c:v>
                </c:pt>
                <c:pt idx="168">
                  <c:v>1919</c:v>
                </c:pt>
                <c:pt idx="169">
                  <c:v>1918.5</c:v>
                </c:pt>
                <c:pt idx="170">
                  <c:v>1918</c:v>
                </c:pt>
                <c:pt idx="171">
                  <c:v>1917.5</c:v>
                </c:pt>
                <c:pt idx="172">
                  <c:v>1917</c:v>
                </c:pt>
                <c:pt idx="173">
                  <c:v>1916.5</c:v>
                </c:pt>
                <c:pt idx="174">
                  <c:v>1916</c:v>
                </c:pt>
                <c:pt idx="175">
                  <c:v>1915.5</c:v>
                </c:pt>
                <c:pt idx="176">
                  <c:v>1915</c:v>
                </c:pt>
                <c:pt idx="177">
                  <c:v>1914.5</c:v>
                </c:pt>
                <c:pt idx="178">
                  <c:v>1914</c:v>
                </c:pt>
                <c:pt idx="179">
                  <c:v>1913.5</c:v>
                </c:pt>
                <c:pt idx="180">
                  <c:v>1913</c:v>
                </c:pt>
                <c:pt idx="181">
                  <c:v>1912.5</c:v>
                </c:pt>
                <c:pt idx="182">
                  <c:v>1912</c:v>
                </c:pt>
                <c:pt idx="183">
                  <c:v>1911.5</c:v>
                </c:pt>
                <c:pt idx="184">
                  <c:v>1911</c:v>
                </c:pt>
                <c:pt idx="185">
                  <c:v>1910.5</c:v>
                </c:pt>
                <c:pt idx="186">
                  <c:v>1910</c:v>
                </c:pt>
                <c:pt idx="187">
                  <c:v>1909.5</c:v>
                </c:pt>
                <c:pt idx="188">
                  <c:v>1909</c:v>
                </c:pt>
                <c:pt idx="189">
                  <c:v>1908.5</c:v>
                </c:pt>
                <c:pt idx="190">
                  <c:v>1908</c:v>
                </c:pt>
                <c:pt idx="191">
                  <c:v>1907.5</c:v>
                </c:pt>
                <c:pt idx="192">
                  <c:v>1907</c:v>
                </c:pt>
                <c:pt idx="193">
                  <c:v>1906.5</c:v>
                </c:pt>
                <c:pt idx="194">
                  <c:v>1906</c:v>
                </c:pt>
                <c:pt idx="195">
                  <c:v>1905.5</c:v>
                </c:pt>
                <c:pt idx="196">
                  <c:v>1905</c:v>
                </c:pt>
                <c:pt idx="197">
                  <c:v>1904.5</c:v>
                </c:pt>
                <c:pt idx="198">
                  <c:v>1904</c:v>
                </c:pt>
                <c:pt idx="199">
                  <c:v>1903.5</c:v>
                </c:pt>
                <c:pt idx="200">
                  <c:v>1903</c:v>
                </c:pt>
                <c:pt idx="201">
                  <c:v>1902.5</c:v>
                </c:pt>
                <c:pt idx="202">
                  <c:v>1902</c:v>
                </c:pt>
                <c:pt idx="203">
                  <c:v>1901.5</c:v>
                </c:pt>
                <c:pt idx="204">
                  <c:v>1901</c:v>
                </c:pt>
                <c:pt idx="205">
                  <c:v>1900.5</c:v>
                </c:pt>
                <c:pt idx="206">
                  <c:v>1900</c:v>
                </c:pt>
                <c:pt idx="207">
                  <c:v>1899.5</c:v>
                </c:pt>
                <c:pt idx="208">
                  <c:v>1899</c:v>
                </c:pt>
                <c:pt idx="209">
                  <c:v>1898.5</c:v>
                </c:pt>
                <c:pt idx="210">
                  <c:v>1898</c:v>
                </c:pt>
                <c:pt idx="211">
                  <c:v>1897.5</c:v>
                </c:pt>
                <c:pt idx="212">
                  <c:v>1897</c:v>
                </c:pt>
                <c:pt idx="213">
                  <c:v>1896.5</c:v>
                </c:pt>
                <c:pt idx="214">
                  <c:v>1896</c:v>
                </c:pt>
                <c:pt idx="215">
                  <c:v>1895.5</c:v>
                </c:pt>
                <c:pt idx="216">
                  <c:v>1895</c:v>
                </c:pt>
                <c:pt idx="217">
                  <c:v>1894.5</c:v>
                </c:pt>
                <c:pt idx="218">
                  <c:v>1894</c:v>
                </c:pt>
                <c:pt idx="219">
                  <c:v>1893.5</c:v>
                </c:pt>
                <c:pt idx="220">
                  <c:v>1893</c:v>
                </c:pt>
                <c:pt idx="221">
                  <c:v>1892.5</c:v>
                </c:pt>
                <c:pt idx="222">
                  <c:v>1892</c:v>
                </c:pt>
                <c:pt idx="223">
                  <c:v>1891.5</c:v>
                </c:pt>
                <c:pt idx="224">
                  <c:v>1891</c:v>
                </c:pt>
                <c:pt idx="225">
                  <c:v>1890.5</c:v>
                </c:pt>
                <c:pt idx="226">
                  <c:v>1890</c:v>
                </c:pt>
                <c:pt idx="227">
                  <c:v>1889.5</c:v>
                </c:pt>
                <c:pt idx="228">
                  <c:v>1889</c:v>
                </c:pt>
                <c:pt idx="229">
                  <c:v>1888.5</c:v>
                </c:pt>
                <c:pt idx="230">
                  <c:v>1888</c:v>
                </c:pt>
                <c:pt idx="231">
                  <c:v>1887.5</c:v>
                </c:pt>
                <c:pt idx="232">
                  <c:v>1887</c:v>
                </c:pt>
                <c:pt idx="233">
                  <c:v>1886.5</c:v>
                </c:pt>
                <c:pt idx="234">
                  <c:v>1886</c:v>
                </c:pt>
                <c:pt idx="235">
                  <c:v>1885.5</c:v>
                </c:pt>
                <c:pt idx="236">
                  <c:v>1885</c:v>
                </c:pt>
                <c:pt idx="237">
                  <c:v>1884.5</c:v>
                </c:pt>
                <c:pt idx="238">
                  <c:v>1884</c:v>
                </c:pt>
                <c:pt idx="239">
                  <c:v>1883.5</c:v>
                </c:pt>
                <c:pt idx="240">
                  <c:v>1883</c:v>
                </c:pt>
                <c:pt idx="241">
                  <c:v>1882.5</c:v>
                </c:pt>
                <c:pt idx="242">
                  <c:v>1882</c:v>
                </c:pt>
                <c:pt idx="243">
                  <c:v>1881.5</c:v>
                </c:pt>
                <c:pt idx="244">
                  <c:v>1881</c:v>
                </c:pt>
                <c:pt idx="245">
                  <c:v>1880.5</c:v>
                </c:pt>
                <c:pt idx="246">
                  <c:v>1880</c:v>
                </c:pt>
                <c:pt idx="247">
                  <c:v>1879.5</c:v>
                </c:pt>
                <c:pt idx="248">
                  <c:v>1879</c:v>
                </c:pt>
                <c:pt idx="249">
                  <c:v>1878.5</c:v>
                </c:pt>
                <c:pt idx="250">
                  <c:v>1878</c:v>
                </c:pt>
                <c:pt idx="251">
                  <c:v>1877.5</c:v>
                </c:pt>
                <c:pt idx="252">
                  <c:v>1877</c:v>
                </c:pt>
                <c:pt idx="253">
                  <c:v>1876.5</c:v>
                </c:pt>
                <c:pt idx="254">
                  <c:v>1876</c:v>
                </c:pt>
                <c:pt idx="255">
                  <c:v>1875.5</c:v>
                </c:pt>
                <c:pt idx="256">
                  <c:v>1875</c:v>
                </c:pt>
                <c:pt idx="257">
                  <c:v>1874.5</c:v>
                </c:pt>
                <c:pt idx="258">
                  <c:v>1874</c:v>
                </c:pt>
                <c:pt idx="259">
                  <c:v>1873.5</c:v>
                </c:pt>
                <c:pt idx="260">
                  <c:v>1873</c:v>
                </c:pt>
                <c:pt idx="261">
                  <c:v>1872.5</c:v>
                </c:pt>
                <c:pt idx="262">
                  <c:v>1872</c:v>
                </c:pt>
                <c:pt idx="263">
                  <c:v>1871.5</c:v>
                </c:pt>
                <c:pt idx="264">
                  <c:v>1871</c:v>
                </c:pt>
                <c:pt idx="265">
                  <c:v>1870.5</c:v>
                </c:pt>
                <c:pt idx="266">
                  <c:v>1870</c:v>
                </c:pt>
                <c:pt idx="267">
                  <c:v>1869.5</c:v>
                </c:pt>
                <c:pt idx="268">
                  <c:v>1869</c:v>
                </c:pt>
                <c:pt idx="269">
                  <c:v>1868.5</c:v>
                </c:pt>
                <c:pt idx="270">
                  <c:v>1868</c:v>
                </c:pt>
                <c:pt idx="271">
                  <c:v>1867.5</c:v>
                </c:pt>
                <c:pt idx="272">
                  <c:v>1867</c:v>
                </c:pt>
                <c:pt idx="273">
                  <c:v>1866.5</c:v>
                </c:pt>
                <c:pt idx="274">
                  <c:v>1866</c:v>
                </c:pt>
                <c:pt idx="275">
                  <c:v>1865.5</c:v>
                </c:pt>
                <c:pt idx="276">
                  <c:v>1865</c:v>
                </c:pt>
                <c:pt idx="277">
                  <c:v>1864.5</c:v>
                </c:pt>
                <c:pt idx="278">
                  <c:v>1864</c:v>
                </c:pt>
                <c:pt idx="279">
                  <c:v>1863.5</c:v>
                </c:pt>
                <c:pt idx="280">
                  <c:v>1863</c:v>
                </c:pt>
                <c:pt idx="281">
                  <c:v>1862.5</c:v>
                </c:pt>
                <c:pt idx="282">
                  <c:v>1862</c:v>
                </c:pt>
                <c:pt idx="283">
                  <c:v>1861.5</c:v>
                </c:pt>
                <c:pt idx="284">
                  <c:v>1861</c:v>
                </c:pt>
                <c:pt idx="285">
                  <c:v>1860.5</c:v>
                </c:pt>
                <c:pt idx="286">
                  <c:v>1860</c:v>
                </c:pt>
                <c:pt idx="287">
                  <c:v>1859.5</c:v>
                </c:pt>
                <c:pt idx="288">
                  <c:v>1859</c:v>
                </c:pt>
                <c:pt idx="289">
                  <c:v>1858.5</c:v>
                </c:pt>
                <c:pt idx="290">
                  <c:v>1858</c:v>
                </c:pt>
                <c:pt idx="291">
                  <c:v>1857.5</c:v>
                </c:pt>
                <c:pt idx="292">
                  <c:v>1857</c:v>
                </c:pt>
                <c:pt idx="293">
                  <c:v>1856.5</c:v>
                </c:pt>
                <c:pt idx="294">
                  <c:v>1856</c:v>
                </c:pt>
                <c:pt idx="295">
                  <c:v>1855.5</c:v>
                </c:pt>
                <c:pt idx="296">
                  <c:v>1855</c:v>
                </c:pt>
                <c:pt idx="297">
                  <c:v>1854.5</c:v>
                </c:pt>
                <c:pt idx="298">
                  <c:v>1854</c:v>
                </c:pt>
                <c:pt idx="299">
                  <c:v>1853.5</c:v>
                </c:pt>
                <c:pt idx="300">
                  <c:v>1853</c:v>
                </c:pt>
                <c:pt idx="301">
                  <c:v>1852.5</c:v>
                </c:pt>
                <c:pt idx="302">
                  <c:v>1852</c:v>
                </c:pt>
                <c:pt idx="303">
                  <c:v>1851.5</c:v>
                </c:pt>
                <c:pt idx="304">
                  <c:v>1851</c:v>
                </c:pt>
                <c:pt idx="305">
                  <c:v>1850.5</c:v>
                </c:pt>
                <c:pt idx="306">
                  <c:v>1850</c:v>
                </c:pt>
                <c:pt idx="307">
                  <c:v>1849.5</c:v>
                </c:pt>
                <c:pt idx="308">
                  <c:v>1849</c:v>
                </c:pt>
                <c:pt idx="309">
                  <c:v>1848.5</c:v>
                </c:pt>
                <c:pt idx="310">
                  <c:v>1848</c:v>
                </c:pt>
                <c:pt idx="311">
                  <c:v>1847.5</c:v>
                </c:pt>
                <c:pt idx="312">
                  <c:v>1847</c:v>
                </c:pt>
                <c:pt idx="313">
                  <c:v>1846.5</c:v>
                </c:pt>
                <c:pt idx="314">
                  <c:v>1846</c:v>
                </c:pt>
                <c:pt idx="315">
                  <c:v>1845.5</c:v>
                </c:pt>
                <c:pt idx="316">
                  <c:v>1845</c:v>
                </c:pt>
                <c:pt idx="317">
                  <c:v>1844.5</c:v>
                </c:pt>
                <c:pt idx="318">
                  <c:v>1844</c:v>
                </c:pt>
                <c:pt idx="319">
                  <c:v>1843.5</c:v>
                </c:pt>
                <c:pt idx="320">
                  <c:v>1843</c:v>
                </c:pt>
                <c:pt idx="321">
                  <c:v>1842.5</c:v>
                </c:pt>
                <c:pt idx="322">
                  <c:v>1842</c:v>
                </c:pt>
                <c:pt idx="323">
                  <c:v>1841.5</c:v>
                </c:pt>
                <c:pt idx="324">
                  <c:v>1841</c:v>
                </c:pt>
                <c:pt idx="325">
                  <c:v>1840.5</c:v>
                </c:pt>
                <c:pt idx="326">
                  <c:v>1840</c:v>
                </c:pt>
                <c:pt idx="327">
                  <c:v>1839.5</c:v>
                </c:pt>
                <c:pt idx="328">
                  <c:v>1839</c:v>
                </c:pt>
                <c:pt idx="329">
                  <c:v>1838.5</c:v>
                </c:pt>
                <c:pt idx="330">
                  <c:v>1838</c:v>
                </c:pt>
                <c:pt idx="331">
                  <c:v>1837.5</c:v>
                </c:pt>
                <c:pt idx="332">
                  <c:v>1837</c:v>
                </c:pt>
                <c:pt idx="333">
                  <c:v>1836.5</c:v>
                </c:pt>
                <c:pt idx="334">
                  <c:v>1836</c:v>
                </c:pt>
                <c:pt idx="335">
                  <c:v>1835.5</c:v>
                </c:pt>
                <c:pt idx="336">
                  <c:v>1835</c:v>
                </c:pt>
                <c:pt idx="337">
                  <c:v>1834.5</c:v>
                </c:pt>
                <c:pt idx="338">
                  <c:v>1834</c:v>
                </c:pt>
                <c:pt idx="339">
                  <c:v>1833.5</c:v>
                </c:pt>
                <c:pt idx="340">
                  <c:v>1833</c:v>
                </c:pt>
                <c:pt idx="341">
                  <c:v>1832.5</c:v>
                </c:pt>
                <c:pt idx="342">
                  <c:v>1832</c:v>
                </c:pt>
                <c:pt idx="343">
                  <c:v>1831.5</c:v>
                </c:pt>
                <c:pt idx="344">
                  <c:v>1831</c:v>
                </c:pt>
                <c:pt idx="345">
                  <c:v>1830.5</c:v>
                </c:pt>
                <c:pt idx="346">
                  <c:v>1830</c:v>
                </c:pt>
                <c:pt idx="347">
                  <c:v>1829.5</c:v>
                </c:pt>
                <c:pt idx="348">
                  <c:v>1829</c:v>
                </c:pt>
                <c:pt idx="349">
                  <c:v>1828.5</c:v>
                </c:pt>
                <c:pt idx="350">
                  <c:v>1828</c:v>
                </c:pt>
                <c:pt idx="351">
                  <c:v>1827.5</c:v>
                </c:pt>
                <c:pt idx="352">
                  <c:v>1827</c:v>
                </c:pt>
                <c:pt idx="353">
                  <c:v>1826.5</c:v>
                </c:pt>
                <c:pt idx="354">
                  <c:v>1826</c:v>
                </c:pt>
                <c:pt idx="355">
                  <c:v>1825.5</c:v>
                </c:pt>
                <c:pt idx="356">
                  <c:v>1825</c:v>
                </c:pt>
                <c:pt idx="357">
                  <c:v>1824.5</c:v>
                </c:pt>
                <c:pt idx="358">
                  <c:v>1824</c:v>
                </c:pt>
                <c:pt idx="359">
                  <c:v>1823.5</c:v>
                </c:pt>
                <c:pt idx="360">
                  <c:v>1823</c:v>
                </c:pt>
                <c:pt idx="361">
                  <c:v>1822.5</c:v>
                </c:pt>
                <c:pt idx="362">
                  <c:v>1822</c:v>
                </c:pt>
                <c:pt idx="363">
                  <c:v>1821.5</c:v>
                </c:pt>
                <c:pt idx="364">
                  <c:v>1821</c:v>
                </c:pt>
                <c:pt idx="365">
                  <c:v>1820.5</c:v>
                </c:pt>
                <c:pt idx="366">
                  <c:v>1820</c:v>
                </c:pt>
                <c:pt idx="367">
                  <c:v>1819.5</c:v>
                </c:pt>
                <c:pt idx="368">
                  <c:v>1819</c:v>
                </c:pt>
                <c:pt idx="369">
                  <c:v>1818.5</c:v>
                </c:pt>
                <c:pt idx="370">
                  <c:v>1818</c:v>
                </c:pt>
                <c:pt idx="371">
                  <c:v>1817.5</c:v>
                </c:pt>
                <c:pt idx="372">
                  <c:v>1817</c:v>
                </c:pt>
                <c:pt idx="373">
                  <c:v>1816.5</c:v>
                </c:pt>
                <c:pt idx="374">
                  <c:v>1816</c:v>
                </c:pt>
                <c:pt idx="375">
                  <c:v>1815.5</c:v>
                </c:pt>
                <c:pt idx="376">
                  <c:v>1815</c:v>
                </c:pt>
                <c:pt idx="377">
                  <c:v>1814.5</c:v>
                </c:pt>
                <c:pt idx="378">
                  <c:v>1814</c:v>
                </c:pt>
                <c:pt idx="379">
                  <c:v>1813.5</c:v>
                </c:pt>
                <c:pt idx="380">
                  <c:v>1813</c:v>
                </c:pt>
                <c:pt idx="381">
                  <c:v>1812.5</c:v>
                </c:pt>
                <c:pt idx="382">
                  <c:v>1812</c:v>
                </c:pt>
                <c:pt idx="383">
                  <c:v>1811.5</c:v>
                </c:pt>
                <c:pt idx="384">
                  <c:v>1811</c:v>
                </c:pt>
                <c:pt idx="385">
                  <c:v>1810.5</c:v>
                </c:pt>
                <c:pt idx="386">
                  <c:v>1810</c:v>
                </c:pt>
                <c:pt idx="387">
                  <c:v>1809.5</c:v>
                </c:pt>
                <c:pt idx="388">
                  <c:v>1809</c:v>
                </c:pt>
                <c:pt idx="389">
                  <c:v>1808.5</c:v>
                </c:pt>
                <c:pt idx="390">
                  <c:v>1808</c:v>
                </c:pt>
                <c:pt idx="391">
                  <c:v>1807.5</c:v>
                </c:pt>
                <c:pt idx="392">
                  <c:v>1807</c:v>
                </c:pt>
                <c:pt idx="393">
                  <c:v>1806.5</c:v>
                </c:pt>
                <c:pt idx="394">
                  <c:v>1806</c:v>
                </c:pt>
                <c:pt idx="395">
                  <c:v>1805.5</c:v>
                </c:pt>
                <c:pt idx="396">
                  <c:v>1805</c:v>
                </c:pt>
                <c:pt idx="397">
                  <c:v>1804.5</c:v>
                </c:pt>
                <c:pt idx="398">
                  <c:v>1804</c:v>
                </c:pt>
                <c:pt idx="399">
                  <c:v>1803.5</c:v>
                </c:pt>
                <c:pt idx="400">
                  <c:v>1803</c:v>
                </c:pt>
                <c:pt idx="401">
                  <c:v>1802.5</c:v>
                </c:pt>
                <c:pt idx="402">
                  <c:v>1802</c:v>
                </c:pt>
                <c:pt idx="403">
                  <c:v>1801.5</c:v>
                </c:pt>
                <c:pt idx="404">
                  <c:v>1801</c:v>
                </c:pt>
                <c:pt idx="405">
                  <c:v>1800.5</c:v>
                </c:pt>
                <c:pt idx="406">
                  <c:v>1800</c:v>
                </c:pt>
                <c:pt idx="407">
                  <c:v>1799.5</c:v>
                </c:pt>
                <c:pt idx="408">
                  <c:v>1799</c:v>
                </c:pt>
                <c:pt idx="409">
                  <c:v>1798.5</c:v>
                </c:pt>
                <c:pt idx="410">
                  <c:v>1798</c:v>
                </c:pt>
                <c:pt idx="411">
                  <c:v>1797.5</c:v>
                </c:pt>
                <c:pt idx="412">
                  <c:v>1797</c:v>
                </c:pt>
                <c:pt idx="413">
                  <c:v>1796.5</c:v>
                </c:pt>
                <c:pt idx="414">
                  <c:v>1796</c:v>
                </c:pt>
                <c:pt idx="415">
                  <c:v>1795.5</c:v>
                </c:pt>
                <c:pt idx="416">
                  <c:v>1795</c:v>
                </c:pt>
                <c:pt idx="417">
                  <c:v>1794.5</c:v>
                </c:pt>
                <c:pt idx="418">
                  <c:v>1794</c:v>
                </c:pt>
                <c:pt idx="419">
                  <c:v>1793.5</c:v>
                </c:pt>
                <c:pt idx="420">
                  <c:v>1793</c:v>
                </c:pt>
                <c:pt idx="421">
                  <c:v>1792.5</c:v>
                </c:pt>
                <c:pt idx="422">
                  <c:v>1792</c:v>
                </c:pt>
                <c:pt idx="423">
                  <c:v>1791.5</c:v>
                </c:pt>
                <c:pt idx="424">
                  <c:v>1791</c:v>
                </c:pt>
                <c:pt idx="425">
                  <c:v>1790.5</c:v>
                </c:pt>
                <c:pt idx="426">
                  <c:v>1790</c:v>
                </c:pt>
                <c:pt idx="427">
                  <c:v>1789.5</c:v>
                </c:pt>
                <c:pt idx="428">
                  <c:v>1789</c:v>
                </c:pt>
                <c:pt idx="429">
                  <c:v>1788.5</c:v>
                </c:pt>
                <c:pt idx="430">
                  <c:v>1788</c:v>
                </c:pt>
                <c:pt idx="431">
                  <c:v>1787.5</c:v>
                </c:pt>
                <c:pt idx="432">
                  <c:v>1787</c:v>
                </c:pt>
                <c:pt idx="433">
                  <c:v>1786.5</c:v>
                </c:pt>
                <c:pt idx="434">
                  <c:v>1786</c:v>
                </c:pt>
                <c:pt idx="435">
                  <c:v>1785.5</c:v>
                </c:pt>
                <c:pt idx="436">
                  <c:v>1785</c:v>
                </c:pt>
                <c:pt idx="437">
                  <c:v>1784.5</c:v>
                </c:pt>
                <c:pt idx="438">
                  <c:v>1784</c:v>
                </c:pt>
                <c:pt idx="439">
                  <c:v>1783.5</c:v>
                </c:pt>
                <c:pt idx="440">
                  <c:v>1783</c:v>
                </c:pt>
                <c:pt idx="441">
                  <c:v>1782.5</c:v>
                </c:pt>
                <c:pt idx="442">
                  <c:v>1782</c:v>
                </c:pt>
                <c:pt idx="443">
                  <c:v>1781.5</c:v>
                </c:pt>
                <c:pt idx="444">
                  <c:v>1781</c:v>
                </c:pt>
                <c:pt idx="445">
                  <c:v>1780.5</c:v>
                </c:pt>
                <c:pt idx="446">
                  <c:v>1780</c:v>
                </c:pt>
                <c:pt idx="447">
                  <c:v>1779.5</c:v>
                </c:pt>
                <c:pt idx="448">
                  <c:v>1779</c:v>
                </c:pt>
                <c:pt idx="449">
                  <c:v>1778.5</c:v>
                </c:pt>
                <c:pt idx="450">
                  <c:v>1778</c:v>
                </c:pt>
                <c:pt idx="451">
                  <c:v>1777.5</c:v>
                </c:pt>
                <c:pt idx="452">
                  <c:v>1777</c:v>
                </c:pt>
                <c:pt idx="453">
                  <c:v>1776.5</c:v>
                </c:pt>
                <c:pt idx="454">
                  <c:v>1776</c:v>
                </c:pt>
                <c:pt idx="455">
                  <c:v>1775.5</c:v>
                </c:pt>
                <c:pt idx="456">
                  <c:v>1775</c:v>
                </c:pt>
                <c:pt idx="457">
                  <c:v>1774.5</c:v>
                </c:pt>
                <c:pt idx="458">
                  <c:v>1774</c:v>
                </c:pt>
                <c:pt idx="459">
                  <c:v>1773.5</c:v>
                </c:pt>
                <c:pt idx="460">
                  <c:v>1773</c:v>
                </c:pt>
                <c:pt idx="461">
                  <c:v>1772.5</c:v>
                </c:pt>
                <c:pt idx="462">
                  <c:v>1772</c:v>
                </c:pt>
                <c:pt idx="463">
                  <c:v>1771.5</c:v>
                </c:pt>
                <c:pt idx="464">
                  <c:v>1771</c:v>
                </c:pt>
                <c:pt idx="465">
                  <c:v>1770.5</c:v>
                </c:pt>
                <c:pt idx="466">
                  <c:v>1770</c:v>
                </c:pt>
                <c:pt idx="467">
                  <c:v>1769.5</c:v>
                </c:pt>
                <c:pt idx="468">
                  <c:v>1769</c:v>
                </c:pt>
                <c:pt idx="469">
                  <c:v>1768.5</c:v>
                </c:pt>
                <c:pt idx="470">
                  <c:v>1768</c:v>
                </c:pt>
                <c:pt idx="471">
                  <c:v>1767.5</c:v>
                </c:pt>
                <c:pt idx="472">
                  <c:v>1767</c:v>
                </c:pt>
                <c:pt idx="473">
                  <c:v>1766.5</c:v>
                </c:pt>
                <c:pt idx="474">
                  <c:v>1766</c:v>
                </c:pt>
                <c:pt idx="475">
                  <c:v>1765.5</c:v>
                </c:pt>
                <c:pt idx="476">
                  <c:v>1765</c:v>
                </c:pt>
                <c:pt idx="477">
                  <c:v>1764.5</c:v>
                </c:pt>
                <c:pt idx="478">
                  <c:v>1764</c:v>
                </c:pt>
                <c:pt idx="479">
                  <c:v>1763.5</c:v>
                </c:pt>
                <c:pt idx="480">
                  <c:v>1763</c:v>
                </c:pt>
                <c:pt idx="481">
                  <c:v>1762.5</c:v>
                </c:pt>
                <c:pt idx="482">
                  <c:v>1762</c:v>
                </c:pt>
                <c:pt idx="483">
                  <c:v>1761.5</c:v>
                </c:pt>
                <c:pt idx="484">
                  <c:v>1761</c:v>
                </c:pt>
                <c:pt idx="485">
                  <c:v>1760.5</c:v>
                </c:pt>
                <c:pt idx="486">
                  <c:v>1760</c:v>
                </c:pt>
                <c:pt idx="487">
                  <c:v>1759.5</c:v>
                </c:pt>
                <c:pt idx="488">
                  <c:v>1759</c:v>
                </c:pt>
                <c:pt idx="489">
                  <c:v>1758.5</c:v>
                </c:pt>
                <c:pt idx="490">
                  <c:v>1758</c:v>
                </c:pt>
                <c:pt idx="491">
                  <c:v>1757.5</c:v>
                </c:pt>
                <c:pt idx="492">
                  <c:v>1757</c:v>
                </c:pt>
                <c:pt idx="493">
                  <c:v>1756.5</c:v>
                </c:pt>
                <c:pt idx="494">
                  <c:v>1756</c:v>
                </c:pt>
                <c:pt idx="495">
                  <c:v>1755.5</c:v>
                </c:pt>
                <c:pt idx="496">
                  <c:v>1755</c:v>
                </c:pt>
                <c:pt idx="497">
                  <c:v>1754.5</c:v>
                </c:pt>
                <c:pt idx="498">
                  <c:v>1754</c:v>
                </c:pt>
                <c:pt idx="499">
                  <c:v>1753.5</c:v>
                </c:pt>
                <c:pt idx="500">
                  <c:v>1753</c:v>
                </c:pt>
                <c:pt idx="501">
                  <c:v>1752.5</c:v>
                </c:pt>
                <c:pt idx="502">
                  <c:v>1752</c:v>
                </c:pt>
                <c:pt idx="503">
                  <c:v>1751.5</c:v>
                </c:pt>
                <c:pt idx="504">
                  <c:v>1751</c:v>
                </c:pt>
                <c:pt idx="505">
                  <c:v>1750.5</c:v>
                </c:pt>
                <c:pt idx="506">
                  <c:v>1750</c:v>
                </c:pt>
                <c:pt idx="507">
                  <c:v>1749.5</c:v>
                </c:pt>
                <c:pt idx="508">
                  <c:v>1749</c:v>
                </c:pt>
                <c:pt idx="509">
                  <c:v>1748.5</c:v>
                </c:pt>
                <c:pt idx="510">
                  <c:v>1748</c:v>
                </c:pt>
                <c:pt idx="511">
                  <c:v>1747.5</c:v>
                </c:pt>
                <c:pt idx="512">
                  <c:v>1747</c:v>
                </c:pt>
                <c:pt idx="513">
                  <c:v>1746.5</c:v>
                </c:pt>
                <c:pt idx="514">
                  <c:v>1746</c:v>
                </c:pt>
                <c:pt idx="515">
                  <c:v>1745.5</c:v>
                </c:pt>
                <c:pt idx="516">
                  <c:v>1745</c:v>
                </c:pt>
                <c:pt idx="517">
                  <c:v>1744.5</c:v>
                </c:pt>
                <c:pt idx="518">
                  <c:v>1744</c:v>
                </c:pt>
                <c:pt idx="519">
                  <c:v>1743.5</c:v>
                </c:pt>
                <c:pt idx="520">
                  <c:v>1743</c:v>
                </c:pt>
                <c:pt idx="521">
                  <c:v>1742.5</c:v>
                </c:pt>
                <c:pt idx="522">
                  <c:v>1742</c:v>
                </c:pt>
                <c:pt idx="523">
                  <c:v>1741.5</c:v>
                </c:pt>
                <c:pt idx="524">
                  <c:v>1741</c:v>
                </c:pt>
                <c:pt idx="525">
                  <c:v>1740.5</c:v>
                </c:pt>
                <c:pt idx="526">
                  <c:v>1740</c:v>
                </c:pt>
                <c:pt idx="527">
                  <c:v>1739.5</c:v>
                </c:pt>
                <c:pt idx="528">
                  <c:v>1739</c:v>
                </c:pt>
                <c:pt idx="529">
                  <c:v>1738.5</c:v>
                </c:pt>
                <c:pt idx="530">
                  <c:v>1738</c:v>
                </c:pt>
                <c:pt idx="531">
                  <c:v>1737.5</c:v>
                </c:pt>
                <c:pt idx="532">
                  <c:v>1737</c:v>
                </c:pt>
                <c:pt idx="533">
                  <c:v>1736.5</c:v>
                </c:pt>
                <c:pt idx="534">
                  <c:v>1736</c:v>
                </c:pt>
                <c:pt idx="535">
                  <c:v>1735.5</c:v>
                </c:pt>
                <c:pt idx="536">
                  <c:v>1735</c:v>
                </c:pt>
                <c:pt idx="537">
                  <c:v>1734.5</c:v>
                </c:pt>
                <c:pt idx="538">
                  <c:v>1734</c:v>
                </c:pt>
                <c:pt idx="539">
                  <c:v>1733.5</c:v>
                </c:pt>
                <c:pt idx="540">
                  <c:v>1733</c:v>
                </c:pt>
                <c:pt idx="541">
                  <c:v>1732.5</c:v>
                </c:pt>
                <c:pt idx="542">
                  <c:v>1732</c:v>
                </c:pt>
                <c:pt idx="543">
                  <c:v>1731.5</c:v>
                </c:pt>
                <c:pt idx="544">
                  <c:v>1731</c:v>
                </c:pt>
                <c:pt idx="545">
                  <c:v>1730.5</c:v>
                </c:pt>
                <c:pt idx="546">
                  <c:v>1730</c:v>
                </c:pt>
                <c:pt idx="547">
                  <c:v>1729.5</c:v>
                </c:pt>
                <c:pt idx="548">
                  <c:v>1729</c:v>
                </c:pt>
                <c:pt idx="549">
                  <c:v>1728.5</c:v>
                </c:pt>
                <c:pt idx="550">
                  <c:v>1728</c:v>
                </c:pt>
                <c:pt idx="551">
                  <c:v>1727.5</c:v>
                </c:pt>
                <c:pt idx="552">
                  <c:v>1727</c:v>
                </c:pt>
                <c:pt idx="553">
                  <c:v>1726.5</c:v>
                </c:pt>
                <c:pt idx="554">
                  <c:v>1726</c:v>
                </c:pt>
                <c:pt idx="555">
                  <c:v>1725.5</c:v>
                </c:pt>
                <c:pt idx="556">
                  <c:v>1725</c:v>
                </c:pt>
                <c:pt idx="557">
                  <c:v>1724.5</c:v>
                </c:pt>
                <c:pt idx="558">
                  <c:v>1724</c:v>
                </c:pt>
                <c:pt idx="559">
                  <c:v>1723.5</c:v>
                </c:pt>
                <c:pt idx="560">
                  <c:v>1723</c:v>
                </c:pt>
                <c:pt idx="561">
                  <c:v>1722.5</c:v>
                </c:pt>
                <c:pt idx="562">
                  <c:v>1722</c:v>
                </c:pt>
                <c:pt idx="563">
                  <c:v>1721.5</c:v>
                </c:pt>
                <c:pt idx="564">
                  <c:v>1721</c:v>
                </c:pt>
                <c:pt idx="565">
                  <c:v>1720.5</c:v>
                </c:pt>
                <c:pt idx="566">
                  <c:v>1720</c:v>
                </c:pt>
                <c:pt idx="567">
                  <c:v>1719.5</c:v>
                </c:pt>
                <c:pt idx="568">
                  <c:v>1719</c:v>
                </c:pt>
                <c:pt idx="569">
                  <c:v>1718.5</c:v>
                </c:pt>
                <c:pt idx="570">
                  <c:v>1718</c:v>
                </c:pt>
                <c:pt idx="571">
                  <c:v>1717.5</c:v>
                </c:pt>
                <c:pt idx="572">
                  <c:v>1717</c:v>
                </c:pt>
                <c:pt idx="573">
                  <c:v>1716.5</c:v>
                </c:pt>
                <c:pt idx="574">
                  <c:v>1716</c:v>
                </c:pt>
                <c:pt idx="575">
                  <c:v>1715.5</c:v>
                </c:pt>
                <c:pt idx="576">
                  <c:v>1715</c:v>
                </c:pt>
                <c:pt idx="577">
                  <c:v>1714.5</c:v>
                </c:pt>
                <c:pt idx="578">
                  <c:v>1714</c:v>
                </c:pt>
                <c:pt idx="579">
                  <c:v>1713.5</c:v>
                </c:pt>
                <c:pt idx="580">
                  <c:v>1713</c:v>
                </c:pt>
                <c:pt idx="581">
                  <c:v>1712.5</c:v>
                </c:pt>
                <c:pt idx="582">
                  <c:v>1712</c:v>
                </c:pt>
                <c:pt idx="583">
                  <c:v>1711.5</c:v>
                </c:pt>
                <c:pt idx="584">
                  <c:v>1711</c:v>
                </c:pt>
                <c:pt idx="585">
                  <c:v>1710.5</c:v>
                </c:pt>
                <c:pt idx="586">
                  <c:v>1710</c:v>
                </c:pt>
                <c:pt idx="587">
                  <c:v>1709.5</c:v>
                </c:pt>
                <c:pt idx="588">
                  <c:v>1709</c:v>
                </c:pt>
                <c:pt idx="589">
                  <c:v>1708.5</c:v>
                </c:pt>
                <c:pt idx="590">
                  <c:v>1708</c:v>
                </c:pt>
                <c:pt idx="591">
                  <c:v>1707.5</c:v>
                </c:pt>
                <c:pt idx="592">
                  <c:v>1707</c:v>
                </c:pt>
                <c:pt idx="593">
                  <c:v>1706.5</c:v>
                </c:pt>
                <c:pt idx="594">
                  <c:v>1706</c:v>
                </c:pt>
                <c:pt idx="595">
                  <c:v>1705.5</c:v>
                </c:pt>
                <c:pt idx="596">
                  <c:v>1705</c:v>
                </c:pt>
                <c:pt idx="597">
                  <c:v>1704.5</c:v>
                </c:pt>
                <c:pt idx="598">
                  <c:v>1704</c:v>
                </c:pt>
                <c:pt idx="599">
                  <c:v>1703.5</c:v>
                </c:pt>
                <c:pt idx="600">
                  <c:v>1703</c:v>
                </c:pt>
                <c:pt idx="601">
                  <c:v>1702.5</c:v>
                </c:pt>
                <c:pt idx="602">
                  <c:v>1702</c:v>
                </c:pt>
                <c:pt idx="603">
                  <c:v>1701.5</c:v>
                </c:pt>
                <c:pt idx="604">
                  <c:v>1701</c:v>
                </c:pt>
                <c:pt idx="605">
                  <c:v>1700.5</c:v>
                </c:pt>
                <c:pt idx="606">
                  <c:v>1700</c:v>
                </c:pt>
                <c:pt idx="607">
                  <c:v>1699.5</c:v>
                </c:pt>
                <c:pt idx="608">
                  <c:v>1699</c:v>
                </c:pt>
                <c:pt idx="609">
                  <c:v>1698.5</c:v>
                </c:pt>
                <c:pt idx="610">
                  <c:v>1698</c:v>
                </c:pt>
                <c:pt idx="611">
                  <c:v>1697.5</c:v>
                </c:pt>
                <c:pt idx="612">
                  <c:v>1697</c:v>
                </c:pt>
                <c:pt idx="613">
                  <c:v>1696.5</c:v>
                </c:pt>
                <c:pt idx="614">
                  <c:v>1696</c:v>
                </c:pt>
                <c:pt idx="615">
                  <c:v>1695.5</c:v>
                </c:pt>
                <c:pt idx="616">
                  <c:v>1695</c:v>
                </c:pt>
                <c:pt idx="617">
                  <c:v>1694.5</c:v>
                </c:pt>
                <c:pt idx="618">
                  <c:v>1694</c:v>
                </c:pt>
                <c:pt idx="619">
                  <c:v>1693.5</c:v>
                </c:pt>
                <c:pt idx="620">
                  <c:v>1693</c:v>
                </c:pt>
                <c:pt idx="621">
                  <c:v>1692.5</c:v>
                </c:pt>
                <c:pt idx="622">
                  <c:v>1692</c:v>
                </c:pt>
                <c:pt idx="623">
                  <c:v>1691.5</c:v>
                </c:pt>
                <c:pt idx="624">
                  <c:v>1691</c:v>
                </c:pt>
                <c:pt idx="625">
                  <c:v>1690.5</c:v>
                </c:pt>
                <c:pt idx="626">
                  <c:v>1690</c:v>
                </c:pt>
                <c:pt idx="627">
                  <c:v>1689.5</c:v>
                </c:pt>
                <c:pt idx="628">
                  <c:v>1689</c:v>
                </c:pt>
                <c:pt idx="629">
                  <c:v>1688.5</c:v>
                </c:pt>
                <c:pt idx="630">
                  <c:v>1688</c:v>
                </c:pt>
                <c:pt idx="631">
                  <c:v>1687.5</c:v>
                </c:pt>
                <c:pt idx="632">
                  <c:v>1687</c:v>
                </c:pt>
                <c:pt idx="633">
                  <c:v>1686.5</c:v>
                </c:pt>
                <c:pt idx="634">
                  <c:v>1686</c:v>
                </c:pt>
                <c:pt idx="635">
                  <c:v>1685.5</c:v>
                </c:pt>
                <c:pt idx="636">
                  <c:v>1685</c:v>
                </c:pt>
                <c:pt idx="637">
                  <c:v>1684.5</c:v>
                </c:pt>
                <c:pt idx="638">
                  <c:v>1684</c:v>
                </c:pt>
                <c:pt idx="639">
                  <c:v>1683.5</c:v>
                </c:pt>
                <c:pt idx="640">
                  <c:v>1683</c:v>
                </c:pt>
                <c:pt idx="641">
                  <c:v>1682.5</c:v>
                </c:pt>
                <c:pt idx="642">
                  <c:v>1682</c:v>
                </c:pt>
                <c:pt idx="643">
                  <c:v>1681.5</c:v>
                </c:pt>
                <c:pt idx="644">
                  <c:v>1681</c:v>
                </c:pt>
                <c:pt idx="645">
                  <c:v>1680.5</c:v>
                </c:pt>
                <c:pt idx="646">
                  <c:v>1680</c:v>
                </c:pt>
                <c:pt idx="647">
                  <c:v>1679.5</c:v>
                </c:pt>
                <c:pt idx="648">
                  <c:v>1679</c:v>
                </c:pt>
                <c:pt idx="649">
                  <c:v>1678.5</c:v>
                </c:pt>
                <c:pt idx="650">
                  <c:v>1678</c:v>
                </c:pt>
                <c:pt idx="651">
                  <c:v>1677.5</c:v>
                </c:pt>
                <c:pt idx="652">
                  <c:v>1677</c:v>
                </c:pt>
                <c:pt idx="653">
                  <c:v>1676.5</c:v>
                </c:pt>
                <c:pt idx="654">
                  <c:v>1676</c:v>
                </c:pt>
                <c:pt idx="655">
                  <c:v>1675.5</c:v>
                </c:pt>
                <c:pt idx="656">
                  <c:v>1675</c:v>
                </c:pt>
                <c:pt idx="657">
                  <c:v>1674.5</c:v>
                </c:pt>
                <c:pt idx="658">
                  <c:v>1674</c:v>
                </c:pt>
                <c:pt idx="659">
                  <c:v>1673.5</c:v>
                </c:pt>
                <c:pt idx="660">
                  <c:v>1673</c:v>
                </c:pt>
                <c:pt idx="661">
                  <c:v>1672.5</c:v>
                </c:pt>
                <c:pt idx="662">
                  <c:v>1672</c:v>
                </c:pt>
                <c:pt idx="663">
                  <c:v>1671.5</c:v>
                </c:pt>
                <c:pt idx="664">
                  <c:v>1671</c:v>
                </c:pt>
                <c:pt idx="665">
                  <c:v>1670.5</c:v>
                </c:pt>
                <c:pt idx="666">
                  <c:v>1670</c:v>
                </c:pt>
                <c:pt idx="667">
                  <c:v>1669.5</c:v>
                </c:pt>
                <c:pt idx="668">
                  <c:v>1669</c:v>
                </c:pt>
                <c:pt idx="669">
                  <c:v>1668.5</c:v>
                </c:pt>
                <c:pt idx="670">
                  <c:v>1668</c:v>
                </c:pt>
                <c:pt idx="671">
                  <c:v>1667.5</c:v>
                </c:pt>
                <c:pt idx="672">
                  <c:v>1667</c:v>
                </c:pt>
                <c:pt idx="673">
                  <c:v>1666.5</c:v>
                </c:pt>
                <c:pt idx="674">
                  <c:v>1666</c:v>
                </c:pt>
                <c:pt idx="675">
                  <c:v>1665.5</c:v>
                </c:pt>
                <c:pt idx="676">
                  <c:v>1665</c:v>
                </c:pt>
                <c:pt idx="677">
                  <c:v>1664.5</c:v>
                </c:pt>
                <c:pt idx="678">
                  <c:v>1664</c:v>
                </c:pt>
                <c:pt idx="679">
                  <c:v>1663.5</c:v>
                </c:pt>
                <c:pt idx="680">
                  <c:v>1663</c:v>
                </c:pt>
                <c:pt idx="681">
                  <c:v>1662.5</c:v>
                </c:pt>
                <c:pt idx="682">
                  <c:v>1662</c:v>
                </c:pt>
                <c:pt idx="683">
                  <c:v>1661.5</c:v>
                </c:pt>
                <c:pt idx="684">
                  <c:v>1661</c:v>
                </c:pt>
                <c:pt idx="685">
                  <c:v>1660.5</c:v>
                </c:pt>
                <c:pt idx="686">
                  <c:v>1660</c:v>
                </c:pt>
                <c:pt idx="687">
                  <c:v>1659.5</c:v>
                </c:pt>
                <c:pt idx="688">
                  <c:v>1659</c:v>
                </c:pt>
                <c:pt idx="689">
                  <c:v>1658.5</c:v>
                </c:pt>
                <c:pt idx="690">
                  <c:v>1658</c:v>
                </c:pt>
                <c:pt idx="691">
                  <c:v>1657.5</c:v>
                </c:pt>
                <c:pt idx="692">
                  <c:v>1657</c:v>
                </c:pt>
                <c:pt idx="693">
                  <c:v>1656.5</c:v>
                </c:pt>
                <c:pt idx="694">
                  <c:v>1656</c:v>
                </c:pt>
                <c:pt idx="695">
                  <c:v>1655.5</c:v>
                </c:pt>
                <c:pt idx="696">
                  <c:v>1655</c:v>
                </c:pt>
                <c:pt idx="697">
                  <c:v>1654.5</c:v>
                </c:pt>
                <c:pt idx="698">
                  <c:v>1654</c:v>
                </c:pt>
                <c:pt idx="699">
                  <c:v>1653.5</c:v>
                </c:pt>
                <c:pt idx="700">
                  <c:v>1653</c:v>
                </c:pt>
                <c:pt idx="701">
                  <c:v>1652.5</c:v>
                </c:pt>
                <c:pt idx="702">
                  <c:v>1652</c:v>
                </c:pt>
                <c:pt idx="703">
                  <c:v>1651.5</c:v>
                </c:pt>
                <c:pt idx="704">
                  <c:v>1651</c:v>
                </c:pt>
                <c:pt idx="705">
                  <c:v>1650.5</c:v>
                </c:pt>
                <c:pt idx="706">
                  <c:v>1650</c:v>
                </c:pt>
                <c:pt idx="707">
                  <c:v>1649.5</c:v>
                </c:pt>
                <c:pt idx="708">
                  <c:v>1649</c:v>
                </c:pt>
                <c:pt idx="709">
                  <c:v>1648.5</c:v>
                </c:pt>
                <c:pt idx="710">
                  <c:v>1648</c:v>
                </c:pt>
                <c:pt idx="711">
                  <c:v>1647.5</c:v>
                </c:pt>
                <c:pt idx="712">
                  <c:v>1647</c:v>
                </c:pt>
                <c:pt idx="713">
                  <c:v>1646.5</c:v>
                </c:pt>
                <c:pt idx="714">
                  <c:v>1646</c:v>
                </c:pt>
                <c:pt idx="715">
                  <c:v>1645.5</c:v>
                </c:pt>
                <c:pt idx="716">
                  <c:v>1645</c:v>
                </c:pt>
                <c:pt idx="717">
                  <c:v>1644.5</c:v>
                </c:pt>
                <c:pt idx="718">
                  <c:v>1644</c:v>
                </c:pt>
                <c:pt idx="719">
                  <c:v>1643.5</c:v>
                </c:pt>
                <c:pt idx="720">
                  <c:v>1643</c:v>
                </c:pt>
                <c:pt idx="721">
                  <c:v>1642.5</c:v>
                </c:pt>
                <c:pt idx="722">
                  <c:v>1642</c:v>
                </c:pt>
                <c:pt idx="723">
                  <c:v>1641.5</c:v>
                </c:pt>
                <c:pt idx="724">
                  <c:v>1641</c:v>
                </c:pt>
                <c:pt idx="725">
                  <c:v>1640.5</c:v>
                </c:pt>
                <c:pt idx="726">
                  <c:v>1640</c:v>
                </c:pt>
                <c:pt idx="727">
                  <c:v>1639.5</c:v>
                </c:pt>
                <c:pt idx="728">
                  <c:v>1639</c:v>
                </c:pt>
                <c:pt idx="729">
                  <c:v>1638.5</c:v>
                </c:pt>
                <c:pt idx="730">
                  <c:v>1638</c:v>
                </c:pt>
                <c:pt idx="731">
                  <c:v>1637.5</c:v>
                </c:pt>
                <c:pt idx="732">
                  <c:v>1637</c:v>
                </c:pt>
                <c:pt idx="733">
                  <c:v>1636.5</c:v>
                </c:pt>
                <c:pt idx="734">
                  <c:v>1636</c:v>
                </c:pt>
                <c:pt idx="735">
                  <c:v>1635.5</c:v>
                </c:pt>
                <c:pt idx="736">
                  <c:v>1635</c:v>
                </c:pt>
                <c:pt idx="737">
                  <c:v>1634.5</c:v>
                </c:pt>
                <c:pt idx="738">
                  <c:v>1634</c:v>
                </c:pt>
                <c:pt idx="739">
                  <c:v>1633.5</c:v>
                </c:pt>
                <c:pt idx="740">
                  <c:v>1633</c:v>
                </c:pt>
                <c:pt idx="741">
                  <c:v>1632.5</c:v>
                </c:pt>
                <c:pt idx="742">
                  <c:v>1632</c:v>
                </c:pt>
                <c:pt idx="743">
                  <c:v>1631.5</c:v>
                </c:pt>
                <c:pt idx="744">
                  <c:v>1631</c:v>
                </c:pt>
                <c:pt idx="745">
                  <c:v>1630.5</c:v>
                </c:pt>
                <c:pt idx="746">
                  <c:v>1630</c:v>
                </c:pt>
                <c:pt idx="747">
                  <c:v>1629.5</c:v>
                </c:pt>
                <c:pt idx="748">
                  <c:v>1629</c:v>
                </c:pt>
                <c:pt idx="749">
                  <c:v>1628.5</c:v>
                </c:pt>
                <c:pt idx="750">
                  <c:v>1628</c:v>
                </c:pt>
                <c:pt idx="751">
                  <c:v>1627.5</c:v>
                </c:pt>
                <c:pt idx="752">
                  <c:v>1627</c:v>
                </c:pt>
                <c:pt idx="753">
                  <c:v>1626.5</c:v>
                </c:pt>
                <c:pt idx="754">
                  <c:v>1626</c:v>
                </c:pt>
                <c:pt idx="755">
                  <c:v>1625.5</c:v>
                </c:pt>
                <c:pt idx="756">
                  <c:v>1625</c:v>
                </c:pt>
                <c:pt idx="757">
                  <c:v>1624.5</c:v>
                </c:pt>
                <c:pt idx="758">
                  <c:v>1624</c:v>
                </c:pt>
                <c:pt idx="759">
                  <c:v>1623.5</c:v>
                </c:pt>
                <c:pt idx="760">
                  <c:v>1623</c:v>
                </c:pt>
                <c:pt idx="761">
                  <c:v>1622.5</c:v>
                </c:pt>
                <c:pt idx="762">
                  <c:v>1622</c:v>
                </c:pt>
                <c:pt idx="763">
                  <c:v>1621.5</c:v>
                </c:pt>
                <c:pt idx="764">
                  <c:v>1621</c:v>
                </c:pt>
                <c:pt idx="765">
                  <c:v>1620.5</c:v>
                </c:pt>
                <c:pt idx="766">
                  <c:v>1620</c:v>
                </c:pt>
                <c:pt idx="767">
                  <c:v>1619.5</c:v>
                </c:pt>
                <c:pt idx="768">
                  <c:v>1619</c:v>
                </c:pt>
                <c:pt idx="769">
                  <c:v>1618.5</c:v>
                </c:pt>
                <c:pt idx="770">
                  <c:v>1618</c:v>
                </c:pt>
                <c:pt idx="771">
                  <c:v>1617.5</c:v>
                </c:pt>
                <c:pt idx="772">
                  <c:v>1617</c:v>
                </c:pt>
                <c:pt idx="773">
                  <c:v>1616.5</c:v>
                </c:pt>
                <c:pt idx="774">
                  <c:v>1616</c:v>
                </c:pt>
                <c:pt idx="775">
                  <c:v>1615.5</c:v>
                </c:pt>
                <c:pt idx="776">
                  <c:v>1615</c:v>
                </c:pt>
                <c:pt idx="777">
                  <c:v>1614.5</c:v>
                </c:pt>
                <c:pt idx="778">
                  <c:v>1614</c:v>
                </c:pt>
                <c:pt idx="779">
                  <c:v>1613.5</c:v>
                </c:pt>
                <c:pt idx="780">
                  <c:v>1613</c:v>
                </c:pt>
                <c:pt idx="781">
                  <c:v>1612.5</c:v>
                </c:pt>
                <c:pt idx="782">
                  <c:v>1612</c:v>
                </c:pt>
                <c:pt idx="783">
                  <c:v>1611.5</c:v>
                </c:pt>
                <c:pt idx="784">
                  <c:v>1611</c:v>
                </c:pt>
                <c:pt idx="785">
                  <c:v>1610.5</c:v>
                </c:pt>
                <c:pt idx="786">
                  <c:v>1610</c:v>
                </c:pt>
                <c:pt idx="787">
                  <c:v>1609.5</c:v>
                </c:pt>
                <c:pt idx="788">
                  <c:v>1609</c:v>
                </c:pt>
                <c:pt idx="789">
                  <c:v>1608.5</c:v>
                </c:pt>
                <c:pt idx="790">
                  <c:v>1608</c:v>
                </c:pt>
                <c:pt idx="791">
                  <c:v>1607.5</c:v>
                </c:pt>
                <c:pt idx="792">
                  <c:v>1607</c:v>
                </c:pt>
                <c:pt idx="793">
                  <c:v>1606.5</c:v>
                </c:pt>
                <c:pt idx="794">
                  <c:v>1606</c:v>
                </c:pt>
                <c:pt idx="795">
                  <c:v>1605.5</c:v>
                </c:pt>
                <c:pt idx="796">
                  <c:v>1605</c:v>
                </c:pt>
                <c:pt idx="797">
                  <c:v>1604.5</c:v>
                </c:pt>
                <c:pt idx="798">
                  <c:v>1604</c:v>
                </c:pt>
                <c:pt idx="799">
                  <c:v>1603.5</c:v>
                </c:pt>
                <c:pt idx="800">
                  <c:v>1603</c:v>
                </c:pt>
                <c:pt idx="801">
                  <c:v>1602.5</c:v>
                </c:pt>
                <c:pt idx="802">
                  <c:v>1602</c:v>
                </c:pt>
                <c:pt idx="803">
                  <c:v>1601.5</c:v>
                </c:pt>
                <c:pt idx="804">
                  <c:v>1601</c:v>
                </c:pt>
                <c:pt idx="805">
                  <c:v>1600.5</c:v>
                </c:pt>
                <c:pt idx="806">
                  <c:v>1600</c:v>
                </c:pt>
                <c:pt idx="807">
                  <c:v>1599.5</c:v>
                </c:pt>
                <c:pt idx="808">
                  <c:v>1599</c:v>
                </c:pt>
                <c:pt idx="809">
                  <c:v>1598.5</c:v>
                </c:pt>
                <c:pt idx="810">
                  <c:v>1598</c:v>
                </c:pt>
                <c:pt idx="811">
                  <c:v>1597.5</c:v>
                </c:pt>
                <c:pt idx="812">
                  <c:v>1597</c:v>
                </c:pt>
                <c:pt idx="813">
                  <c:v>1596.5</c:v>
                </c:pt>
                <c:pt idx="814">
                  <c:v>1596</c:v>
                </c:pt>
                <c:pt idx="815">
                  <c:v>1595.5</c:v>
                </c:pt>
                <c:pt idx="816">
                  <c:v>1595</c:v>
                </c:pt>
                <c:pt idx="817">
                  <c:v>1594.5</c:v>
                </c:pt>
                <c:pt idx="818">
                  <c:v>1594</c:v>
                </c:pt>
                <c:pt idx="819">
                  <c:v>1593.5</c:v>
                </c:pt>
                <c:pt idx="820">
                  <c:v>1593</c:v>
                </c:pt>
                <c:pt idx="821">
                  <c:v>1592.5</c:v>
                </c:pt>
                <c:pt idx="822">
                  <c:v>1592</c:v>
                </c:pt>
                <c:pt idx="823">
                  <c:v>1591.5</c:v>
                </c:pt>
                <c:pt idx="824">
                  <c:v>1591</c:v>
                </c:pt>
                <c:pt idx="825">
                  <c:v>1590.5</c:v>
                </c:pt>
                <c:pt idx="826">
                  <c:v>1590</c:v>
                </c:pt>
                <c:pt idx="827">
                  <c:v>1589.5</c:v>
                </c:pt>
                <c:pt idx="828">
                  <c:v>1589</c:v>
                </c:pt>
                <c:pt idx="829">
                  <c:v>1588.5</c:v>
                </c:pt>
                <c:pt idx="830">
                  <c:v>1588</c:v>
                </c:pt>
                <c:pt idx="831">
                  <c:v>1587.5</c:v>
                </c:pt>
                <c:pt idx="832">
                  <c:v>1587</c:v>
                </c:pt>
                <c:pt idx="833">
                  <c:v>1586.5</c:v>
                </c:pt>
                <c:pt idx="834">
                  <c:v>1586</c:v>
                </c:pt>
                <c:pt idx="835">
                  <c:v>1585.5</c:v>
                </c:pt>
                <c:pt idx="836">
                  <c:v>1585</c:v>
                </c:pt>
                <c:pt idx="837">
                  <c:v>1584.5</c:v>
                </c:pt>
                <c:pt idx="838">
                  <c:v>1584</c:v>
                </c:pt>
                <c:pt idx="839">
                  <c:v>1583.5</c:v>
                </c:pt>
                <c:pt idx="840">
                  <c:v>1583</c:v>
                </c:pt>
                <c:pt idx="841">
                  <c:v>1582.5</c:v>
                </c:pt>
                <c:pt idx="842">
                  <c:v>1582</c:v>
                </c:pt>
                <c:pt idx="843">
                  <c:v>1581.5</c:v>
                </c:pt>
                <c:pt idx="844">
                  <c:v>1581</c:v>
                </c:pt>
                <c:pt idx="845">
                  <c:v>1580.5</c:v>
                </c:pt>
                <c:pt idx="846">
                  <c:v>1580</c:v>
                </c:pt>
                <c:pt idx="847">
                  <c:v>1579.5</c:v>
                </c:pt>
                <c:pt idx="848">
                  <c:v>1579</c:v>
                </c:pt>
                <c:pt idx="849">
                  <c:v>1578.5</c:v>
                </c:pt>
                <c:pt idx="850">
                  <c:v>1578</c:v>
                </c:pt>
                <c:pt idx="851">
                  <c:v>1577.5</c:v>
                </c:pt>
                <c:pt idx="852">
                  <c:v>1577</c:v>
                </c:pt>
                <c:pt idx="853">
                  <c:v>1576.5</c:v>
                </c:pt>
                <c:pt idx="854">
                  <c:v>1576</c:v>
                </c:pt>
                <c:pt idx="855">
                  <c:v>1575.5</c:v>
                </c:pt>
                <c:pt idx="856">
                  <c:v>1575</c:v>
                </c:pt>
                <c:pt idx="857">
                  <c:v>1574.5</c:v>
                </c:pt>
                <c:pt idx="858">
                  <c:v>1574</c:v>
                </c:pt>
                <c:pt idx="859">
                  <c:v>1573.5</c:v>
                </c:pt>
                <c:pt idx="860">
                  <c:v>1573</c:v>
                </c:pt>
                <c:pt idx="861">
                  <c:v>1572.5</c:v>
                </c:pt>
                <c:pt idx="862">
                  <c:v>1572</c:v>
                </c:pt>
                <c:pt idx="863">
                  <c:v>1571.5</c:v>
                </c:pt>
                <c:pt idx="864">
                  <c:v>1571</c:v>
                </c:pt>
                <c:pt idx="865">
                  <c:v>1570.5</c:v>
                </c:pt>
                <c:pt idx="866">
                  <c:v>1570</c:v>
                </c:pt>
                <c:pt idx="867">
                  <c:v>1569.5</c:v>
                </c:pt>
                <c:pt idx="868">
                  <c:v>1569</c:v>
                </c:pt>
                <c:pt idx="869">
                  <c:v>1568.5</c:v>
                </c:pt>
                <c:pt idx="870">
                  <c:v>1568</c:v>
                </c:pt>
                <c:pt idx="871">
                  <c:v>1567.5</c:v>
                </c:pt>
                <c:pt idx="872">
                  <c:v>1567</c:v>
                </c:pt>
                <c:pt idx="873">
                  <c:v>1566.5</c:v>
                </c:pt>
                <c:pt idx="874">
                  <c:v>1566</c:v>
                </c:pt>
                <c:pt idx="875">
                  <c:v>1565.5</c:v>
                </c:pt>
                <c:pt idx="876">
                  <c:v>1565</c:v>
                </c:pt>
                <c:pt idx="877">
                  <c:v>1564.5</c:v>
                </c:pt>
                <c:pt idx="878">
                  <c:v>1564</c:v>
                </c:pt>
                <c:pt idx="879">
                  <c:v>1563.5</c:v>
                </c:pt>
                <c:pt idx="880">
                  <c:v>1563</c:v>
                </c:pt>
                <c:pt idx="881">
                  <c:v>1562.5</c:v>
                </c:pt>
                <c:pt idx="882">
                  <c:v>1562</c:v>
                </c:pt>
                <c:pt idx="883">
                  <c:v>1561.5</c:v>
                </c:pt>
                <c:pt idx="884">
                  <c:v>1561</c:v>
                </c:pt>
                <c:pt idx="885">
                  <c:v>1560.5</c:v>
                </c:pt>
                <c:pt idx="886">
                  <c:v>1560</c:v>
                </c:pt>
                <c:pt idx="887">
                  <c:v>1559.5</c:v>
                </c:pt>
                <c:pt idx="888">
                  <c:v>1559</c:v>
                </c:pt>
                <c:pt idx="889">
                  <c:v>1558.5</c:v>
                </c:pt>
                <c:pt idx="890">
                  <c:v>1558</c:v>
                </c:pt>
                <c:pt idx="891">
                  <c:v>1557.5</c:v>
                </c:pt>
                <c:pt idx="892">
                  <c:v>1557</c:v>
                </c:pt>
                <c:pt idx="893">
                  <c:v>1556.5</c:v>
                </c:pt>
                <c:pt idx="894">
                  <c:v>1556</c:v>
                </c:pt>
                <c:pt idx="895">
                  <c:v>1555.5</c:v>
                </c:pt>
                <c:pt idx="896">
                  <c:v>1555</c:v>
                </c:pt>
                <c:pt idx="897">
                  <c:v>1554.5</c:v>
                </c:pt>
                <c:pt idx="898">
                  <c:v>1554</c:v>
                </c:pt>
                <c:pt idx="899">
                  <c:v>1553.5</c:v>
                </c:pt>
                <c:pt idx="900">
                  <c:v>1553</c:v>
                </c:pt>
                <c:pt idx="901">
                  <c:v>1552.5</c:v>
                </c:pt>
                <c:pt idx="902">
                  <c:v>1552</c:v>
                </c:pt>
                <c:pt idx="903">
                  <c:v>1551.5</c:v>
                </c:pt>
                <c:pt idx="904">
                  <c:v>1551</c:v>
                </c:pt>
                <c:pt idx="905">
                  <c:v>1550.5</c:v>
                </c:pt>
                <c:pt idx="906">
                  <c:v>1550</c:v>
                </c:pt>
                <c:pt idx="907">
                  <c:v>1549.5</c:v>
                </c:pt>
                <c:pt idx="908">
                  <c:v>1549</c:v>
                </c:pt>
                <c:pt idx="909">
                  <c:v>1548.5</c:v>
                </c:pt>
                <c:pt idx="910">
                  <c:v>1548</c:v>
                </c:pt>
                <c:pt idx="911">
                  <c:v>1547.5</c:v>
                </c:pt>
                <c:pt idx="912">
                  <c:v>1547</c:v>
                </c:pt>
                <c:pt idx="913">
                  <c:v>1546.5</c:v>
                </c:pt>
                <c:pt idx="914">
                  <c:v>1546</c:v>
                </c:pt>
                <c:pt idx="915">
                  <c:v>1545.5</c:v>
                </c:pt>
                <c:pt idx="916">
                  <c:v>1545</c:v>
                </c:pt>
                <c:pt idx="917">
                  <c:v>1544.5</c:v>
                </c:pt>
                <c:pt idx="918">
                  <c:v>1544</c:v>
                </c:pt>
                <c:pt idx="919">
                  <c:v>1543.5</c:v>
                </c:pt>
                <c:pt idx="920">
                  <c:v>1543</c:v>
                </c:pt>
                <c:pt idx="921">
                  <c:v>1542.5</c:v>
                </c:pt>
                <c:pt idx="922">
                  <c:v>1542</c:v>
                </c:pt>
                <c:pt idx="923">
                  <c:v>1541.5</c:v>
                </c:pt>
                <c:pt idx="924">
                  <c:v>1541</c:v>
                </c:pt>
                <c:pt idx="925">
                  <c:v>1540.5</c:v>
                </c:pt>
                <c:pt idx="926">
                  <c:v>1540</c:v>
                </c:pt>
                <c:pt idx="927">
                  <c:v>1539.5</c:v>
                </c:pt>
                <c:pt idx="928">
                  <c:v>1539</c:v>
                </c:pt>
                <c:pt idx="929">
                  <c:v>1538.5</c:v>
                </c:pt>
                <c:pt idx="930">
                  <c:v>1538</c:v>
                </c:pt>
                <c:pt idx="931">
                  <c:v>1537.5</c:v>
                </c:pt>
                <c:pt idx="932">
                  <c:v>1537</c:v>
                </c:pt>
                <c:pt idx="933">
                  <c:v>1536.5</c:v>
                </c:pt>
                <c:pt idx="934">
                  <c:v>1536</c:v>
                </c:pt>
                <c:pt idx="935">
                  <c:v>1535.5</c:v>
                </c:pt>
                <c:pt idx="936">
                  <c:v>1535</c:v>
                </c:pt>
                <c:pt idx="937">
                  <c:v>1534.5</c:v>
                </c:pt>
                <c:pt idx="938">
                  <c:v>1534</c:v>
                </c:pt>
                <c:pt idx="939">
                  <c:v>1533.5</c:v>
                </c:pt>
                <c:pt idx="940">
                  <c:v>1533</c:v>
                </c:pt>
                <c:pt idx="941">
                  <c:v>1532.5</c:v>
                </c:pt>
                <c:pt idx="942">
                  <c:v>1532</c:v>
                </c:pt>
                <c:pt idx="943">
                  <c:v>1531.5</c:v>
                </c:pt>
                <c:pt idx="944">
                  <c:v>1531</c:v>
                </c:pt>
                <c:pt idx="945">
                  <c:v>1530.5</c:v>
                </c:pt>
                <c:pt idx="946">
                  <c:v>1530</c:v>
                </c:pt>
                <c:pt idx="947">
                  <c:v>1529.5</c:v>
                </c:pt>
                <c:pt idx="948">
                  <c:v>1529</c:v>
                </c:pt>
                <c:pt idx="949">
                  <c:v>1528.5</c:v>
                </c:pt>
                <c:pt idx="950">
                  <c:v>1528</c:v>
                </c:pt>
                <c:pt idx="951">
                  <c:v>1527.5</c:v>
                </c:pt>
                <c:pt idx="952">
                  <c:v>1527</c:v>
                </c:pt>
                <c:pt idx="953">
                  <c:v>1526.5</c:v>
                </c:pt>
                <c:pt idx="954">
                  <c:v>1526</c:v>
                </c:pt>
                <c:pt idx="955">
                  <c:v>1525.5</c:v>
                </c:pt>
                <c:pt idx="956">
                  <c:v>1525</c:v>
                </c:pt>
                <c:pt idx="957">
                  <c:v>1524.5</c:v>
                </c:pt>
                <c:pt idx="958">
                  <c:v>1524</c:v>
                </c:pt>
                <c:pt idx="959">
                  <c:v>1523.5</c:v>
                </c:pt>
                <c:pt idx="960">
                  <c:v>1523</c:v>
                </c:pt>
                <c:pt idx="961">
                  <c:v>1510.7</c:v>
                </c:pt>
                <c:pt idx="962">
                  <c:v>1498.4</c:v>
                </c:pt>
                <c:pt idx="963">
                  <c:v>1486.1000000000001</c:v>
                </c:pt>
                <c:pt idx="964">
                  <c:v>1473.8000000000002</c:v>
                </c:pt>
                <c:pt idx="965">
                  <c:v>1461.5</c:v>
                </c:pt>
                <c:pt idx="966">
                  <c:v>1449.2</c:v>
                </c:pt>
                <c:pt idx="967">
                  <c:v>1436.9</c:v>
                </c:pt>
                <c:pt idx="968">
                  <c:v>1424.6000000000001</c:v>
                </c:pt>
                <c:pt idx="969">
                  <c:v>1412.3</c:v>
                </c:pt>
                <c:pt idx="970">
                  <c:v>1400</c:v>
                </c:pt>
                <c:pt idx="971">
                  <c:v>1387.7</c:v>
                </c:pt>
                <c:pt idx="972">
                  <c:v>1375.4</c:v>
                </c:pt>
                <c:pt idx="973">
                  <c:v>1363.1000000000001</c:v>
                </c:pt>
                <c:pt idx="974">
                  <c:v>1350.8</c:v>
                </c:pt>
                <c:pt idx="975">
                  <c:v>1338.5</c:v>
                </c:pt>
                <c:pt idx="976">
                  <c:v>1326.2</c:v>
                </c:pt>
                <c:pt idx="977">
                  <c:v>1313.9</c:v>
                </c:pt>
                <c:pt idx="978">
                  <c:v>1301.5999999999999</c:v>
                </c:pt>
                <c:pt idx="979">
                  <c:v>1289.3000000000002</c:v>
                </c:pt>
                <c:pt idx="980">
                  <c:v>1277</c:v>
                </c:pt>
                <c:pt idx="981">
                  <c:v>1264.7</c:v>
                </c:pt>
                <c:pt idx="982">
                  <c:v>1252.4000000000001</c:v>
                </c:pt>
                <c:pt idx="983">
                  <c:v>1240.0999999999999</c:v>
                </c:pt>
                <c:pt idx="984">
                  <c:v>1227.8000000000002</c:v>
                </c:pt>
                <c:pt idx="985">
                  <c:v>1215.5</c:v>
                </c:pt>
                <c:pt idx="986">
                  <c:v>1203.2</c:v>
                </c:pt>
                <c:pt idx="987">
                  <c:v>1190.9000000000001</c:v>
                </c:pt>
                <c:pt idx="988">
                  <c:v>1178.5999999999999</c:v>
                </c:pt>
                <c:pt idx="989">
                  <c:v>1166.3000000000002</c:v>
                </c:pt>
                <c:pt idx="990">
                  <c:v>1154</c:v>
                </c:pt>
                <c:pt idx="991">
                  <c:v>1141.7</c:v>
                </c:pt>
                <c:pt idx="992">
                  <c:v>1129.4000000000001</c:v>
                </c:pt>
                <c:pt idx="993">
                  <c:v>1117.0999999999999</c:v>
                </c:pt>
                <c:pt idx="994">
                  <c:v>1104.8000000000002</c:v>
                </c:pt>
                <c:pt idx="995">
                  <c:v>1092.5</c:v>
                </c:pt>
                <c:pt idx="996">
                  <c:v>1080.2</c:v>
                </c:pt>
                <c:pt idx="997">
                  <c:v>1067.9000000000001</c:v>
                </c:pt>
                <c:pt idx="998">
                  <c:v>1055.5999999999999</c:v>
                </c:pt>
                <c:pt idx="999">
                  <c:v>1043.3000000000002</c:v>
                </c:pt>
                <c:pt idx="1000">
                  <c:v>1031</c:v>
                </c:pt>
                <c:pt idx="1001">
                  <c:v>1018.7</c:v>
                </c:pt>
                <c:pt idx="1002">
                  <c:v>1006.4000000000001</c:v>
                </c:pt>
                <c:pt idx="1003">
                  <c:v>994.1</c:v>
                </c:pt>
                <c:pt idx="1004">
                  <c:v>981.80000000000007</c:v>
                </c:pt>
                <c:pt idx="1005">
                  <c:v>969.5</c:v>
                </c:pt>
                <c:pt idx="1006">
                  <c:v>957.2</c:v>
                </c:pt>
                <c:pt idx="1007">
                  <c:v>944.90000000000009</c:v>
                </c:pt>
                <c:pt idx="1008">
                  <c:v>932.6</c:v>
                </c:pt>
                <c:pt idx="1009">
                  <c:v>920.30000000000007</c:v>
                </c:pt>
                <c:pt idx="1010">
                  <c:v>908</c:v>
                </c:pt>
                <c:pt idx="1011">
                  <c:v>895.7</c:v>
                </c:pt>
                <c:pt idx="1012">
                  <c:v>883.40000000000009</c:v>
                </c:pt>
                <c:pt idx="1013">
                  <c:v>871.1</c:v>
                </c:pt>
                <c:pt idx="1014">
                  <c:v>858.80000000000007</c:v>
                </c:pt>
                <c:pt idx="1015">
                  <c:v>846.5</c:v>
                </c:pt>
                <c:pt idx="1016">
                  <c:v>834.2</c:v>
                </c:pt>
                <c:pt idx="1017">
                  <c:v>821.9</c:v>
                </c:pt>
                <c:pt idx="1018">
                  <c:v>809.6</c:v>
                </c:pt>
                <c:pt idx="1019">
                  <c:v>797.3</c:v>
                </c:pt>
                <c:pt idx="1020">
                  <c:v>785</c:v>
                </c:pt>
                <c:pt idx="1021">
                  <c:v>772.7</c:v>
                </c:pt>
                <c:pt idx="1022">
                  <c:v>760.40000000000009</c:v>
                </c:pt>
                <c:pt idx="1023">
                  <c:v>748.1</c:v>
                </c:pt>
                <c:pt idx="1024">
                  <c:v>735.8</c:v>
                </c:pt>
                <c:pt idx="1025">
                  <c:v>723.5</c:v>
                </c:pt>
                <c:pt idx="1026">
                  <c:v>711.2</c:v>
                </c:pt>
                <c:pt idx="1027">
                  <c:v>698.90000000000009</c:v>
                </c:pt>
                <c:pt idx="1028">
                  <c:v>686.6</c:v>
                </c:pt>
                <c:pt idx="1029">
                  <c:v>674.3</c:v>
                </c:pt>
                <c:pt idx="1030">
                  <c:v>662</c:v>
                </c:pt>
                <c:pt idx="1031">
                  <c:v>649.70000000000005</c:v>
                </c:pt>
                <c:pt idx="1032">
                  <c:v>637.40000000000009</c:v>
                </c:pt>
                <c:pt idx="1033">
                  <c:v>625.1</c:v>
                </c:pt>
                <c:pt idx="1034">
                  <c:v>612.79999999999995</c:v>
                </c:pt>
                <c:pt idx="1035">
                  <c:v>600.5</c:v>
                </c:pt>
                <c:pt idx="1036">
                  <c:v>588.20000000000005</c:v>
                </c:pt>
                <c:pt idx="1037">
                  <c:v>575.90000000000009</c:v>
                </c:pt>
                <c:pt idx="1038">
                  <c:v>563.6</c:v>
                </c:pt>
                <c:pt idx="1039">
                  <c:v>551.29999999999995</c:v>
                </c:pt>
                <c:pt idx="1040">
                  <c:v>539</c:v>
                </c:pt>
                <c:pt idx="1041">
                  <c:v>526.70000000000005</c:v>
                </c:pt>
                <c:pt idx="1042">
                  <c:v>514.4</c:v>
                </c:pt>
                <c:pt idx="1043">
                  <c:v>502.1</c:v>
                </c:pt>
                <c:pt idx="1044">
                  <c:v>489.8</c:v>
                </c:pt>
                <c:pt idx="1045">
                  <c:v>477.5</c:v>
                </c:pt>
                <c:pt idx="1046">
                  <c:v>465.20000000000005</c:v>
                </c:pt>
                <c:pt idx="1047">
                  <c:v>452.9</c:v>
                </c:pt>
                <c:pt idx="1048">
                  <c:v>440.6</c:v>
                </c:pt>
                <c:pt idx="1049">
                  <c:v>428.3</c:v>
                </c:pt>
                <c:pt idx="1050">
                  <c:v>416</c:v>
                </c:pt>
                <c:pt idx="1051">
                  <c:v>403.7</c:v>
                </c:pt>
                <c:pt idx="1052">
                  <c:v>391.4</c:v>
                </c:pt>
                <c:pt idx="1053">
                  <c:v>379.1</c:v>
                </c:pt>
                <c:pt idx="1054">
                  <c:v>366.8</c:v>
                </c:pt>
                <c:pt idx="1055">
                  <c:v>354.5</c:v>
                </c:pt>
                <c:pt idx="1056">
                  <c:v>342.2</c:v>
                </c:pt>
                <c:pt idx="1057">
                  <c:v>329.9</c:v>
                </c:pt>
                <c:pt idx="1058">
                  <c:v>317.60000000000002</c:v>
                </c:pt>
                <c:pt idx="1059">
                  <c:v>305.3</c:v>
                </c:pt>
                <c:pt idx="1060">
                  <c:v>293</c:v>
                </c:pt>
              </c:numCache>
            </c:numRef>
          </c:xVal>
          <c:yVal>
            <c:numRef>
              <c:f>Sheet2!$O$31:$O$1095</c:f>
              <c:numCache>
                <c:formatCode>0.00E+00</c:formatCode>
                <c:ptCount val="1065"/>
                <c:pt idx="0">
                  <c:v>249281686900761.28</c:v>
                </c:pt>
                <c:pt idx="1">
                  <c:v>251308104725099.62</c:v>
                </c:pt>
                <c:pt idx="2">
                  <c:v>253352019920070.69</c:v>
                </c:pt>
                <c:pt idx="3">
                  <c:v>255413592166318.97</c:v>
                </c:pt>
                <c:pt idx="4">
                  <c:v>257492982678298.88</c:v>
                </c:pt>
                <c:pt idx="5">
                  <c:v>259590354219702.81</c:v>
                </c:pt>
                <c:pt idx="6">
                  <c:v>261705871119091.47</c:v>
                </c:pt>
                <c:pt idx="7">
                  <c:v>263839699285669.41</c:v>
                </c:pt>
                <c:pt idx="8">
                  <c:v>265992006225226.12</c:v>
                </c:pt>
                <c:pt idx="9">
                  <c:v>268162961056264.81</c:v>
                </c:pt>
                <c:pt idx="10">
                  <c:v>270352734526268.75</c:v>
                </c:pt>
                <c:pt idx="11">
                  <c:v>272561499028167.94</c:v>
                </c:pt>
                <c:pt idx="12">
                  <c:v>274789428616970.44</c:v>
                </c:pt>
                <c:pt idx="13">
                  <c:v>277036699026563.47</c:v>
                </c:pt>
                <c:pt idx="14">
                  <c:v>279303487686699.94</c:v>
                </c:pt>
                <c:pt idx="15">
                  <c:v>281589973740162.56</c:v>
                </c:pt>
                <c:pt idx="16">
                  <c:v>283896338060102.12</c:v>
                </c:pt>
                <c:pt idx="17">
                  <c:v>286222763267580.62</c:v>
                </c:pt>
                <c:pt idx="18">
                  <c:v>288569433749266.75</c:v>
                </c:pt>
                <c:pt idx="19">
                  <c:v>290936535675354.62</c:v>
                </c:pt>
                <c:pt idx="20">
                  <c:v>293324257017644.62</c:v>
                </c:pt>
                <c:pt idx="21">
                  <c:v>295732787567831.75</c:v>
                </c:pt>
                <c:pt idx="22">
                  <c:v>298162318955984.62</c:v>
                </c:pt>
                <c:pt idx="23">
                  <c:v>300613044669209.31</c:v>
                </c:pt>
                <c:pt idx="24">
                  <c:v>303085160070543.94</c:v>
                </c:pt>
                <c:pt idx="25">
                  <c:v>305578862418000.38</c:v>
                </c:pt>
                <c:pt idx="26">
                  <c:v>308094350883865.94</c:v>
                </c:pt>
                <c:pt idx="27">
                  <c:v>310631826574172.5</c:v>
                </c:pt>
                <c:pt idx="28">
                  <c:v>313191492548380.12</c:v>
                </c:pt>
                <c:pt idx="29">
                  <c:v>315773553839290.94</c:v>
                </c:pt>
                <c:pt idx="30">
                  <c:v>318378217473135.31</c:v>
                </c:pt>
                <c:pt idx="31">
                  <c:v>321005692489910.81</c:v>
                </c:pt>
                <c:pt idx="32">
                  <c:v>323656189963919.75</c:v>
                </c:pt>
                <c:pt idx="33">
                  <c:v>326329923024526.38</c:v>
                </c:pt>
                <c:pt idx="34">
                  <c:v>329027106877140.88</c:v>
                </c:pt>
                <c:pt idx="35">
                  <c:v>331747958824413.38</c:v>
                </c:pt>
                <c:pt idx="36">
                  <c:v>334492698287672.38</c:v>
                </c:pt>
                <c:pt idx="37">
                  <c:v>337261546828597.75</c:v>
                </c:pt>
                <c:pt idx="38">
                  <c:v>340054728171080.06</c:v>
                </c:pt>
                <c:pt idx="39">
                  <c:v>342872468223379.75</c:v>
                </c:pt>
                <c:pt idx="40">
                  <c:v>345714995100464.5</c:v>
                </c:pt>
                <c:pt idx="41">
                  <c:v>348582539146620.75</c:v>
                </c:pt>
                <c:pt idx="42">
                  <c:v>351475332958301.19</c:v>
                </c:pt>
                <c:pt idx="43">
                  <c:v>354393611407203.38</c:v>
                </c:pt>
                <c:pt idx="44">
                  <c:v>357337611663616.94</c:v>
                </c:pt>
                <c:pt idx="45">
                  <c:v>360307573219992.44</c:v>
                </c:pt>
                <c:pt idx="46">
                  <c:v>363303737914791.12</c:v>
                </c:pt>
                <c:pt idx="47">
                  <c:v>366326349956588.62</c:v>
                </c:pt>
                <c:pt idx="48">
                  <c:v>369375655948403.06</c:v>
                </c:pt>
                <c:pt idx="49">
                  <c:v>372451904912337.38</c:v>
                </c:pt>
                <c:pt idx="50">
                  <c:v>375555348314441.06</c:v>
                </c:pt>
                <c:pt idx="51">
                  <c:v>378686240089850.38</c:v>
                </c:pt>
                <c:pt idx="52">
                  <c:v>381844836668238.19</c:v>
                </c:pt>
                <c:pt idx="53">
                  <c:v>385031396999466.38</c:v>
                </c:pt>
                <c:pt idx="54">
                  <c:v>388246182579575.25</c:v>
                </c:pt>
                <c:pt idx="55">
                  <c:v>391489457477026.56</c:v>
                </c:pt>
                <c:pt idx="56">
                  <c:v>394761488359226.06</c:v>
                </c:pt>
                <c:pt idx="57">
                  <c:v>398062544519360.12</c:v>
                </c:pt>
                <c:pt idx="58">
                  <c:v>401392897903462.56</c:v>
                </c:pt>
                <c:pt idx="59">
                  <c:v>404752823137861.31</c:v>
                </c:pt>
                <c:pt idx="60">
                  <c:v>408142597556824.75</c:v>
                </c:pt>
                <c:pt idx="61">
                  <c:v>411562501230583.12</c:v>
                </c:pt>
                <c:pt idx="62">
                  <c:v>415012816993619.62</c:v>
                </c:pt>
                <c:pt idx="63">
                  <c:v>418493830473257.25</c:v>
                </c:pt>
                <c:pt idx="64">
                  <c:v>422005830118590.31</c:v>
                </c:pt>
                <c:pt idx="65">
                  <c:v>425549107229679.25</c:v>
                </c:pt>
                <c:pt idx="66">
                  <c:v>429123955987117.19</c:v>
                </c:pt>
                <c:pt idx="67">
                  <c:v>432730673481875.38</c:v>
                </c:pt>
                <c:pt idx="68">
                  <c:v>436369559745480.81</c:v>
                </c:pt>
                <c:pt idx="69">
                  <c:v>440040917780539.06</c:v>
                </c:pt>
                <c:pt idx="70">
                  <c:v>443745053591563.75</c:v>
                </c:pt>
                <c:pt idx="71">
                  <c:v>447482276216152.88</c:v>
                </c:pt>
                <c:pt idx="72">
                  <c:v>451252897756515.69</c:v>
                </c:pt>
                <c:pt idx="73">
                  <c:v>455057233411304.75</c:v>
                </c:pt>
                <c:pt idx="74">
                  <c:v>458895601507834.25</c:v>
                </c:pt>
                <c:pt idx="75">
                  <c:v>462768323534633.5</c:v>
                </c:pt>
                <c:pt idx="76">
                  <c:v>466675724174334</c:v>
                </c:pt>
                <c:pt idx="77">
                  <c:v>470618131336960.62</c:v>
                </c:pt>
                <c:pt idx="78">
                  <c:v>474595876193532.12</c:v>
                </c:pt>
                <c:pt idx="79">
                  <c:v>478609293210067.75</c:v>
                </c:pt>
                <c:pt idx="80">
                  <c:v>482658720181933.56</c:v>
                </c:pt>
                <c:pt idx="81">
                  <c:v>486744498268607.31</c:v>
                </c:pt>
                <c:pt idx="82">
                  <c:v>490866972028765</c:v>
                </c:pt>
                <c:pt idx="83">
                  <c:v>495026489455790.19</c:v>
                </c:pt>
                <c:pt idx="84">
                  <c:v>499223402013665</c:v>
                </c:pt>
                <c:pt idx="85">
                  <c:v>503458064673242.12</c:v>
                </c:pt>
                <c:pt idx="86">
                  <c:v>507730835948913.19</c:v>
                </c:pt>
                <c:pt idx="87">
                  <c:v>512042077935694.88</c:v>
                </c:pt>
                <c:pt idx="88">
                  <c:v>516392156346707.5</c:v>
                </c:pt>
                <c:pt idx="89">
                  <c:v>520781440551051.75</c:v>
                </c:pt>
                <c:pt idx="90">
                  <c:v>525210303612129.06</c:v>
                </c:pt>
                <c:pt idx="91">
                  <c:v>529679122326356.75</c:v>
                </c:pt>
                <c:pt idx="92">
                  <c:v>534188277262324.5</c:v>
                </c:pt>
                <c:pt idx="93">
                  <c:v>538738152800354.56</c:v>
                </c:pt>
                <c:pt idx="94">
                  <c:v>543329137172541.12</c:v>
                </c:pt>
                <c:pt idx="95">
                  <c:v>547961622503163.19</c:v>
                </c:pt>
                <c:pt idx="96">
                  <c:v>552636004849614.94</c:v>
                </c:pt>
                <c:pt idx="97">
                  <c:v>557352684243726.75</c:v>
                </c:pt>
                <c:pt idx="98">
                  <c:v>562112064733567.94</c:v>
                </c:pt>
                <c:pt idx="99">
                  <c:v>566914554425708</c:v>
                </c:pt>
                <c:pt idx="100">
                  <c:v>571760565527919.5</c:v>
                </c:pt>
                <c:pt idx="101">
                  <c:v>576650514392402.38</c:v>
                </c:pt>
                <c:pt idx="102">
                  <c:v>581584821559407.12</c:v>
                </c:pt>
                <c:pt idx="103">
                  <c:v>586563911801423.62</c:v>
                </c:pt>
                <c:pt idx="104">
                  <c:v>591588214167783.25</c:v>
                </c:pt>
                <c:pt idx="105">
                  <c:v>596658162029797.62</c:v>
                </c:pt>
                <c:pt idx="106">
                  <c:v>601774193126377.75</c:v>
                </c:pt>
                <c:pt idx="107">
                  <c:v>606936749610162</c:v>
                </c:pt>
                <c:pt idx="108">
                  <c:v>612146278094151.75</c:v>
                </c:pt>
                <c:pt idx="109">
                  <c:v>617403229698849.62</c:v>
                </c:pt>
                <c:pt idx="110">
                  <c:v>622708060099943.75</c:v>
                </c:pt>
                <c:pt idx="111">
                  <c:v>628061229576497.88</c:v>
                </c:pt>
                <c:pt idx="112">
                  <c:v>633463203059678.38</c:v>
                </c:pt>
                <c:pt idx="113">
                  <c:v>638914450182028.38</c:v>
                </c:pt>
                <c:pt idx="114">
                  <c:v>644415445327279</c:v>
                </c:pt>
                <c:pt idx="115">
                  <c:v>649966667680721</c:v>
                </c:pt>
                <c:pt idx="116">
                  <c:v>655568601280106.12</c:v>
                </c:pt>
                <c:pt idx="117">
                  <c:v>661221735067159.38</c:v>
                </c:pt>
                <c:pt idx="118">
                  <c:v>666926562939634</c:v>
                </c:pt>
                <c:pt idx="119">
                  <c:v>672683583803925.25</c:v>
                </c:pt>
                <c:pt idx="120">
                  <c:v>678493301628324.62</c:v>
                </c:pt>
                <c:pt idx="121">
                  <c:v>684356225496784.25</c:v>
                </c:pt>
                <c:pt idx="122">
                  <c:v>690272869663369</c:v>
                </c:pt>
                <c:pt idx="123">
                  <c:v>696243753607252.38</c:v>
                </c:pt>
                <c:pt idx="124">
                  <c:v>702269402088326.5</c:v>
                </c:pt>
                <c:pt idx="125">
                  <c:v>708350345203466.62</c:v>
                </c:pt>
                <c:pt idx="126">
                  <c:v>714487118443386.38</c:v>
                </c:pt>
                <c:pt idx="127">
                  <c:v>720680262750135.62</c:v>
                </c:pt>
                <c:pt idx="128">
                  <c:v>726930324575259.5</c:v>
                </c:pt>
                <c:pt idx="129">
                  <c:v>733237855938574</c:v>
                </c:pt>
                <c:pt idx="130">
                  <c:v>739603414487613.5</c:v>
                </c:pt>
                <c:pt idx="131">
                  <c:v>746027563557734.88</c:v>
                </c:pt>
                <c:pt idx="132">
                  <c:v>752510872232907.62</c:v>
                </c:pt>
                <c:pt idx="133">
                  <c:v>759053915407158.5</c:v>
                </c:pt>
                <c:pt idx="134">
                  <c:v>765657273846726.12</c:v>
                </c:pt>
                <c:pt idx="135">
                  <c:v>772321534252895.75</c:v>
                </c:pt>
                <c:pt idx="136">
                  <c:v>779047289325519.62</c:v>
                </c:pt>
                <c:pt idx="137">
                  <c:v>785835137827296.25</c:v>
                </c:pt>
                <c:pt idx="138">
                  <c:v>792685684648731.88</c:v>
                </c:pt>
                <c:pt idx="139">
                  <c:v>799599540873827.38</c:v>
                </c:pt>
                <c:pt idx="140">
                  <c:v>806577323846519.25</c:v>
                </c:pt>
                <c:pt idx="141">
                  <c:v>813619657237858</c:v>
                </c:pt>
                <c:pt idx="142">
                  <c:v>820727171113922.62</c:v>
                </c:pt>
                <c:pt idx="143">
                  <c:v>827900502004538.38</c:v>
                </c:pt>
                <c:pt idx="144">
                  <c:v>835140292972722.88</c:v>
                </c:pt>
                <c:pt idx="145">
                  <c:v>842447193684919.62</c:v>
                </c:pt>
                <c:pt idx="146">
                  <c:v>849821860482065.88</c:v>
                </c:pt>
                <c:pt idx="147">
                  <c:v>857264956451364.75</c:v>
                </c:pt>
                <c:pt idx="148">
                  <c:v>864777151498971.25</c:v>
                </c:pt>
                <c:pt idx="149">
                  <c:v>872359122423430.75</c:v>
                </c:pt>
                <c:pt idx="150">
                  <c:v>880011552989947.62</c:v>
                </c:pt>
                <c:pt idx="151">
                  <c:v>887735134005523.12</c:v>
                </c:pt>
                <c:pt idx="152">
                  <c:v>895530563394881.62</c:v>
                </c:pt>
                <c:pt idx="153">
                  <c:v>903398546277333.88</c:v>
                </c:pt>
                <c:pt idx="154">
                  <c:v>911339795044432.62</c:v>
                </c:pt>
                <c:pt idx="155">
                  <c:v>919355029438528</c:v>
                </c:pt>
                <c:pt idx="156">
                  <c:v>927444976632240.88</c:v>
                </c:pt>
                <c:pt idx="157">
                  <c:v>935610371308770.25</c:v>
                </c:pt>
                <c:pt idx="158">
                  <c:v>943851955743184.75</c:v>
                </c:pt>
                <c:pt idx="159">
                  <c:v>952170479884547.25</c:v>
                </c:pt>
                <c:pt idx="160">
                  <c:v>960566701439060.88</c:v>
                </c:pt>
                <c:pt idx="161">
                  <c:v>969041385954055.12</c:v>
                </c:pt>
                <c:pt idx="162">
                  <c:v>977595306903009.38</c:v>
                </c:pt>
                <c:pt idx="163">
                  <c:v>986229245771492.12</c:v>
                </c:pt>
                <c:pt idx="164">
                  <c:v>994943992144078.75</c:v>
                </c:pt>
                <c:pt idx="165">
                  <c:v>1003740343792284.2</c:v>
                </c:pt>
                <c:pt idx="166">
                  <c:v>1012619106763427.8</c:v>
                </c:pt>
                <c:pt idx="167">
                  <c:v>1021581095470576.2</c:v>
                </c:pt>
                <c:pt idx="168">
                  <c:v>1030627132783465.8</c:v>
                </c:pt>
                <c:pt idx="169">
                  <c:v>1039758050120484</c:v>
                </c:pt>
                <c:pt idx="170">
                  <c:v>1048974687541653.8</c:v>
                </c:pt>
                <c:pt idx="171">
                  <c:v>1058277893842716.5</c:v>
                </c:pt>
                <c:pt idx="172">
                  <c:v>1067668526650271.2</c:v>
                </c:pt>
                <c:pt idx="173">
                  <c:v>1077147452517972.8</c:v>
                </c:pt>
                <c:pt idx="174">
                  <c:v>1086715547023876.1</c:v>
                </c:pt>
                <c:pt idx="175">
                  <c:v>1096373694868823.6</c:v>
                </c:pt>
                <c:pt idx="176">
                  <c:v>1106122789976018.2</c:v>
                </c:pt>
                <c:pt idx="177">
                  <c:v>1115963735591679.8</c:v>
                </c:pt>
                <c:pt idx="178">
                  <c:v>1125897444386862</c:v>
                </c:pt>
                <c:pt idx="179">
                  <c:v>1135924838560464.8</c:v>
                </c:pt>
                <c:pt idx="180">
                  <c:v>1146046849943372.2</c:v>
                </c:pt>
                <c:pt idx="181">
                  <c:v>1156264420103812.8</c:v>
                </c:pt>
                <c:pt idx="182">
                  <c:v>1166578500453897.8</c:v>
                </c:pt>
                <c:pt idx="183">
                  <c:v>1176990052357409.8</c:v>
                </c:pt>
                <c:pt idx="184">
                  <c:v>1187500047238782.5</c:v>
                </c:pt>
                <c:pt idx="185">
                  <c:v>1198109466693386.2</c:v>
                </c:pt>
                <c:pt idx="186">
                  <c:v>1208819302598988.8</c:v>
                </c:pt>
                <c:pt idx="187">
                  <c:v>1219630557228597.2</c:v>
                </c:pt>
                <c:pt idx="188">
                  <c:v>1230544243364469</c:v>
                </c:pt>
                <c:pt idx="189">
                  <c:v>1241561384413562</c:v>
                </c:pt>
                <c:pt idx="190">
                  <c:v>1252683014524219.2</c:v>
                </c:pt>
                <c:pt idx="191">
                  <c:v>1263910178704210.2</c:v>
                </c:pt>
                <c:pt idx="192">
                  <c:v>1275243932940136.2</c:v>
                </c:pt>
                <c:pt idx="193">
                  <c:v>1286685344318194.8</c:v>
                </c:pt>
                <c:pt idx="194">
                  <c:v>1298235491146362</c:v>
                </c:pt>
                <c:pt idx="195">
                  <c:v>1309895463077940.5</c:v>
                </c:pt>
                <c:pt idx="196">
                  <c:v>1321666361236545.8</c:v>
                </c:pt>
                <c:pt idx="197">
                  <c:v>1333549298342531.8</c:v>
                </c:pt>
                <c:pt idx="198">
                  <c:v>1345545398840870.5</c:v>
                </c:pt>
                <c:pt idx="199">
                  <c:v>1357655799030473.8</c:v>
                </c:pt>
                <c:pt idx="200">
                  <c:v>1369881647195075</c:v>
                </c:pt>
                <c:pt idx="201">
                  <c:v>1382224103735549</c:v>
                </c:pt>
                <c:pt idx="202">
                  <c:v>1394684341303797.2</c:v>
                </c:pt>
                <c:pt idx="203">
                  <c:v>1407263544938148.2</c:v>
                </c:pt>
                <c:pt idx="204">
                  <c:v>1419962912200359.8</c:v>
                </c:pt>
                <c:pt idx="205">
                  <c:v>1432783653314142.5</c:v>
                </c:pt>
                <c:pt idx="206">
                  <c:v>1445726991305395.5</c:v>
                </c:pt>
                <c:pt idx="207">
                  <c:v>1458794162143900.8</c:v>
                </c:pt>
                <c:pt idx="208">
                  <c:v>1471986414886795</c:v>
                </c:pt>
                <c:pt idx="209">
                  <c:v>1485305011823625.2</c:v>
                </c:pt>
                <c:pt idx="210">
                  <c:v>1498751228623160</c:v>
                </c:pt>
                <c:pt idx="211">
                  <c:v>1512326354481757.8</c:v>
                </c:pt>
                <c:pt idx="212">
                  <c:v>1526031692273654</c:v>
                </c:pt>
                <c:pt idx="213">
                  <c:v>1539868558702764.5</c:v>
                </c:pt>
                <c:pt idx="214">
                  <c:v>1553838284456466.5</c:v>
                </c:pt>
                <c:pt idx="215">
                  <c:v>1567942214360998</c:v>
                </c:pt>
                <c:pt idx="216">
                  <c:v>1582181707538763.8</c:v>
                </c:pt>
                <c:pt idx="217">
                  <c:v>1596558137567373.5</c:v>
                </c:pt>
                <c:pt idx="218">
                  <c:v>1611072892640690</c:v>
                </c:pt>
                <c:pt idx="219">
                  <c:v>1625727375731507.5</c:v>
                </c:pt>
                <c:pt idx="220">
                  <c:v>1640523004756352.8</c:v>
                </c:pt>
                <c:pt idx="221">
                  <c:v>1655461212742073.8</c:v>
                </c:pt>
                <c:pt idx="222">
                  <c:v>1670543447994418</c:v>
                </c:pt>
                <c:pt idx="223">
                  <c:v>1685771174268547.5</c:v>
                </c:pt>
                <c:pt idx="224">
                  <c:v>1701145870941503.8</c:v>
                </c:pt>
                <c:pt idx="225">
                  <c:v>1716669033186818.2</c:v>
                </c:pt>
                <c:pt idx="226">
                  <c:v>1732342172151011.2</c:v>
                </c:pt>
                <c:pt idx="227">
                  <c:v>1748166815132224.8</c:v>
                </c:pt>
                <c:pt idx="228">
                  <c:v>1764144505760901.2</c:v>
                </c:pt>
                <c:pt idx="229">
                  <c:v>1780276804182651.5</c:v>
                </c:pt>
                <c:pt idx="230">
                  <c:v>1796565287243127.8</c:v>
                </c:pt>
                <c:pt idx="231">
                  <c:v>1813011548675201.8</c:v>
                </c:pt>
                <c:pt idx="232">
                  <c:v>1829617199288215.8</c:v>
                </c:pt>
                <c:pt idx="233">
                  <c:v>1846383867159535.8</c:v>
                </c:pt>
                <c:pt idx="234">
                  <c:v>1863313197828285.8</c:v>
                </c:pt>
                <c:pt idx="235">
                  <c:v>1880406854491336</c:v>
                </c:pt>
                <c:pt idx="236">
                  <c:v>1897666518201705.5</c:v>
                </c:pt>
                <c:pt idx="237">
                  <c:v>1915093888069145.8</c:v>
                </c:pt>
                <c:pt idx="238">
                  <c:v>1932690681463143.5</c:v>
                </c:pt>
                <c:pt idx="239">
                  <c:v>1950458634218347</c:v>
                </c:pt>
                <c:pt idx="240">
                  <c:v>1968399500842306.2</c:v>
                </c:pt>
                <c:pt idx="241">
                  <c:v>1986515054725737</c:v>
                </c:pt>
                <c:pt idx="242">
                  <c:v>2004807088355215.5</c:v>
                </c:pt>
                <c:pt idx="243">
                  <c:v>2023277413528385.8</c:v>
                </c:pt>
                <c:pt idx="244">
                  <c:v>2041927861571727</c:v>
                </c:pt>
                <c:pt idx="245">
                  <c:v>2060760283560755.8</c:v>
                </c:pt>
                <c:pt idx="246">
                  <c:v>2079776550543005.2</c:v>
                </c:pt>
                <c:pt idx="247">
                  <c:v>2098978553763565</c:v>
                </c:pt>
                <c:pt idx="248">
                  <c:v>2118368204893152.8</c:v>
                </c:pt>
                <c:pt idx="249">
                  <c:v>2137947436259074.8</c:v>
                </c:pt>
                <c:pt idx="250">
                  <c:v>2157718201078741.8</c:v>
                </c:pt>
                <c:pt idx="251">
                  <c:v>2177682473696078</c:v>
                </c:pt>
                <c:pt idx="252">
                  <c:v>2197842249820648.5</c:v>
                </c:pt>
                <c:pt idx="253">
                  <c:v>2218199546769543.8</c:v>
                </c:pt>
                <c:pt idx="254">
                  <c:v>2238756403712313.8</c:v>
                </c:pt>
                <c:pt idx="255">
                  <c:v>2259514881918610.5</c:v>
                </c:pt>
                <c:pt idx="256">
                  <c:v>2280477065008835.5</c:v>
                </c:pt>
                <c:pt idx="257">
                  <c:v>2301645059207806.5</c:v>
                </c:pt>
                <c:pt idx="258">
                  <c:v>2323020993601311</c:v>
                </c:pt>
                <c:pt idx="259">
                  <c:v>2344607020395800</c:v>
                </c:pt>
                <c:pt idx="260">
                  <c:v>2366405315181126</c:v>
                </c:pt>
                <c:pt idx="261">
                  <c:v>2388418077196345</c:v>
                </c:pt>
                <c:pt idx="262">
                  <c:v>2410647529598793.5</c:v>
                </c:pt>
                <c:pt idx="263">
                  <c:v>2433095919736202</c:v>
                </c:pt>
                <c:pt idx="264">
                  <c:v>2455765519422234</c:v>
                </c:pt>
                <c:pt idx="265">
                  <c:v>2478658625215069</c:v>
                </c:pt>
                <c:pt idx="266">
                  <c:v>2501777558699509</c:v>
                </c:pt>
                <c:pt idx="267">
                  <c:v>2525124666772264.5</c:v>
                </c:pt>
                <c:pt idx="268">
                  <c:v>2548702321930845.5</c:v>
                </c:pt>
                <c:pt idx="269">
                  <c:v>2572512922565627.5</c:v>
                </c:pt>
                <c:pt idx="270">
                  <c:v>2596558893255608.5</c:v>
                </c:pt>
                <c:pt idx="271">
                  <c:v>2620842685067600</c:v>
                </c:pt>
                <c:pt idx="272">
                  <c:v>2645366775859022</c:v>
                </c:pt>
                <c:pt idx="273">
                  <c:v>2670133670584220</c:v>
                </c:pt>
                <c:pt idx="274">
                  <c:v>2695145901604601.5</c:v>
                </c:pt>
                <c:pt idx="275">
                  <c:v>2720406029002324.5</c:v>
                </c:pt>
                <c:pt idx="276">
                  <c:v>2745916640897734</c:v>
                </c:pt>
                <c:pt idx="277">
                  <c:v>2771680353770786.5</c:v>
                </c:pt>
                <c:pt idx="278">
                  <c:v>2797699812786062.5</c:v>
                </c:pt>
                <c:pt idx="279">
                  <c:v>2823977692121784</c:v>
                </c:pt>
                <c:pt idx="280">
                  <c:v>2850516695302850.5</c:v>
                </c:pt>
                <c:pt idx="281">
                  <c:v>2877319555537662</c:v>
                </c:pt>
                <c:pt idx="282">
                  <c:v>2904389036059240</c:v>
                </c:pt>
                <c:pt idx="283">
                  <c:v>2931727930470110</c:v>
                </c:pt>
                <c:pt idx="284">
                  <c:v>2959339063091669.5</c:v>
                </c:pt>
                <c:pt idx="285">
                  <c:v>2987225289317520</c:v>
                </c:pt>
                <c:pt idx="286">
                  <c:v>3015389495971019</c:v>
                </c:pt>
                <c:pt idx="287">
                  <c:v>3043834601667290</c:v>
                </c:pt>
                <c:pt idx="288">
                  <c:v>3072563557179525.5</c:v>
                </c:pt>
                <c:pt idx="289">
                  <c:v>3101579345809581</c:v>
                </c:pt>
                <c:pt idx="290">
                  <c:v>3130884983763156.5</c:v>
                </c:pt>
                <c:pt idx="291">
                  <c:v>3160483520529450</c:v>
                </c:pt>
                <c:pt idx="292">
                  <c:v>3190378039265287.5</c:v>
                </c:pt>
                <c:pt idx="293">
                  <c:v>3220571657184154.5</c:v>
                </c:pt>
                <c:pt idx="294">
                  <c:v>3251067525949528.5</c:v>
                </c:pt>
                <c:pt idx="295">
                  <c:v>3281868832073269.5</c:v>
                </c:pt>
                <c:pt idx="296">
                  <c:v>3312978797318705</c:v>
                </c:pt>
                <c:pt idx="297">
                  <c:v>3344400679108462.5</c:v>
                </c:pt>
                <c:pt idx="298">
                  <c:v>3376137770937500</c:v>
                </c:pt>
                <c:pt idx="299">
                  <c:v>3408193402790805.5</c:v>
                </c:pt>
                <c:pt idx="300">
                  <c:v>3440570941566422.5</c:v>
                </c:pt>
                <c:pt idx="301">
                  <c:v>3473273791503422.5</c:v>
                </c:pt>
                <c:pt idx="302">
                  <c:v>3506305394615010.5</c:v>
                </c:pt>
                <c:pt idx="303">
                  <c:v>3539669231127160</c:v>
                </c:pt>
                <c:pt idx="304">
                  <c:v>3573368819922192.5</c:v>
                </c:pt>
                <c:pt idx="305">
                  <c:v>3607407718987953.5</c:v>
                </c:pt>
                <c:pt idx="306">
                  <c:v>3641789525872409.5</c:v>
                </c:pt>
                <c:pt idx="307">
                  <c:v>3676517878143676</c:v>
                </c:pt>
                <c:pt idx="308">
                  <c:v>3711596453855734</c:v>
                </c:pt>
                <c:pt idx="309">
                  <c:v>3747028972019642.5</c:v>
                </c:pt>
                <c:pt idx="310">
                  <c:v>3782819193080736</c:v>
                </c:pt>
                <c:pt idx="311">
                  <c:v>3818970919401272</c:v>
                </c:pt>
                <c:pt idx="312">
                  <c:v>3855487995749244</c:v>
                </c:pt>
                <c:pt idx="313">
                  <c:v>3892374309793054</c:v>
                </c:pt>
                <c:pt idx="314">
                  <c:v>3929633792602048</c:v>
                </c:pt>
                <c:pt idx="315">
                  <c:v>3967270419153435.5</c:v>
                </c:pt>
                <c:pt idx="316">
                  <c:v>4005288208845034.5</c:v>
                </c:pt>
                <c:pt idx="317">
                  <c:v>4043691226014588</c:v>
                </c:pt>
                <c:pt idx="318">
                  <c:v>4082483580465284.5</c:v>
                </c:pt>
                <c:pt idx="319">
                  <c:v>4121669427997532.5</c:v>
                </c:pt>
                <c:pt idx="320">
                  <c:v>4161252970947521</c:v>
                </c:pt>
                <c:pt idx="321">
                  <c:v>4201238458732177.5</c:v>
                </c:pt>
                <c:pt idx="322">
                  <c:v>4241630188400726</c:v>
                </c:pt>
                <c:pt idx="323">
                  <c:v>4282432505193129.5</c:v>
                </c:pt>
                <c:pt idx="324">
                  <c:v>4323649803105277</c:v>
                </c:pt>
                <c:pt idx="325">
                  <c:v>4365286525461170.5</c:v>
                </c:pt>
                <c:pt idx="326">
                  <c:v>4407347165491995</c:v>
                </c:pt>
                <c:pt idx="327">
                  <c:v>4449836266922310.5</c:v>
                </c:pt>
                <c:pt idx="328">
                  <c:v>4492758424563518.5</c:v>
                </c:pt>
                <c:pt idx="329">
                  <c:v>4536118284914506</c:v>
                </c:pt>
                <c:pt idx="330">
                  <c:v>4579920546769660</c:v>
                </c:pt>
                <c:pt idx="331">
                  <c:v>4624169961834469</c:v>
                </c:pt>
                <c:pt idx="332">
                  <c:v>4668871335348416</c:v>
                </c:pt>
                <c:pt idx="333">
                  <c:v>4714029526715827</c:v>
                </c:pt>
                <c:pt idx="334">
                  <c:v>4759649450144224</c:v>
                </c:pt>
                <c:pt idx="335">
                  <c:v>4805736075290783</c:v>
                </c:pt>
                <c:pt idx="336">
                  <c:v>4852294427916374</c:v>
                </c:pt>
                <c:pt idx="337">
                  <c:v>4899329590548091</c:v>
                </c:pt>
                <c:pt idx="338">
                  <c:v>4946846703149503</c:v>
                </c:pt>
                <c:pt idx="339">
                  <c:v>4994850963799583</c:v>
                </c:pt>
                <c:pt idx="340">
                  <c:v>5043347629379628</c:v>
                </c:pt>
                <c:pt idx="341">
                  <c:v>5092342016268881</c:v>
                </c:pt>
                <c:pt idx="342">
                  <c:v>5141839501048641</c:v>
                </c:pt>
                <c:pt idx="343">
                  <c:v>5191845521215158</c:v>
                </c:pt>
                <c:pt idx="344">
                  <c:v>5242365575901166</c:v>
                </c:pt>
                <c:pt idx="345">
                  <c:v>5293405226606454</c:v>
                </c:pt>
                <c:pt idx="346">
                  <c:v>5344970097937563</c:v>
                </c:pt>
                <c:pt idx="347">
                  <c:v>5397065878356286</c:v>
                </c:pt>
                <c:pt idx="348">
                  <c:v>5449698320937871</c:v>
                </c:pt>
                <c:pt idx="349">
                  <c:v>5502873244138092</c:v>
                </c:pt>
                <c:pt idx="350">
                  <c:v>5556596532570542</c:v>
                </c:pt>
                <c:pt idx="351">
                  <c:v>5610874137792706</c:v>
                </c:pt>
                <c:pt idx="352">
                  <c:v>5665712079102524</c:v>
                </c:pt>
                <c:pt idx="353">
                  <c:v>5721116444344353</c:v>
                </c:pt>
                <c:pt idx="354">
                  <c:v>5777093390724978</c:v>
                </c:pt>
                <c:pt idx="355">
                  <c:v>5833649145640196</c:v>
                </c:pt>
                <c:pt idx="356">
                  <c:v>5890790007511092</c:v>
                </c:pt>
                <c:pt idx="357">
                  <c:v>5948522346630961</c:v>
                </c:pt>
                <c:pt idx="358">
                  <c:v>6006852606022882</c:v>
                </c:pt>
                <c:pt idx="359">
                  <c:v>6065787302307712</c:v>
                </c:pt>
                <c:pt idx="360">
                  <c:v>6125333026583084</c:v>
                </c:pt>
                <c:pt idx="361">
                  <c:v>6185496445313239</c:v>
                </c:pt>
                <c:pt idx="362">
                  <c:v>6246284301229887</c:v>
                </c:pt>
                <c:pt idx="363">
                  <c:v>6307703414244608</c:v>
                </c:pt>
                <c:pt idx="364">
                  <c:v>6369760682372147</c:v>
                </c:pt>
                <c:pt idx="365">
                  <c:v>6432463082665710</c:v>
                </c:pt>
                <c:pt idx="366">
                  <c:v>6495817672163553</c:v>
                </c:pt>
                <c:pt idx="367">
                  <c:v>6559831588847729</c:v>
                </c:pt>
                <c:pt idx="368">
                  <c:v>6624512052614421</c:v>
                </c:pt>
                <c:pt idx="369">
                  <c:v>6689866366256813</c:v>
                </c:pt>
                <c:pt idx="370">
                  <c:v>6755901916459985</c:v>
                </c:pt>
                <c:pt idx="371">
                  <c:v>6822626174808334</c:v>
                </c:pt>
                <c:pt idx="372">
                  <c:v>6890046698805679</c:v>
                </c:pt>
                <c:pt idx="373">
                  <c:v>6958171132908133</c:v>
                </c:pt>
                <c:pt idx="374">
                  <c:v>7027007209569619</c:v>
                </c:pt>
                <c:pt idx="375">
                  <c:v>7096562750301007</c:v>
                </c:pt>
                <c:pt idx="376">
                  <c:v>7166845666742174</c:v>
                </c:pt>
                <c:pt idx="377">
                  <c:v>7237863961747630</c:v>
                </c:pt>
                <c:pt idx="378">
                  <c:v>7309625730485878</c:v>
                </c:pt>
                <c:pt idx="379">
                  <c:v>7382139161552219</c:v>
                </c:pt>
                <c:pt idx="380">
                  <c:v>7455412538096026</c:v>
                </c:pt>
                <c:pt idx="381">
                  <c:v>7529454238961967</c:v>
                </c:pt>
                <c:pt idx="382">
                  <c:v>7604272739845506</c:v>
                </c:pt>
                <c:pt idx="383">
                  <c:v>7679876614463143</c:v>
                </c:pt>
                <c:pt idx="384">
                  <c:v>7756274535737248</c:v>
                </c:pt>
                <c:pt idx="385">
                  <c:v>7833475276995703</c:v>
                </c:pt>
                <c:pt idx="386">
                  <c:v>7911487713187174</c:v>
                </c:pt>
                <c:pt idx="387">
                  <c:v>7990320822111157</c:v>
                </c:pt>
                <c:pt idx="388">
                  <c:v>8069983685663710</c:v>
                </c:pt>
                <c:pt idx="389">
                  <c:v>8150485491099319</c:v>
                </c:pt>
                <c:pt idx="390">
                  <c:v>8231835532307787</c:v>
                </c:pt>
                <c:pt idx="391">
                  <c:v>8314043211108474</c:v>
                </c:pt>
                <c:pt idx="392">
                  <c:v>8397118038559740</c:v>
                </c:pt>
                <c:pt idx="393">
                  <c:v>8481069636285836</c:v>
                </c:pt>
                <c:pt idx="394">
                  <c:v>8565907737820000</c:v>
                </c:pt>
                <c:pt idx="395">
                  <c:v>8651642189964984</c:v>
                </c:pt>
                <c:pt idx="396">
                  <c:v>8738282954170515</c:v>
                </c:pt>
                <c:pt idx="397">
                  <c:v>8825840107928278</c:v>
                </c:pt>
                <c:pt idx="398">
                  <c:v>8914323846185035</c:v>
                </c:pt>
                <c:pt idx="399">
                  <c:v>9003744482772795</c:v>
                </c:pt>
                <c:pt idx="400">
                  <c:v>9094112451857838</c:v>
                </c:pt>
                <c:pt idx="401">
                  <c:v>9185438309408142</c:v>
                </c:pt>
                <c:pt idx="402">
                  <c:v>9277732734679084</c:v>
                </c:pt>
                <c:pt idx="403">
                  <c:v>9371006531718228</c:v>
                </c:pt>
                <c:pt idx="404">
                  <c:v>9465270630889308</c:v>
                </c:pt>
                <c:pt idx="405">
                  <c:v>9560536090415486</c:v>
                </c:pt>
                <c:pt idx="406">
                  <c:v>9656814097942480</c:v>
                </c:pt>
                <c:pt idx="407">
                  <c:v>9754115972121168</c:v>
                </c:pt>
                <c:pt idx="408">
                  <c:v>9852453164211014</c:v>
                </c:pt>
                <c:pt idx="409">
                  <c:v>9951837259703372</c:v>
                </c:pt>
                <c:pt idx="410">
                  <c:v>1.0052279979965806E+16</c:v>
                </c:pt>
                <c:pt idx="411">
                  <c:v>1.015379318390709E+16</c:v>
                </c:pt>
                <c:pt idx="412">
                  <c:v>1.025638886966421E+16</c:v>
                </c:pt>
                <c:pt idx="413">
                  <c:v>1.0360079176309924E+16</c:v>
                </c:pt>
                <c:pt idx="414">
                  <c:v>1.0464876385582784E+16</c:v>
                </c:pt>
                <c:pt idx="415">
                  <c:v>1.0570792923639464E+16</c:v>
                </c:pt>
                <c:pt idx="416">
                  <c:v>1.0677841362828606E+16</c:v>
                </c:pt>
                <c:pt idx="417">
                  <c:v>1.078603442348867E+16</c:v>
                </c:pt>
                <c:pt idx="418">
                  <c:v>1.08953849757676E+16</c:v>
                </c:pt>
                <c:pt idx="419">
                  <c:v>1.1005906041466658E+16</c:v>
                </c:pt>
                <c:pt idx="420">
                  <c:v>1.1117610795907518E+16</c:v>
                </c:pt>
                <c:pt idx="421">
                  <c:v>1.1230512569823402E+16</c:v>
                </c:pt>
                <c:pt idx="422">
                  <c:v>1.134462485127433E+16</c:v>
                </c:pt>
                <c:pt idx="423">
                  <c:v>1.1459961287587532E+16</c:v>
                </c:pt>
                <c:pt idx="424">
                  <c:v>1.1576535687321906E+16</c:v>
                </c:pt>
                <c:pt idx="425">
                  <c:v>1.1694362022258642E+16</c:v>
                </c:pt>
                <c:pt idx="426">
                  <c:v>1.1813454429416692E+16</c:v>
                </c:pt>
                <c:pt idx="427">
                  <c:v>1.1933827213094952E+16</c:v>
                </c:pt>
                <c:pt idx="428">
                  <c:v>1.205549484693989E+16</c:v>
                </c:pt>
                <c:pt idx="429">
                  <c:v>1.217847197604031E+16</c:v>
                </c:pt>
                <c:pt idx="430">
                  <c:v>1.2302773419049574E+16</c:v>
                </c:pt>
                <c:pt idx="431">
                  <c:v>1.2428414170333704E+16</c:v>
                </c:pt>
                <c:pt idx="432">
                  <c:v>1.255540940214903E+16</c:v>
                </c:pt>
                <c:pt idx="433">
                  <c:v>1.2683774466846728E+16</c:v>
                </c:pt>
                <c:pt idx="434">
                  <c:v>1.28135248991062E+16</c:v>
                </c:pt>
                <c:pt idx="435">
                  <c:v>1.2944676418197468E+16</c:v>
                </c:pt>
                <c:pt idx="436">
                  <c:v>1.3077244930272106E+16</c:v>
                </c:pt>
                <c:pt idx="437">
                  <c:v>1.3211246530685192E+16</c:v>
                </c:pt>
                <c:pt idx="438">
                  <c:v>1.3346697506345904E+16</c:v>
                </c:pt>
                <c:pt idx="439">
                  <c:v>1.3483614338099326E+16</c:v>
                </c:pt>
                <c:pt idx="440">
                  <c:v>1.3622013703138806E+16</c:v>
                </c:pt>
                <c:pt idx="441">
                  <c:v>1.3761912477449876E+16</c:v>
                </c:pt>
                <c:pt idx="442">
                  <c:v>1.3903327738285498E+16</c:v>
                </c:pt>
                <c:pt idx="443">
                  <c:v>1.4046276766673696E+16</c:v>
                </c:pt>
                <c:pt idx="444">
                  <c:v>1.4190777049957646E+16</c:v>
                </c:pt>
                <c:pt idx="445">
                  <c:v>1.4336846284368788E+16</c:v>
                </c:pt>
                <c:pt idx="446">
                  <c:v>1.4484502377633436E+16</c:v>
                </c:pt>
                <c:pt idx="447">
                  <c:v>1.4633763451612996E+16</c:v>
                </c:pt>
                <c:pt idx="448">
                  <c:v>1.4784647844978946E+16</c:v>
                </c:pt>
                <c:pt idx="449">
                  <c:v>1.4937174115922406E+16</c:v>
                </c:pt>
                <c:pt idx="450">
                  <c:v>1.509136104489869E+16</c:v>
                </c:pt>
                <c:pt idx="451">
                  <c:v>1.5247227637408552E+16</c:v>
                </c:pt>
                <c:pt idx="452">
                  <c:v>1.540479312681443E+16</c:v>
                </c:pt>
                <c:pt idx="453">
                  <c:v>1.556407697719436E+16</c:v>
                </c:pt>
                <c:pt idx="454">
                  <c:v>1.5725098886233048E+16</c:v>
                </c:pt>
                <c:pt idx="455">
                  <c:v>1.5887878788149768E+16</c:v>
                </c:pt>
                <c:pt idx="456">
                  <c:v>1.6052436856666214E+16</c:v>
                </c:pt>
                <c:pt idx="457">
                  <c:v>1.6218793508010972E+16</c:v>
                </c:pt>
                <c:pt idx="458">
                  <c:v>1.638696940396532E+16</c:v>
                </c:pt>
                <c:pt idx="459">
                  <c:v>1.655698545494763E+16</c:v>
                </c:pt>
                <c:pt idx="460">
                  <c:v>1.6728862823138472E+16</c:v>
                </c:pt>
                <c:pt idx="461">
                  <c:v>1.6902622925646752E+16</c:v>
                </c:pt>
                <c:pt idx="462">
                  <c:v>1.7078287437717124E+16</c:v>
                </c:pt>
                <c:pt idx="463">
                  <c:v>1.72558782959794E+16</c:v>
                </c:pt>
                <c:pt idx="464">
                  <c:v>1.743541770174147E+16</c:v>
                </c:pt>
                <c:pt idx="465">
                  <c:v>1.7616928124323822E+16</c:v>
                </c:pt>
                <c:pt idx="466">
                  <c:v>1.7800432304439062E+16</c:v>
                </c:pt>
                <c:pt idx="467">
                  <c:v>1.7985953257615464E+16</c:v>
                </c:pt>
                <c:pt idx="468">
                  <c:v>1.8173514277665648E+16</c:v>
                </c:pt>
                <c:pt idx="469">
                  <c:v>1.8363138940200712E+16</c:v>
                </c:pt>
                <c:pt idx="470">
                  <c:v>1.855485110619024E+16</c:v>
                </c:pt>
                <c:pt idx="471">
                  <c:v>1.8748674925570312E+16</c:v>
                </c:pt>
                <c:pt idx="472">
                  <c:v>1.8944634840897472E+16</c:v>
                </c:pt>
                <c:pt idx="473">
                  <c:v>1.9142755591052E+16</c:v>
                </c:pt>
                <c:pt idx="474">
                  <c:v>1.9343062214989648E+16</c:v>
                </c:pt>
                <c:pt idx="475">
                  <c:v>1.9545580055543216E+16</c:v>
                </c:pt>
                <c:pt idx="476">
                  <c:v>1.9750334763272992E+16</c:v>
                </c:pt>
                <c:pt idx="477">
                  <c:v>1.9957352300370012E+16</c:v>
                </c:pt>
                <c:pt idx="478">
                  <c:v>2.0166658944608708E+16</c:v>
                </c:pt>
                <c:pt idx="479">
                  <c:v>2.0378281293354036E+16</c:v>
                </c:pt>
                <c:pt idx="480">
                  <c:v>2.0592246267620196E+16</c:v>
                </c:pt>
                <c:pt idx="481">
                  <c:v>2.0808581116182408E+16</c:v>
                </c:pt>
                <c:pt idx="482">
                  <c:v>2.102731341974564E+16</c:v>
                </c:pt>
                <c:pt idx="483">
                  <c:v>2.124847109516514E+16</c:v>
                </c:pt>
                <c:pt idx="484">
                  <c:v>2.147208239972618E+16</c:v>
                </c:pt>
                <c:pt idx="485">
                  <c:v>2.1698175935478556E+16</c:v>
                </c:pt>
                <c:pt idx="486">
                  <c:v>2.192678065362862E+16</c:v>
                </c:pt>
                <c:pt idx="487">
                  <c:v>2.2157925858990948E+16</c:v>
                </c:pt>
                <c:pt idx="488">
                  <c:v>2.2391641214496932E+16</c:v>
                </c:pt>
                <c:pt idx="489">
                  <c:v>2.2627956745766304E+16</c:v>
                </c:pt>
                <c:pt idx="490">
                  <c:v>2.2866902845735872E+16</c:v>
                </c:pt>
                <c:pt idx="491">
                  <c:v>2.3108510279353044E+16</c:v>
                </c:pt>
                <c:pt idx="492">
                  <c:v>2.3352810188329536E+16</c:v>
                </c:pt>
                <c:pt idx="493">
                  <c:v>2.3599834095959168E+16</c:v>
                </c:pt>
                <c:pt idx="494">
                  <c:v>2.3849613912000828E+16</c:v>
                </c:pt>
                <c:pt idx="495">
                  <c:v>2.4102181937624332E+16</c:v>
                </c:pt>
                <c:pt idx="496">
                  <c:v>2.4357570870424064E+16</c:v>
                </c:pt>
                <c:pt idx="497">
                  <c:v>2.4615813809498684E+16</c:v>
                </c:pt>
                <c:pt idx="498">
                  <c:v>2.4876944260598744E+16</c:v>
                </c:pt>
                <c:pt idx="499">
                  <c:v>2.5140996141343452E+16</c:v>
                </c:pt>
                <c:pt idx="500">
                  <c:v>2.5408003786506568E+16</c:v>
                </c:pt>
                <c:pt idx="501">
                  <c:v>2.5678001953372788E+16</c:v>
                </c:pt>
                <c:pt idx="502">
                  <c:v>2.5951025827167016E+16</c:v>
                </c:pt>
                <c:pt idx="503">
                  <c:v>2.622711102655488E+16</c:v>
                </c:pt>
                <c:pt idx="504">
                  <c:v>2.6506293609216592E+16</c:v>
                </c:pt>
                <c:pt idx="505">
                  <c:v>2.6788610077498564E+16</c:v>
                </c:pt>
                <c:pt idx="506">
                  <c:v>2.7074097384136008E+16</c:v>
                </c:pt>
                <c:pt idx="507">
                  <c:v>2.7362792938056632E+16</c:v>
                </c:pt>
                <c:pt idx="508">
                  <c:v>2.765473461025936E+16</c:v>
                </c:pt>
                <c:pt idx="509">
                  <c:v>2.7949960739773068E+16</c:v>
                </c:pt>
                <c:pt idx="510">
                  <c:v>2.8248510139695388E+16</c:v>
                </c:pt>
                <c:pt idx="511">
                  <c:v>2.8550422103312616E+16</c:v>
                </c:pt>
                <c:pt idx="512">
                  <c:v>2.8855736410301352E+16</c:v>
                </c:pt>
                <c:pt idx="513">
                  <c:v>2.9164493333014064E+16</c:v>
                </c:pt>
                <c:pt idx="514">
                  <c:v>2.9476733642849568E+16</c:v>
                </c:pt>
                <c:pt idx="515">
                  <c:v>2.9792498616708324E+16</c:v>
                </c:pt>
                <c:pt idx="516">
                  <c:v>3.011183004353546E+16</c:v>
                </c:pt>
                <c:pt idx="517">
                  <c:v>3.0434770230951656E+16</c:v>
                </c:pt>
                <c:pt idx="518">
                  <c:v>3.0761362011973716E+16</c:v>
                </c:pt>
                <c:pt idx="519">
                  <c:v>3.1091648751825404E+16</c:v>
                </c:pt>
                <c:pt idx="520">
                  <c:v>3.1425674354840388E+16</c:v>
                </c:pt>
                <c:pt idx="521">
                  <c:v>3.1763483271459132E+16</c:v>
                </c:pt>
                <c:pt idx="522">
                  <c:v>3.2105120505319192E+16</c:v>
                </c:pt>
                <c:pt idx="523">
                  <c:v>3.2450631620441644E+16</c:v>
                </c:pt>
                <c:pt idx="524">
                  <c:v>3.280006274851534E+16</c:v>
                </c:pt>
                <c:pt idx="525">
                  <c:v>3.3153460596279828E+16</c:v>
                </c:pt>
                <c:pt idx="526">
                  <c:v>3.3510872453006592E+16</c:v>
                </c:pt>
                <c:pt idx="527">
                  <c:v>3.3872346198084224E+16</c:v>
                </c:pt>
                <c:pt idx="528">
                  <c:v>3.4237930308704312E+16</c:v>
                </c:pt>
                <c:pt idx="529">
                  <c:v>3.4607673867652528E+16</c:v>
                </c:pt>
                <c:pt idx="530">
                  <c:v>3.4981626571204932E+16</c:v>
                </c:pt>
                <c:pt idx="531">
                  <c:v>3.5359838737131972E+16</c:v>
                </c:pt>
                <c:pt idx="532">
                  <c:v>3.5742361312811768E+16</c:v>
                </c:pt>
                <c:pt idx="533">
                  <c:v>3.6129245883451856E+16</c:v>
                </c:pt>
                <c:pt idx="534">
                  <c:v>3.6520544680424768E+16</c:v>
                </c:pt>
                <c:pt idx="535">
                  <c:v>3.6916310589715024E+16</c:v>
                </c:pt>
                <c:pt idx="536">
                  <c:v>3.7316597160482568E+16</c:v>
                </c:pt>
                <c:pt idx="537">
                  <c:v>3.7721458613743448E+16</c:v>
                </c:pt>
                <c:pt idx="538">
                  <c:v>3.8130949851166648E+16</c:v>
                </c:pt>
                <c:pt idx="539">
                  <c:v>3.8545126463992168E+16</c:v>
                </c:pt>
                <c:pt idx="540">
                  <c:v>3.8964044742069984E+16</c:v>
                </c:pt>
                <c:pt idx="541">
                  <c:v>3.9387761683025056E+16</c:v>
                </c:pt>
                <c:pt idx="542">
                  <c:v>3.9816335001542592E+16</c:v>
                </c:pt>
                <c:pt idx="543">
                  <c:v>4.0249823138785952E+16</c:v>
                </c:pt>
                <c:pt idx="544">
                  <c:v>4.0688285271937464E+16</c:v>
                </c:pt>
                <c:pt idx="545">
                  <c:v>4.11317813238742E+16</c:v>
                </c:pt>
                <c:pt idx="546">
                  <c:v>4.158037197297444E+16</c:v>
                </c:pt>
                <c:pt idx="547">
                  <c:v>4.2034118663058224E+16</c:v>
                </c:pt>
                <c:pt idx="548">
                  <c:v>4.24930836134648E+16</c:v>
                </c:pt>
                <c:pt idx="549">
                  <c:v>4.2957329829267424E+16</c:v>
                </c:pt>
                <c:pt idx="550">
                  <c:v>4.3426921111627528E+16</c:v>
                </c:pt>
                <c:pt idx="551">
                  <c:v>4.3901922068294064E+16</c:v>
                </c:pt>
                <c:pt idx="552">
                  <c:v>4.43823981242436E+16</c:v>
                </c:pt>
                <c:pt idx="553">
                  <c:v>4.4868415532468352E+16</c:v>
                </c:pt>
                <c:pt idx="554">
                  <c:v>4.5360041384911304E+16</c:v>
                </c:pt>
                <c:pt idx="555">
                  <c:v>4.5857343623552816E+16</c:v>
                </c:pt>
                <c:pt idx="556">
                  <c:v>4.6360391051649552E+16</c:v>
                </c:pt>
                <c:pt idx="557">
                  <c:v>4.6869253345127056E+16</c:v>
                </c:pt>
                <c:pt idx="558">
                  <c:v>4.7384001064131176E+16</c:v>
                </c:pt>
                <c:pt idx="559">
                  <c:v>4.7904705664735712E+16</c:v>
                </c:pt>
                <c:pt idx="560">
                  <c:v>4.84314395108154E+16</c:v>
                </c:pt>
                <c:pt idx="561">
                  <c:v>4.8964275886078016E+16</c:v>
                </c:pt>
                <c:pt idx="562">
                  <c:v>4.9503289006266152E+16</c:v>
                </c:pt>
                <c:pt idx="563">
                  <c:v>5.00485540315276E+16</c:v>
                </c:pt>
                <c:pt idx="564">
                  <c:v>5.060014707895236E+16</c:v>
                </c:pt>
                <c:pt idx="565">
                  <c:v>5.115814523528896E+16</c:v>
                </c:pt>
                <c:pt idx="566">
                  <c:v>5.1722626569830496E+16</c:v>
                </c:pt>
                <c:pt idx="567">
                  <c:v>5.2293670147484528E+16</c:v>
                </c:pt>
                <c:pt idx="568">
                  <c:v>5.2871356042020072E+16</c:v>
                </c:pt>
                <c:pt idx="569">
                  <c:v>5.3455765349500464E+16</c:v>
                </c:pt>
                <c:pt idx="570">
                  <c:v>5.404698020189968E+16</c:v>
                </c:pt>
                <c:pt idx="571">
                  <c:v>5.4645083780909672E+16</c:v>
                </c:pt>
                <c:pt idx="572">
                  <c:v>5.5250160331940544E+16</c:v>
                </c:pt>
                <c:pt idx="573">
                  <c:v>5.586229517831028E+16</c:v>
                </c:pt>
                <c:pt idx="574">
                  <c:v>5.6481574735636296E+16</c:v>
                </c:pt>
                <c:pt idx="575">
                  <c:v>5.7108086526425392E+16</c:v>
                </c:pt>
                <c:pt idx="576">
                  <c:v>5.7741919194863664E+16</c:v>
                </c:pt>
                <c:pt idx="577">
                  <c:v>5.8383162521817848E+16</c:v>
                </c:pt>
                <c:pt idx="578">
                  <c:v>5.9031907440040976E+16</c:v>
                </c:pt>
                <c:pt idx="579">
                  <c:v>5.9688246049591E+16</c:v>
                </c:pt>
                <c:pt idx="580">
                  <c:v>6.035227163346452E+16</c:v>
                </c:pt>
                <c:pt idx="581">
                  <c:v>6.1024078673448216E+16</c:v>
                </c:pt>
                <c:pt idx="582">
                  <c:v>6.1703762866191152E+16</c:v>
                </c:pt>
                <c:pt idx="583">
                  <c:v>6.23914211395024E+16</c:v>
                </c:pt>
                <c:pt idx="584">
                  <c:v>6.3087151668874264E+16</c:v>
                </c:pt>
                <c:pt idx="585">
                  <c:v>6.3791053894239632E+16</c:v>
                </c:pt>
                <c:pt idx="586">
                  <c:v>6.4503228536957552E+16</c:v>
                </c:pt>
                <c:pt idx="587">
                  <c:v>6.52237776170436E+16</c:v>
                </c:pt>
                <c:pt idx="588">
                  <c:v>6.5952804470637224E+16</c:v>
                </c:pt>
                <c:pt idx="589">
                  <c:v>6.6690413767712744E+16</c:v>
                </c:pt>
                <c:pt idx="590">
                  <c:v>6.74367115300406E+16</c:v>
                </c:pt>
                <c:pt idx="591">
                  <c:v>6.8191805149401896E+16</c:v>
                </c:pt>
                <c:pt idx="592">
                  <c:v>6.8955803406051048E+16</c:v>
                </c:pt>
                <c:pt idx="593">
                  <c:v>6.9728816487448024E+16</c:v>
                </c:pt>
                <c:pt idx="594">
                  <c:v>7.0510956007243912E+16</c:v>
                </c:pt>
                <c:pt idx="595">
                  <c:v>7.1302335024539384E+16</c:v>
                </c:pt>
                <c:pt idx="596">
                  <c:v>7.2103068063410304E+16</c:v>
                </c:pt>
                <c:pt idx="597">
                  <c:v>7.2913271132709328E+16</c:v>
                </c:pt>
                <c:pt idx="598">
                  <c:v>7.3733061746146128E+16</c:v>
                </c:pt>
                <c:pt idx="599">
                  <c:v>7.4562558942649008E+16</c:v>
                </c:pt>
                <c:pt idx="600">
                  <c:v>7.5401883307016048E+16</c:v>
                </c:pt>
                <c:pt idx="601">
                  <c:v>7.6251156990852288E+16</c:v>
                </c:pt>
                <c:pt idx="602">
                  <c:v>7.7110503733806896E+16</c:v>
                </c:pt>
                <c:pt idx="603">
                  <c:v>7.798004888510768E+16</c:v>
                </c:pt>
                <c:pt idx="604">
                  <c:v>7.8859919425399504E+16</c:v>
                </c:pt>
                <c:pt idx="605">
                  <c:v>7.9750243988890464E+16</c:v>
                </c:pt>
                <c:pt idx="606">
                  <c:v>8.0651152885814272E+16</c:v>
                </c:pt>
                <c:pt idx="607">
                  <c:v>8.1562778125203312E+16</c:v>
                </c:pt>
                <c:pt idx="608">
                  <c:v>8.2485253437992256E+16</c:v>
                </c:pt>
                <c:pt idx="609">
                  <c:v>8.3418714300441808E+16</c:v>
                </c:pt>
                <c:pt idx="610">
                  <c:v>8.43632979578968E+16</c:v>
                </c:pt>
                <c:pt idx="611">
                  <c:v>8.5319143448881456E+16</c:v>
                </c:pt>
                <c:pt idx="612">
                  <c:v>8.6286391629533024E+16</c:v>
                </c:pt>
                <c:pt idx="613">
                  <c:v>8.7265185198387584E+16</c:v>
                </c:pt>
                <c:pt idx="614">
                  <c:v>8.8255668721510432E+16</c:v>
                </c:pt>
                <c:pt idx="615">
                  <c:v>8.9257988657988336E+16</c:v>
                </c:pt>
                <c:pt idx="616">
                  <c:v>9.0272293385783104E+16</c:v>
                </c:pt>
                <c:pt idx="617">
                  <c:v>9.129873322794816E+16</c:v>
                </c:pt>
                <c:pt idx="618">
                  <c:v>9.2337460479225456E+16</c:v>
                </c:pt>
                <c:pt idx="619">
                  <c:v>9.3388629433013712E+16</c:v>
                </c:pt>
                <c:pt idx="620">
                  <c:v>9.4452396408724272E+16</c:v>
                </c:pt>
                <c:pt idx="621">
                  <c:v>9.5528919779525952E+16</c:v>
                </c:pt>
                <c:pt idx="622">
                  <c:v>9.6618360000484528E+16</c:v>
                </c:pt>
                <c:pt idx="623">
                  <c:v>9.7720879637101216E+16</c:v>
                </c:pt>
                <c:pt idx="624">
                  <c:v>9.8836643394266576E+16</c:v>
                </c:pt>
                <c:pt idx="625">
                  <c:v>9.9965818145615136E+16</c:v>
                </c:pt>
                <c:pt idx="626">
                  <c:v>1.0110857296330944E+17</c:v>
                </c:pt>
                <c:pt idx="627">
                  <c:v>1.0226507914824565E+17</c:v>
                </c:pt>
                <c:pt idx="628">
                  <c:v>1.034355102606893E+17</c:v>
                </c:pt>
                <c:pt idx="629">
                  <c:v>1.0462004215135211E+17</c:v>
                </c:pt>
                <c:pt idx="630">
                  <c:v>1.0581885299291426E+17</c:v>
                </c:pt>
                <c:pt idx="631">
                  <c:v>1.0703212331199128E+17</c:v>
                </c:pt>
                <c:pt idx="632">
                  <c:v>1.0826003602157008E+17</c:v>
                </c:pt>
                <c:pt idx="633">
                  <c:v>1.0950277645389706E+17</c:v>
                </c:pt>
                <c:pt idx="634">
                  <c:v>1.1076053239384843E+17</c:v>
                </c:pt>
                <c:pt idx="635">
                  <c:v>1.1203349411277488E+17</c:v>
                </c:pt>
                <c:pt idx="636">
                  <c:v>1.1332185440282958E+17</c:v>
                </c:pt>
                <c:pt idx="637">
                  <c:v>1.1462580861179648E+17</c:v>
                </c:pt>
                <c:pt idx="638">
                  <c:v>1.1594555467840949E+17</c:v>
                </c:pt>
                <c:pt idx="639">
                  <c:v>1.1728129316819008E+17</c:v>
                </c:pt>
                <c:pt idx="640">
                  <c:v>1.1863322730978974E+17</c:v>
                </c:pt>
                <c:pt idx="641">
                  <c:v>1.200015630318673E+17</c:v>
                </c:pt>
                <c:pt idx="642">
                  <c:v>1.2138650900048645E+17</c:v>
                </c:pt>
                <c:pt idx="643">
                  <c:v>1.2278827665705451E+17</c:v>
                </c:pt>
                <c:pt idx="644">
                  <c:v>1.2420708025681784E+17</c:v>
                </c:pt>
                <c:pt idx="645">
                  <c:v>1.2564313690790138E+17</c:v>
                </c:pt>
                <c:pt idx="646">
                  <c:v>1.2709666661091315E+17</c:v>
                </c:pt>
                <c:pt idx="647">
                  <c:v>1.2856789229912627E+17</c:v>
                </c:pt>
                <c:pt idx="648">
                  <c:v>1.3005703987923779E+17</c:v>
                </c:pt>
                <c:pt idx="649">
                  <c:v>1.3156433827271603E+17</c:v>
                </c:pt>
                <c:pt idx="650">
                  <c:v>1.3309001945774962E+17</c:v>
                </c:pt>
                <c:pt idx="651">
                  <c:v>1.3463431851179898E+17</c:v>
                </c:pt>
                <c:pt idx="652">
                  <c:v>1.361974736547668E+17</c:v>
                </c:pt>
                <c:pt idx="653">
                  <c:v>1.3777972629279795E+17</c:v>
                </c:pt>
                <c:pt idx="654">
                  <c:v>1.3938132106269966E+17</c:v>
                </c:pt>
                <c:pt idx="655">
                  <c:v>1.410025058770284E+17</c:v>
                </c:pt>
                <c:pt idx="656">
                  <c:v>1.4264353196981166E+17</c:v>
                </c:pt>
                <c:pt idx="657">
                  <c:v>1.443046539429423E+17</c:v>
                </c:pt>
                <c:pt idx="658">
                  <c:v>1.4598612981324589E+17</c:v>
                </c:pt>
                <c:pt idx="659">
                  <c:v>1.4768822106023238E+17</c:v>
                </c:pt>
                <c:pt idx="660">
                  <c:v>1.4941119267453914E+17</c:v>
                </c:pt>
                <c:pt idx="661">
                  <c:v>1.511553132070871E+17</c:v>
                </c:pt>
                <c:pt idx="662">
                  <c:v>1.5292085481894122E+17</c:v>
                </c:pt>
                <c:pt idx="663">
                  <c:v>1.5470809333190566E+17</c:v>
                </c:pt>
                <c:pt idx="664">
                  <c:v>1.5651730827985104E+17</c:v>
                </c:pt>
                <c:pt idx="665">
                  <c:v>1.5834878296080115E+17</c:v>
                </c:pt>
                <c:pt idx="666">
                  <c:v>1.6020280448976E+17</c:v>
                </c:pt>
                <c:pt idx="667">
                  <c:v>1.62079663852332E+17</c:v>
                </c:pt>
                <c:pt idx="668">
                  <c:v>1.6397965595911011E+17</c:v>
                </c:pt>
                <c:pt idx="669">
                  <c:v>1.6590307970085952E+17</c:v>
                </c:pt>
                <c:pt idx="670">
                  <c:v>1.6785023800452365E+17</c:v>
                </c:pt>
                <c:pt idx="671">
                  <c:v>1.6982143789002966E+17</c:v>
                </c:pt>
                <c:pt idx="672">
                  <c:v>1.7181699052793619E+17</c:v>
                </c:pt>
                <c:pt idx="673">
                  <c:v>1.7383721129792893E+17</c:v>
                </c:pt>
                <c:pt idx="674">
                  <c:v>1.7588241984815658E+17</c:v>
                </c:pt>
                <c:pt idx="675">
                  <c:v>1.7795294015546397E+17</c:v>
                </c:pt>
                <c:pt idx="676">
                  <c:v>1.8004910058648016E+17</c:v>
                </c:pt>
                <c:pt idx="677">
                  <c:v>1.8217123395962608E+17</c:v>
                </c:pt>
                <c:pt idx="678">
                  <c:v>1.8431967760801616E+17</c:v>
                </c:pt>
                <c:pt idx="679">
                  <c:v>1.8649477344329846E+17</c:v>
                </c:pt>
                <c:pt idx="680">
                  <c:v>1.8869686802041696E+17</c:v>
                </c:pt>
                <c:pt idx="681">
                  <c:v>1.9092631260334688E+17</c:v>
                </c:pt>
                <c:pt idx="682">
                  <c:v>1.931834632317825E+17</c:v>
                </c:pt>
                <c:pt idx="683">
                  <c:v>1.9546868078880931E+17</c:v>
                </c:pt>
                <c:pt idx="684">
                  <c:v>1.9778233106958026E+17</c:v>
                </c:pt>
                <c:pt idx="685">
                  <c:v>2.0012478485099501E+17</c:v>
                </c:pt>
                <c:pt idx="686">
                  <c:v>2.024964179624152E+17</c:v>
                </c:pt>
                <c:pt idx="687">
                  <c:v>2.0489761135741958E+17</c:v>
                </c:pt>
                <c:pt idx="688">
                  <c:v>2.0732875118662144E+17</c:v>
                </c:pt>
                <c:pt idx="689">
                  <c:v>2.0979022887155798E+17</c:v>
                </c:pt>
                <c:pt idx="690">
                  <c:v>2.1228244117967155E+17</c:v>
                </c:pt>
                <c:pt idx="691">
                  <c:v>2.1480579030040781E+17</c:v>
                </c:pt>
                <c:pt idx="692">
                  <c:v>2.1736068392243587E+17</c:v>
                </c:pt>
                <c:pt idx="693">
                  <c:v>2.1994753531200406E+17</c:v>
                </c:pt>
                <c:pt idx="694">
                  <c:v>2.2256676339247366E+17</c:v>
                </c:pt>
                <c:pt idx="695">
                  <c:v>2.2521879282500992E+17</c:v>
                </c:pt>
                <c:pt idx="696">
                  <c:v>2.279040540904937E+17</c:v>
                </c:pt>
                <c:pt idx="697">
                  <c:v>2.3062298357262966E+17</c:v>
                </c:pt>
                <c:pt idx="698">
                  <c:v>2.3337602364230317E+17</c:v>
                </c:pt>
                <c:pt idx="699">
                  <c:v>2.3616362274317558E+17</c:v>
                </c:pt>
                <c:pt idx="700">
                  <c:v>2.3898623547856061E+17</c:v>
                </c:pt>
                <c:pt idx="701">
                  <c:v>2.4184432269959744E+17</c:v>
                </c:pt>
                <c:pt idx="702">
                  <c:v>2.4473835159473165E+17</c:v>
                </c:pt>
                <c:pt idx="703">
                  <c:v>2.476687957805161E+17</c:v>
                </c:pt>
                <c:pt idx="704">
                  <c:v>2.5063613539379229E+17</c:v>
                </c:pt>
                <c:pt idx="705">
                  <c:v>2.5364085718521485E+17</c:v>
                </c:pt>
                <c:pt idx="706">
                  <c:v>2.5668345461419859E+17</c:v>
                </c:pt>
                <c:pt idx="707">
                  <c:v>2.5976442794526003E+17</c:v>
                </c:pt>
                <c:pt idx="708">
                  <c:v>2.6288428434581491E+17</c:v>
                </c:pt>
                <c:pt idx="709">
                  <c:v>2.6604353798542438E+17</c:v>
                </c:pt>
                <c:pt idx="710">
                  <c:v>2.6924271013653008E+17</c:v>
                </c:pt>
                <c:pt idx="711">
                  <c:v>2.7248232927669597E+17</c:v>
                </c:pt>
                <c:pt idx="712">
                  <c:v>2.7576293119238403E+17</c:v>
                </c:pt>
                <c:pt idx="713">
                  <c:v>2.7908505908426832E+17</c:v>
                </c:pt>
                <c:pt idx="714">
                  <c:v>2.8244926367415427E+17</c:v>
                </c:pt>
                <c:pt idx="715">
                  <c:v>2.8585610331346694E+17</c:v>
                </c:pt>
                <c:pt idx="716">
                  <c:v>2.8930614409339622E+17</c:v>
                </c:pt>
                <c:pt idx="717">
                  <c:v>2.927999599566752E+17</c:v>
                </c:pt>
                <c:pt idx="718">
                  <c:v>2.963381328110505E+17</c:v>
                </c:pt>
                <c:pt idx="719">
                  <c:v>2.999212526444455E+17</c:v>
                </c:pt>
                <c:pt idx="720">
                  <c:v>3.0354991764186259E+17</c:v>
                </c:pt>
                <c:pt idx="721">
                  <c:v>3.0722473430403962E+17</c:v>
                </c:pt>
                <c:pt idx="722">
                  <c:v>3.109463175678937E+17</c:v>
                </c:pt>
                <c:pt idx="723">
                  <c:v>3.1471529092877862E+17</c:v>
                </c:pt>
                <c:pt idx="724">
                  <c:v>3.1853228656458886E+17</c:v>
                </c:pt>
                <c:pt idx="725">
                  <c:v>3.2239794546171808E+17</c:v>
                </c:pt>
                <c:pt idx="726">
                  <c:v>3.2631291754293101E+17</c:v>
                </c:pt>
                <c:pt idx="727">
                  <c:v>3.3027786179716928E+17</c:v>
                </c:pt>
                <c:pt idx="728">
                  <c:v>3.3429344641130854E+17</c:v>
                </c:pt>
                <c:pt idx="729">
                  <c:v>3.3836034890389594E+17</c:v>
                </c:pt>
                <c:pt idx="730">
                  <c:v>3.4247925626093498E+17</c:v>
                </c:pt>
                <c:pt idx="731">
                  <c:v>3.4665086507369869E+17</c:v>
                </c:pt>
                <c:pt idx="732">
                  <c:v>3.5087588167864877E+17</c:v>
                </c:pt>
                <c:pt idx="733">
                  <c:v>3.5515502229945402E+17</c:v>
                </c:pt>
                <c:pt idx="734">
                  <c:v>3.5948901319117293E+17</c:v>
                </c:pt>
                <c:pt idx="735">
                  <c:v>3.6387859078662131E+17</c:v>
                </c:pt>
                <c:pt idx="736">
                  <c:v>3.6832450184495424E+17</c:v>
                </c:pt>
                <c:pt idx="737">
                  <c:v>3.7282750360250413E+17</c:v>
                </c:pt>
                <c:pt idx="738">
                  <c:v>3.7738836392591213E+17</c:v>
                </c:pt>
                <c:pt idx="739">
                  <c:v>3.8200786146757939E+17</c:v>
                </c:pt>
                <c:pt idx="740">
                  <c:v>3.8668678582349651E+17</c:v>
                </c:pt>
                <c:pt idx="741">
                  <c:v>3.9142593769344947E+17</c:v>
                </c:pt>
                <c:pt idx="742">
                  <c:v>3.9622612904367603E+17</c:v>
                </c:pt>
                <c:pt idx="743">
                  <c:v>4.0108818327201363E+17</c:v>
                </c:pt>
                <c:pt idx="744">
                  <c:v>4.0601293537552602E+17</c:v>
                </c:pt>
                <c:pt idx="745">
                  <c:v>4.11001232120736E+17</c:v>
                </c:pt>
                <c:pt idx="746">
                  <c:v>4.1605393221639462E+17</c:v>
                </c:pt>
                <c:pt idx="747">
                  <c:v>4.2117190648893229E+17</c:v>
                </c:pt>
                <c:pt idx="748">
                  <c:v>4.2635603806058048E+17</c:v>
                </c:pt>
                <c:pt idx="749">
                  <c:v>4.3160722253019968E+17</c:v>
                </c:pt>
                <c:pt idx="750">
                  <c:v>4.3692636815687699E+17</c:v>
                </c:pt>
                <c:pt idx="751">
                  <c:v>4.4231439604634419E+17</c:v>
                </c:pt>
                <c:pt idx="752">
                  <c:v>4.4777224034021978E+17</c:v>
                </c:pt>
                <c:pt idx="753">
                  <c:v>4.5330084840819347E+17</c:v>
                </c:pt>
                <c:pt idx="754">
                  <c:v>4.5890118104310963E+17</c:v>
                </c:pt>
                <c:pt idx="755">
                  <c:v>4.6457421265906355E+17</c:v>
                </c:pt>
                <c:pt idx="756">
                  <c:v>4.7032093149253926E+17</c:v>
                </c:pt>
                <c:pt idx="757">
                  <c:v>4.761423398066112E+17</c:v>
                </c:pt>
                <c:pt idx="758">
                  <c:v>4.8203945409831642E+17</c:v>
                </c:pt>
                <c:pt idx="759">
                  <c:v>4.8801330530917715E+17</c:v>
                </c:pt>
                <c:pt idx="760">
                  <c:v>4.9406493903898912E+17</c:v>
                </c:pt>
                <c:pt idx="761">
                  <c:v>5.0019541576287405E+17</c:v>
                </c:pt>
                <c:pt idx="762">
                  <c:v>5.0640581105167181E+17</c:v>
                </c:pt>
                <c:pt idx="763">
                  <c:v>5.1269721579576525E+17</c:v>
                </c:pt>
                <c:pt idx="764">
                  <c:v>5.1907073643229958E+17</c:v>
                </c:pt>
                <c:pt idx="765">
                  <c:v>5.2552749517593664E+17</c:v>
                </c:pt>
                <c:pt idx="766">
                  <c:v>5.320686302531721E+17</c:v>
                </c:pt>
                <c:pt idx="767">
                  <c:v>5.3869529614022336E+17</c:v>
                </c:pt>
                <c:pt idx="768">
                  <c:v>5.454086638046704E+17</c:v>
                </c:pt>
                <c:pt idx="769">
                  <c:v>5.5220992095074541E+17</c:v>
                </c:pt>
                <c:pt idx="770">
                  <c:v>5.5910027226846835E+17</c:v>
                </c:pt>
                <c:pt idx="771">
                  <c:v>5.660809396866281E+17</c:v>
                </c:pt>
                <c:pt idx="772">
                  <c:v>5.731531626296551E+17</c:v>
                </c:pt>
                <c:pt idx="773">
                  <c:v>5.8031819827847821E+17</c:v>
                </c:pt>
                <c:pt idx="774">
                  <c:v>5.8757732183546918E+17</c:v>
                </c:pt>
                <c:pt idx="775">
                  <c:v>5.9493182679341542E+17</c:v>
                </c:pt>
                <c:pt idx="776">
                  <c:v>6.0238302520873152E+17</c:v>
                </c:pt>
                <c:pt idx="777">
                  <c:v>6.0993224797888128E+17</c:v>
                </c:pt>
                <c:pt idx="778">
                  <c:v>6.1758084512409408E+17</c:v>
                </c:pt>
                <c:pt idx="779">
                  <c:v>6.2533018607349376E+17</c:v>
                </c:pt>
                <c:pt idx="780">
                  <c:v>6.3318165995565747E+17</c:v>
                </c:pt>
                <c:pt idx="781">
                  <c:v>6.4113667589368563E+17</c:v>
                </c:pt>
                <c:pt idx="782">
                  <c:v>6.4919666330488141E+17</c:v>
                </c:pt>
                <c:pt idx="783">
                  <c:v>6.5736307220507098E+17</c:v>
                </c:pt>
                <c:pt idx="784">
                  <c:v>6.6563737351769946E+17</c:v>
                </c:pt>
                <c:pt idx="785">
                  <c:v>6.7402105938772518E+17</c:v>
                </c:pt>
                <c:pt idx="786">
                  <c:v>6.8251564350040896E+17</c:v>
                </c:pt>
                <c:pt idx="787">
                  <c:v>6.9112266140509325E+17</c:v>
                </c:pt>
                <c:pt idx="788">
                  <c:v>6.9984367084400358E+17</c:v>
                </c:pt>
                <c:pt idx="789">
                  <c:v>7.0868025208624166E+17</c:v>
                </c:pt>
                <c:pt idx="790">
                  <c:v>7.1763400826696563E+17</c:v>
                </c:pt>
                <c:pt idx="791">
                  <c:v>7.2670656573185088E+17</c:v>
                </c:pt>
                <c:pt idx="792">
                  <c:v>7.3589957438701312E+17</c:v>
                </c:pt>
                <c:pt idx="793">
                  <c:v>7.452147080543447E+17</c:v>
                </c:pt>
                <c:pt idx="794">
                  <c:v>7.546536648324457E+17</c:v>
                </c:pt>
                <c:pt idx="795">
                  <c:v>7.6421816746323405E+17</c:v>
                </c:pt>
                <c:pt idx="796">
                  <c:v>7.7390996370426522E+17</c:v>
                </c:pt>
                <c:pt idx="797">
                  <c:v>7.8373082670692723E+17</c:v>
                </c:pt>
                <c:pt idx="798">
                  <c:v>7.9368255540054886E+17</c:v>
                </c:pt>
                <c:pt idx="799">
                  <c:v>8.0376697488259366E+17</c:v>
                </c:pt>
                <c:pt idx="800">
                  <c:v>8.1398593681490957E+17</c:v>
                </c:pt>
                <c:pt idx="801">
                  <c:v>8.2434131982631104E+17</c:v>
                </c:pt>
                <c:pt idx="802">
                  <c:v>8.3483502992139315E+17</c:v>
                </c:pt>
                <c:pt idx="803">
                  <c:v>8.4546900089588941E+17</c:v>
                </c:pt>
                <c:pt idx="804">
                  <c:v>8.562451947584704E+17</c:v>
                </c:pt>
                <c:pt idx="805">
                  <c:v>8.6716560215928845E+17</c:v>
                </c:pt>
                <c:pt idx="806">
                  <c:v>8.7823224282522176E+17</c:v>
                </c:pt>
                <c:pt idx="807">
                  <c:v>8.8944716600200986E+17</c:v>
                </c:pt>
                <c:pt idx="808">
                  <c:v>9.0081245090339123E+17</c:v>
                </c:pt>
                <c:pt idx="809">
                  <c:v>9.1233020716726746E+17</c:v>
                </c:pt>
                <c:pt idx="810">
                  <c:v>9.2400257531921101E+17</c:v>
                </c:pt>
                <c:pt idx="811">
                  <c:v>9.3583172724316493E+17</c:v>
                </c:pt>
                <c:pt idx="812">
                  <c:v>9.4781986665968333E+17</c:v>
                </c:pt>
                <c:pt idx="813">
                  <c:v>9.5996922961174413E+17</c:v>
                </c:pt>
                <c:pt idx="814">
                  <c:v>9.7228208495818611E+17</c:v>
                </c:pt>
                <c:pt idx="815">
                  <c:v>9.8476073487507878E+17</c:v>
                </c:pt>
                <c:pt idx="816">
                  <c:v>9.9740751536497587E+17</c:v>
                </c:pt>
                <c:pt idx="817">
                  <c:v>1.0102247967742712E+18</c:v>
                </c:pt>
                <c:pt idx="818">
                  <c:v>1.0232149843187698E+18</c:v>
                </c:pt>
                <c:pt idx="819">
                  <c:v>1.0363805186176303E+18</c:v>
                </c:pt>
                <c:pt idx="820">
                  <c:v>1.0497238762357894E+18</c:v>
                </c:pt>
                <c:pt idx="821">
                  <c:v>1.0632475702350002E+18</c:v>
                </c:pt>
                <c:pt idx="822">
                  <c:v>1.0769541507336822E+18</c:v>
                </c:pt>
                <c:pt idx="823">
                  <c:v>1.0908462054756553E+18</c:v>
                </c:pt>
                <c:pt idx="824">
                  <c:v>1.1049263604079597E+18</c:v>
                </c:pt>
                <c:pt idx="825">
                  <c:v>1.119197280267878E+18</c:v>
                </c:pt>
                <c:pt idx="826">
                  <c:v>1.1336616691793501E+18</c:v>
                </c:pt>
                <c:pt idx="827">
                  <c:v>1.1483222712588859E+18</c:v>
                </c:pt>
                <c:pt idx="828">
                  <c:v>1.1631818712311698E+18</c:v>
                </c:pt>
                <c:pt idx="829">
                  <c:v>1.1782432950545037E+18</c:v>
                </c:pt>
                <c:pt idx="830">
                  <c:v>1.1935094105562575E+18</c:v>
                </c:pt>
                <c:pt idx="831">
                  <c:v>1.2089831280785129E+18</c:v>
                </c:pt>
                <c:pt idx="832">
                  <c:v>1.224667401133973E+18</c:v>
                </c:pt>
                <c:pt idx="833">
                  <c:v>1.2405652270724989E+18</c:v>
                </c:pt>
                <c:pt idx="834">
                  <c:v>1.2566796477582149E+18</c:v>
                </c:pt>
                <c:pt idx="835">
                  <c:v>1.2730137502575165E+18</c:v>
                </c:pt>
                <c:pt idx="836">
                  <c:v>1.2895706675382124E+18</c:v>
                </c:pt>
                <c:pt idx="837">
                  <c:v>1.3063535791797443E+18</c:v>
                </c:pt>
                <c:pt idx="838">
                  <c:v>1.3233657120948887E+18</c:v>
                </c:pt>
                <c:pt idx="839">
                  <c:v>1.3406103412631493E+18</c:v>
                </c:pt>
                <c:pt idx="840">
                  <c:v>1.3580907904757414E+18</c:v>
                </c:pt>
                <c:pt idx="841">
                  <c:v>1.3758104330928067E+18</c:v>
                </c:pt>
                <c:pt idx="842">
                  <c:v>1.3937726928126326E+18</c:v>
                </c:pt>
                <c:pt idx="843">
                  <c:v>1.4119810444534126E+18</c:v>
                </c:pt>
                <c:pt idx="844">
                  <c:v>1.4304390147475011E+18</c:v>
                </c:pt>
                <c:pt idx="845">
                  <c:v>1.4491501831485138E+18</c:v>
                </c:pt>
                <c:pt idx="846">
                  <c:v>1.4681181826515581E+18</c:v>
                </c:pt>
                <c:pt idx="847">
                  <c:v>1.4873467006265457E+18</c:v>
                </c:pt>
                <c:pt idx="848">
                  <c:v>1.5068394796650982E+18</c:v>
                </c:pt>
                <c:pt idx="849">
                  <c:v>1.5266003184411318E+18</c:v>
                </c:pt>
                <c:pt idx="850">
                  <c:v>1.5466330725852785E+18</c:v>
                </c:pt>
                <c:pt idx="851">
                  <c:v>1.5669416555735969E+18</c:v>
                </c:pt>
                <c:pt idx="852">
                  <c:v>1.5875300396306045E+18</c:v>
                </c:pt>
                <c:pt idx="853">
                  <c:v>1.6084022566469496E+18</c:v>
                </c:pt>
                <c:pt idx="854">
                  <c:v>1.6295623991119762E+18</c:v>
                </c:pt>
                <c:pt idx="855">
                  <c:v>1.6510146210614333E+18</c:v>
                </c:pt>
                <c:pt idx="856">
                  <c:v>1.6727631390405937E+18</c:v>
                </c:pt>
                <c:pt idx="857">
                  <c:v>1.6948122330829274E+18</c:v>
                </c:pt>
                <c:pt idx="858">
                  <c:v>1.7171662477048502E+18</c:v>
                </c:pt>
                <c:pt idx="859">
                  <c:v>1.7398295929164813E+18</c:v>
                </c:pt>
                <c:pt idx="860">
                  <c:v>1.7628067452489234E+18</c:v>
                </c:pt>
                <c:pt idx="861">
                  <c:v>1.7861022487983501E+18</c:v>
                </c:pt>
                <c:pt idx="862">
                  <c:v>1.8097207162869558E+18</c:v>
                </c:pt>
                <c:pt idx="863">
                  <c:v>1.8336668301413302E+18</c:v>
                </c:pt>
                <c:pt idx="864">
                  <c:v>1.8579453435883896E+18</c:v>
                </c:pt>
                <c:pt idx="865">
                  <c:v>1.8825610817691302E+18</c:v>
                </c:pt>
                <c:pt idx="866">
                  <c:v>1.9075189428706522E+18</c:v>
                </c:pt>
                <c:pt idx="867">
                  <c:v>1.9328238992767255E+18</c:v>
                </c:pt>
                <c:pt idx="868">
                  <c:v>1.9584809987370074E+18</c:v>
                </c:pt>
                <c:pt idx="869">
                  <c:v>1.9844953655555551E+18</c:v>
                </c:pt>
                <c:pt idx="870">
                  <c:v>2.0108722017987121E+18</c:v>
                </c:pt>
                <c:pt idx="871">
                  <c:v>2.037616788522783E+18</c:v>
                </c:pt>
                <c:pt idx="872">
                  <c:v>2.0647344870218831E+18</c:v>
                </c:pt>
                <c:pt idx="873">
                  <c:v>2.0922307400961884E+18</c:v>
                </c:pt>
                <c:pt idx="874">
                  <c:v>2.120111073341047E+18</c:v>
                </c:pt>
                <c:pt idx="875">
                  <c:v>2.1483810964572211E+18</c:v>
                </c:pt>
                <c:pt idx="876">
                  <c:v>2.1770465045826629E+18</c:v>
                </c:pt>
                <c:pt idx="877">
                  <c:v>2.2061130796462328E+18</c:v>
                </c:pt>
                <c:pt idx="878">
                  <c:v>2.2355866917435912E+18</c:v>
                </c:pt>
                <c:pt idx="879">
                  <c:v>2.2654733005358093E+18</c:v>
                </c:pt>
                <c:pt idx="880">
                  <c:v>2.2957789566710019E+18</c:v>
                </c:pt>
                <c:pt idx="881">
                  <c:v>2.3265098032293299E+18</c:v>
                </c:pt>
                <c:pt idx="882">
                  <c:v>2.3576720771918956E+18</c:v>
                </c:pt>
                <c:pt idx="883">
                  <c:v>2.3892721109338865E+18</c:v>
                </c:pt>
                <c:pt idx="884">
                  <c:v>2.4213163337422126E+18</c:v>
                </c:pt>
                <c:pt idx="885">
                  <c:v>2.4538112733584297E+18</c:v>
                </c:pt>
                <c:pt idx="886">
                  <c:v>2.4867635575469225E+18</c:v>
                </c:pt>
                <c:pt idx="887">
                  <c:v>2.5201799156892733E+18</c:v>
                </c:pt>
                <c:pt idx="888">
                  <c:v>2.554067180404841E+18</c:v>
                </c:pt>
                <c:pt idx="889">
                  <c:v>2.5884322891981281E+18</c:v>
                </c:pt>
                <c:pt idx="890">
                  <c:v>2.6232822861336172E+18</c:v>
                </c:pt>
                <c:pt idx="891">
                  <c:v>2.6586243235382175E+18</c:v>
                </c:pt>
                <c:pt idx="892">
                  <c:v>2.6944656637319895E+18</c:v>
                </c:pt>
                <c:pt idx="893">
                  <c:v>2.7308136807875814E+18</c:v>
                </c:pt>
                <c:pt idx="894">
                  <c:v>2.7676758623189765E+18</c:v>
                </c:pt>
                <c:pt idx="895">
                  <c:v>2.8050598112997064E+18</c:v>
                </c:pt>
                <c:pt idx="896">
                  <c:v>2.8429732479116426E+18</c:v>
                </c:pt>
                <c:pt idx="897">
                  <c:v>2.8814240114241597E+18</c:v>
                </c:pt>
                <c:pt idx="898">
                  <c:v>2.9204200621049144E+18</c:v>
                </c:pt>
                <c:pt idx="899">
                  <c:v>2.9599694831622236E+18</c:v>
                </c:pt>
                <c:pt idx="900">
                  <c:v>3.0000804827198653E+18</c:v>
                </c:pt>
                <c:pt idx="901">
                  <c:v>3.0407613958248694E+18</c:v>
                </c:pt>
                <c:pt idx="902">
                  <c:v>3.0820206864886508E+18</c:v>
                </c:pt>
                <c:pt idx="903">
                  <c:v>3.123866949762431E+18</c:v>
                </c:pt>
                <c:pt idx="904">
                  <c:v>3.166308913847104E+18</c:v>
                </c:pt>
                <c:pt idx="905">
                  <c:v>3.2093554422385418E+18</c:v>
                </c:pt>
                <c:pt idx="906">
                  <c:v>3.2530155359086085E+18</c:v>
                </c:pt>
                <c:pt idx="907">
                  <c:v>3.2972983355227407E+18</c:v>
                </c:pt>
                <c:pt idx="908">
                  <c:v>3.3422131236948321E+18</c:v>
                </c:pt>
                <c:pt idx="909">
                  <c:v>3.3877693272794557E+18</c:v>
                </c:pt>
                <c:pt idx="910">
                  <c:v>3.433976519703017E+18</c:v>
                </c:pt>
                <c:pt idx="911">
                  <c:v>3.4808444233336499E+18</c:v>
                </c:pt>
                <c:pt idx="912">
                  <c:v>3.5283829118908554E+18</c:v>
                </c:pt>
                <c:pt idx="913">
                  <c:v>3.5766020128959928E+18</c:v>
                </c:pt>
                <c:pt idx="914">
                  <c:v>3.6255119101635476E+18</c:v>
                </c:pt>
                <c:pt idx="915">
                  <c:v>3.6751229463343795E+18</c:v>
                </c:pt>
                <c:pt idx="916">
                  <c:v>3.7254456254517299E+18</c:v>
                </c:pt>
                <c:pt idx="917">
                  <c:v>3.7764906155803366E+18</c:v>
                </c:pt>
                <c:pt idx="918">
                  <c:v>3.8282687514699075E+18</c:v>
                </c:pt>
                <c:pt idx="919">
                  <c:v>3.8807910372633313E+18</c:v>
                </c:pt>
                <c:pt idx="920">
                  <c:v>3.9340686492505923E+18</c:v>
                </c:pt>
                <c:pt idx="921">
                  <c:v>3.9881129386690678E+18</c:v>
                </c:pt>
                <c:pt idx="922">
                  <c:v>4.042935434551358E+18</c:v>
                </c:pt>
                <c:pt idx="923">
                  <c:v>4.0985478466207498E+18</c:v>
                </c:pt>
                <c:pt idx="924">
                  <c:v>4.1549620682361149E+18</c:v>
                </c:pt>
                <c:pt idx="925">
                  <c:v>4.2121901793863188E+18</c:v>
                </c:pt>
                <c:pt idx="926">
                  <c:v>4.2702444497354132E+18</c:v>
                </c:pt>
                <c:pt idx="927">
                  <c:v>4.3291373417192735E+18</c:v>
                </c:pt>
                <c:pt idx="928">
                  <c:v>4.3888815136948132E+18</c:v>
                </c:pt>
                <c:pt idx="929">
                  <c:v>4.4494898231425203E+18</c:v>
                </c:pt>
                <c:pt idx="930">
                  <c:v>4.5109753299234156E+18</c:v>
                </c:pt>
                <c:pt idx="931">
                  <c:v>4.5733512995910932E+18</c:v>
                </c:pt>
                <c:pt idx="932">
                  <c:v>4.6366312067602258E+18</c:v>
                </c:pt>
                <c:pt idx="933">
                  <c:v>4.7008287385320212E+18</c:v>
                </c:pt>
                <c:pt idx="934">
                  <c:v>4.7659577979783782E+18</c:v>
                </c:pt>
                <c:pt idx="935">
                  <c:v>4.8320325076847493E+18</c:v>
                </c:pt>
                <c:pt idx="936">
                  <c:v>4.8990672133538857E+18</c:v>
                </c:pt>
                <c:pt idx="937">
                  <c:v>4.967076487470422E+18</c:v>
                </c:pt>
                <c:pt idx="938">
                  <c:v>5.0360751330283182E+18</c:v>
                </c:pt>
                <c:pt idx="939">
                  <c:v>5.1060781873216348E+18</c:v>
                </c:pt>
                <c:pt idx="940">
                  <c:v>5.177100925800236E+18</c:v>
                </c:pt>
                <c:pt idx="941">
                  <c:v>5.2491588659909571E+18</c:v>
                </c:pt>
                <c:pt idx="942">
                  <c:v>5.3222677714861711E+18</c:v>
                </c:pt>
                <c:pt idx="943">
                  <c:v>5.3964436560001597E+18</c:v>
                </c:pt>
                <c:pt idx="944">
                  <c:v>5.4717027874950871E+18</c:v>
                </c:pt>
                <c:pt idx="945">
                  <c:v>5.5480616923776768E+18</c:v>
                </c:pt>
                <c:pt idx="946">
                  <c:v>5.6255371597674342E+18</c:v>
                </c:pt>
                <c:pt idx="947">
                  <c:v>5.7041462458384067E+18</c:v>
                </c:pt>
                <c:pt idx="948">
                  <c:v>5.7839062782347397E+18</c:v>
                </c:pt>
                <c:pt idx="949">
                  <c:v>5.8648348605630331E+18</c:v>
                </c:pt>
                <c:pt idx="950">
                  <c:v>5.9469498769606861E+18</c:v>
                </c:pt>
                <c:pt idx="951">
                  <c:v>6.030269496743467E+18</c:v>
                </c:pt>
                <c:pt idx="952">
                  <c:v>6.1148121791326515E+18</c:v>
                </c:pt>
                <c:pt idx="953">
                  <c:v>6.2005966780635218E+18</c:v>
                </c:pt>
                <c:pt idx="954">
                  <c:v>6.287642047076521E+18</c:v>
                </c:pt>
                <c:pt idx="955">
                  <c:v>6.3759676442928497E+18</c:v>
                </c:pt>
                <c:pt idx="956">
                  <c:v>6.4655931374754632E+18</c:v>
                </c:pt>
                <c:pt idx="957">
                  <c:v>6.5565385091776737E+18</c:v>
                </c:pt>
                <c:pt idx="958">
                  <c:v>6.6488240619802481E+18</c:v>
                </c:pt>
                <c:pt idx="959">
                  <c:v>6.7424704238187889E+18</c:v>
                </c:pt>
                <c:pt idx="960">
                  <c:v>6.8374985534039132E+18</c:v>
                </c:pt>
                <c:pt idx="961">
                  <c:v>9.6758204575867556E+18</c:v>
                </c:pt>
                <c:pt idx="962">
                  <c:v>1.3770634786785454E+19</c:v>
                </c:pt>
                <c:pt idx="963">
                  <c:v>1.9713203040752333E+19</c:v>
                </c:pt>
                <c:pt idx="964">
                  <c:v>2.8389714589872075E+19</c:v>
                </c:pt>
                <c:pt idx="965">
                  <c:v>4.1136857721521947E+19</c:v>
                </c:pt>
                <c:pt idx="966">
                  <c:v>5.998398971899945E+19</c:v>
                </c:pt>
                <c:pt idx="967">
                  <c:v>8.8032683803560116E+19</c:v>
                </c:pt>
                <c:pt idx="968">
                  <c:v>1.3005574275241815E+20</c:v>
                </c:pt>
                <c:pt idx="969">
                  <c:v>1.9344935779851216E+20</c:v>
                </c:pt>
                <c:pt idx="970">
                  <c:v>2.8975772868291232E+20</c:v>
                </c:pt>
                <c:pt idx="971">
                  <c:v>4.3713271695878658E+20</c:v>
                </c:pt>
                <c:pt idx="972">
                  <c:v>6.6433264571106591E+20</c:v>
                </c:pt>
                <c:pt idx="973">
                  <c:v>1.0172749234701417E+21</c:v>
                </c:pt>
                <c:pt idx="974">
                  <c:v>1.5698608489047274E+21</c:v>
                </c:pt>
                <c:pt idx="975">
                  <c:v>2.4420073134585823E+21</c:v>
                </c:pt>
                <c:pt idx="976">
                  <c:v>3.8299411202202492E+21</c:v>
                </c:pt>
                <c:pt idx="977">
                  <c:v>6.057543360176226E+21</c:v>
                </c:pt>
                <c:pt idx="978">
                  <c:v>9.664157579755001E+21</c:v>
                </c:pt>
                <c:pt idx="979">
                  <c:v>1.5556153142192774E+22</c:v>
                </c:pt>
                <c:pt idx="980">
                  <c:v>2.527103336465536E+22</c:v>
                </c:pt>
                <c:pt idx="981">
                  <c:v>4.1442178391389032E+22</c:v>
                </c:pt>
                <c:pt idx="982">
                  <c:v>6.8624895837835121E+22</c:v>
                </c:pt>
                <c:pt idx="983">
                  <c:v>1.1477992161533737E+23</c:v>
                </c:pt>
                <c:pt idx="984">
                  <c:v>1.9396610245641599E+23</c:v>
                </c:pt>
                <c:pt idx="985">
                  <c:v>3.3128160136957738E+23</c:v>
                </c:pt>
                <c:pt idx="986">
                  <c:v>5.7203392407736206E+23</c:v>
                </c:pt>
                <c:pt idx="987">
                  <c:v>9.9895635782467791E+23</c:v>
                </c:pt>
                <c:pt idx="988">
                  <c:v>1.7649196012462841E+24</c:v>
                </c:pt>
                <c:pt idx="989">
                  <c:v>3.1558540459786188E+24</c:v>
                </c:pt>
                <c:pt idx="990">
                  <c:v>5.7133281941339438E+24</c:v>
                </c:pt>
                <c:pt idx="991">
                  <c:v>1.0476485265523744E+25</c:v>
                </c:pt>
                <c:pt idx="992">
                  <c:v>1.9466043048587606E+25</c:v>
                </c:pt>
                <c:pt idx="993">
                  <c:v>3.6666111133625145E+25</c:v>
                </c:pt>
                <c:pt idx="994">
                  <c:v>7.0044657489367307E+25</c:v>
                </c:pt>
                <c:pt idx="995">
                  <c:v>1.3577349102710577E+26</c:v>
                </c:pt>
                <c:pt idx="996">
                  <c:v>2.6717817874662853E+26</c:v>
                </c:pt>
                <c:pt idx="997">
                  <c:v>5.3402207159824317E+26</c:v>
                </c:pt>
                <c:pt idx="998">
                  <c:v>1.0847418195518268E+27</c:v>
                </c:pt>
                <c:pt idx="999">
                  <c:v>2.2405281821774064E+27</c:v>
                </c:pt>
                <c:pt idx="1000">
                  <c:v>4.7085915135270185E+27</c:v>
                </c:pt>
                <c:pt idx="1001">
                  <c:v>1.0074429626447423E+28</c:v>
                </c:pt>
                <c:pt idx="1002">
                  <c:v>2.1959596086072462E+28</c:v>
                </c:pt>
                <c:pt idx="1003">
                  <c:v>4.8798039103059335E+28</c:v>
                </c:pt>
                <c:pt idx="1004">
                  <c:v>1.1062907232803889E+29</c:v>
                </c:pt>
                <c:pt idx="1005">
                  <c:v>2.5606826190031722E+29</c:v>
                </c:pt>
                <c:pt idx="1006">
                  <c:v>6.056329900346704E+29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8694-954C-A7F8-D50D2C502A66}"/>
            </c:ext>
          </c:extLst>
        </c:ser>
        <c:ser>
          <c:idx val="2"/>
          <c:order val="2"/>
          <c:tx>
            <c:v>mi_modelo</c:v>
          </c:tx>
          <c:spPr>
            <a:ln w="2540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xVal>
            <c:numRef>
              <c:f>Sheet2!$D$31:$D$1095</c:f>
              <c:numCache>
                <c:formatCode>General</c:formatCode>
                <c:ptCount val="1065"/>
                <c:pt idx="0">
                  <c:v>2003</c:v>
                </c:pt>
                <c:pt idx="1">
                  <c:v>2002.5</c:v>
                </c:pt>
                <c:pt idx="2">
                  <c:v>2002</c:v>
                </c:pt>
                <c:pt idx="3">
                  <c:v>2001.5</c:v>
                </c:pt>
                <c:pt idx="4">
                  <c:v>2001</c:v>
                </c:pt>
                <c:pt idx="5">
                  <c:v>2000.5</c:v>
                </c:pt>
                <c:pt idx="6">
                  <c:v>2000</c:v>
                </c:pt>
                <c:pt idx="7">
                  <c:v>1999.5</c:v>
                </c:pt>
                <c:pt idx="8">
                  <c:v>1999</c:v>
                </c:pt>
                <c:pt idx="9">
                  <c:v>1998.5</c:v>
                </c:pt>
                <c:pt idx="10">
                  <c:v>1998</c:v>
                </c:pt>
                <c:pt idx="11">
                  <c:v>1997.5</c:v>
                </c:pt>
                <c:pt idx="12">
                  <c:v>1997</c:v>
                </c:pt>
                <c:pt idx="13">
                  <c:v>1996.5</c:v>
                </c:pt>
                <c:pt idx="14">
                  <c:v>1996</c:v>
                </c:pt>
                <c:pt idx="15">
                  <c:v>1995.5</c:v>
                </c:pt>
                <c:pt idx="16">
                  <c:v>1995</c:v>
                </c:pt>
                <c:pt idx="17">
                  <c:v>1994.5</c:v>
                </c:pt>
                <c:pt idx="18">
                  <c:v>1994</c:v>
                </c:pt>
                <c:pt idx="19">
                  <c:v>1993.5</c:v>
                </c:pt>
                <c:pt idx="20">
                  <c:v>1993</c:v>
                </c:pt>
                <c:pt idx="21">
                  <c:v>1992.5</c:v>
                </c:pt>
                <c:pt idx="22">
                  <c:v>1992</c:v>
                </c:pt>
                <c:pt idx="23">
                  <c:v>1991.5</c:v>
                </c:pt>
                <c:pt idx="24">
                  <c:v>1991</c:v>
                </c:pt>
                <c:pt idx="25">
                  <c:v>1990.5</c:v>
                </c:pt>
                <c:pt idx="26">
                  <c:v>1990</c:v>
                </c:pt>
                <c:pt idx="27">
                  <c:v>1989.5</c:v>
                </c:pt>
                <c:pt idx="28">
                  <c:v>1989</c:v>
                </c:pt>
                <c:pt idx="29">
                  <c:v>1988.5</c:v>
                </c:pt>
                <c:pt idx="30">
                  <c:v>1988</c:v>
                </c:pt>
                <c:pt idx="31">
                  <c:v>1987.5</c:v>
                </c:pt>
                <c:pt idx="32">
                  <c:v>1987</c:v>
                </c:pt>
                <c:pt idx="33">
                  <c:v>1986.5</c:v>
                </c:pt>
                <c:pt idx="34">
                  <c:v>1986</c:v>
                </c:pt>
                <c:pt idx="35">
                  <c:v>1985.5</c:v>
                </c:pt>
                <c:pt idx="36">
                  <c:v>1985</c:v>
                </c:pt>
                <c:pt idx="37">
                  <c:v>1984.5</c:v>
                </c:pt>
                <c:pt idx="38">
                  <c:v>1984</c:v>
                </c:pt>
                <c:pt idx="39">
                  <c:v>1983.5</c:v>
                </c:pt>
                <c:pt idx="40">
                  <c:v>1983</c:v>
                </c:pt>
                <c:pt idx="41">
                  <c:v>1982.5</c:v>
                </c:pt>
                <c:pt idx="42">
                  <c:v>1982</c:v>
                </c:pt>
                <c:pt idx="43">
                  <c:v>1981.5</c:v>
                </c:pt>
                <c:pt idx="44">
                  <c:v>1981</c:v>
                </c:pt>
                <c:pt idx="45">
                  <c:v>1980.5</c:v>
                </c:pt>
                <c:pt idx="46">
                  <c:v>1980</c:v>
                </c:pt>
                <c:pt idx="47">
                  <c:v>1979.5</c:v>
                </c:pt>
                <c:pt idx="48">
                  <c:v>1979</c:v>
                </c:pt>
                <c:pt idx="49">
                  <c:v>1978.5</c:v>
                </c:pt>
                <c:pt idx="50">
                  <c:v>1978</c:v>
                </c:pt>
                <c:pt idx="51">
                  <c:v>1977.5</c:v>
                </c:pt>
                <c:pt idx="52">
                  <c:v>1977</c:v>
                </c:pt>
                <c:pt idx="53">
                  <c:v>1976.5</c:v>
                </c:pt>
                <c:pt idx="54">
                  <c:v>1976</c:v>
                </c:pt>
                <c:pt idx="55">
                  <c:v>1975.5</c:v>
                </c:pt>
                <c:pt idx="56">
                  <c:v>1975</c:v>
                </c:pt>
                <c:pt idx="57">
                  <c:v>1974.5</c:v>
                </c:pt>
                <c:pt idx="58">
                  <c:v>1974</c:v>
                </c:pt>
                <c:pt idx="59">
                  <c:v>1973.5</c:v>
                </c:pt>
                <c:pt idx="60">
                  <c:v>1973</c:v>
                </c:pt>
                <c:pt idx="61">
                  <c:v>1972.5</c:v>
                </c:pt>
                <c:pt idx="62">
                  <c:v>1972</c:v>
                </c:pt>
                <c:pt idx="63">
                  <c:v>1971.5</c:v>
                </c:pt>
                <c:pt idx="64">
                  <c:v>1971</c:v>
                </c:pt>
                <c:pt idx="65">
                  <c:v>1970.5</c:v>
                </c:pt>
                <c:pt idx="66">
                  <c:v>1970</c:v>
                </c:pt>
                <c:pt idx="67">
                  <c:v>1969.5</c:v>
                </c:pt>
                <c:pt idx="68">
                  <c:v>1969</c:v>
                </c:pt>
                <c:pt idx="69">
                  <c:v>1968.5</c:v>
                </c:pt>
                <c:pt idx="70">
                  <c:v>1968</c:v>
                </c:pt>
                <c:pt idx="71">
                  <c:v>1967.5</c:v>
                </c:pt>
                <c:pt idx="72">
                  <c:v>1967</c:v>
                </c:pt>
                <c:pt idx="73">
                  <c:v>1966.5</c:v>
                </c:pt>
                <c:pt idx="74">
                  <c:v>1966</c:v>
                </c:pt>
                <c:pt idx="75">
                  <c:v>1965.5</c:v>
                </c:pt>
                <c:pt idx="76">
                  <c:v>1965</c:v>
                </c:pt>
                <c:pt idx="77">
                  <c:v>1964.5</c:v>
                </c:pt>
                <c:pt idx="78">
                  <c:v>1964</c:v>
                </c:pt>
                <c:pt idx="79">
                  <c:v>1963.5</c:v>
                </c:pt>
                <c:pt idx="80">
                  <c:v>1963</c:v>
                </c:pt>
                <c:pt idx="81">
                  <c:v>1962.5</c:v>
                </c:pt>
                <c:pt idx="82">
                  <c:v>1962</c:v>
                </c:pt>
                <c:pt idx="83">
                  <c:v>1961.5</c:v>
                </c:pt>
                <c:pt idx="84">
                  <c:v>1961</c:v>
                </c:pt>
                <c:pt idx="85">
                  <c:v>1960.5</c:v>
                </c:pt>
                <c:pt idx="86">
                  <c:v>1960</c:v>
                </c:pt>
                <c:pt idx="87">
                  <c:v>1959.5</c:v>
                </c:pt>
                <c:pt idx="88">
                  <c:v>1959</c:v>
                </c:pt>
                <c:pt idx="89">
                  <c:v>1958.5</c:v>
                </c:pt>
                <c:pt idx="90">
                  <c:v>1958</c:v>
                </c:pt>
                <c:pt idx="91">
                  <c:v>1957.5</c:v>
                </c:pt>
                <c:pt idx="92">
                  <c:v>1957</c:v>
                </c:pt>
                <c:pt idx="93">
                  <c:v>1956.5</c:v>
                </c:pt>
                <c:pt idx="94">
                  <c:v>1956</c:v>
                </c:pt>
                <c:pt idx="95">
                  <c:v>1955.5</c:v>
                </c:pt>
                <c:pt idx="96">
                  <c:v>1955</c:v>
                </c:pt>
                <c:pt idx="97">
                  <c:v>1954.5</c:v>
                </c:pt>
                <c:pt idx="98">
                  <c:v>1954</c:v>
                </c:pt>
                <c:pt idx="99">
                  <c:v>1953.5</c:v>
                </c:pt>
                <c:pt idx="100">
                  <c:v>1953</c:v>
                </c:pt>
                <c:pt idx="101">
                  <c:v>1952.5</c:v>
                </c:pt>
                <c:pt idx="102">
                  <c:v>1952</c:v>
                </c:pt>
                <c:pt idx="103">
                  <c:v>1951.5</c:v>
                </c:pt>
                <c:pt idx="104">
                  <c:v>1951</c:v>
                </c:pt>
                <c:pt idx="105">
                  <c:v>1950.5</c:v>
                </c:pt>
                <c:pt idx="106">
                  <c:v>1950</c:v>
                </c:pt>
                <c:pt idx="107">
                  <c:v>1949.5</c:v>
                </c:pt>
                <c:pt idx="108">
                  <c:v>1949</c:v>
                </c:pt>
                <c:pt idx="109">
                  <c:v>1948.5</c:v>
                </c:pt>
                <c:pt idx="110">
                  <c:v>1948</c:v>
                </c:pt>
                <c:pt idx="111">
                  <c:v>1947.5</c:v>
                </c:pt>
                <c:pt idx="112">
                  <c:v>1947</c:v>
                </c:pt>
                <c:pt idx="113">
                  <c:v>1946.5</c:v>
                </c:pt>
                <c:pt idx="114">
                  <c:v>1946</c:v>
                </c:pt>
                <c:pt idx="115">
                  <c:v>1945.5</c:v>
                </c:pt>
                <c:pt idx="116">
                  <c:v>1945</c:v>
                </c:pt>
                <c:pt idx="117">
                  <c:v>1944.5</c:v>
                </c:pt>
                <c:pt idx="118">
                  <c:v>1944</c:v>
                </c:pt>
                <c:pt idx="119">
                  <c:v>1943.5</c:v>
                </c:pt>
                <c:pt idx="120">
                  <c:v>1943</c:v>
                </c:pt>
                <c:pt idx="121">
                  <c:v>1942.5</c:v>
                </c:pt>
                <c:pt idx="122">
                  <c:v>1942</c:v>
                </c:pt>
                <c:pt idx="123">
                  <c:v>1941.5</c:v>
                </c:pt>
                <c:pt idx="124">
                  <c:v>1941</c:v>
                </c:pt>
                <c:pt idx="125">
                  <c:v>1940.5</c:v>
                </c:pt>
                <c:pt idx="126">
                  <c:v>1940</c:v>
                </c:pt>
                <c:pt idx="127">
                  <c:v>1939.5</c:v>
                </c:pt>
                <c:pt idx="128">
                  <c:v>1939</c:v>
                </c:pt>
                <c:pt idx="129">
                  <c:v>1938.5</c:v>
                </c:pt>
                <c:pt idx="130">
                  <c:v>1938</c:v>
                </c:pt>
                <c:pt idx="131">
                  <c:v>1937.5</c:v>
                </c:pt>
                <c:pt idx="132">
                  <c:v>1937</c:v>
                </c:pt>
                <c:pt idx="133">
                  <c:v>1936.5</c:v>
                </c:pt>
                <c:pt idx="134">
                  <c:v>1936</c:v>
                </c:pt>
                <c:pt idx="135">
                  <c:v>1935.5</c:v>
                </c:pt>
                <c:pt idx="136">
                  <c:v>1935</c:v>
                </c:pt>
                <c:pt idx="137">
                  <c:v>1934.5</c:v>
                </c:pt>
                <c:pt idx="138">
                  <c:v>1934</c:v>
                </c:pt>
                <c:pt idx="139">
                  <c:v>1933.5</c:v>
                </c:pt>
                <c:pt idx="140">
                  <c:v>1933</c:v>
                </c:pt>
                <c:pt idx="141">
                  <c:v>1932.5</c:v>
                </c:pt>
                <c:pt idx="142">
                  <c:v>1932</c:v>
                </c:pt>
                <c:pt idx="143">
                  <c:v>1931.5</c:v>
                </c:pt>
                <c:pt idx="144">
                  <c:v>1931</c:v>
                </c:pt>
                <c:pt idx="145">
                  <c:v>1930.5</c:v>
                </c:pt>
                <c:pt idx="146">
                  <c:v>1930</c:v>
                </c:pt>
                <c:pt idx="147">
                  <c:v>1929.5</c:v>
                </c:pt>
                <c:pt idx="148">
                  <c:v>1929</c:v>
                </c:pt>
                <c:pt idx="149">
                  <c:v>1928.5</c:v>
                </c:pt>
                <c:pt idx="150">
                  <c:v>1928</c:v>
                </c:pt>
                <c:pt idx="151">
                  <c:v>1927.5</c:v>
                </c:pt>
                <c:pt idx="152">
                  <c:v>1927</c:v>
                </c:pt>
                <c:pt idx="153">
                  <c:v>1926.5</c:v>
                </c:pt>
                <c:pt idx="154">
                  <c:v>1926</c:v>
                </c:pt>
                <c:pt idx="155">
                  <c:v>1925.5</c:v>
                </c:pt>
                <c:pt idx="156">
                  <c:v>1925</c:v>
                </c:pt>
                <c:pt idx="157">
                  <c:v>1924.5</c:v>
                </c:pt>
                <c:pt idx="158">
                  <c:v>1924</c:v>
                </c:pt>
                <c:pt idx="159">
                  <c:v>1923.5</c:v>
                </c:pt>
                <c:pt idx="160">
                  <c:v>1923</c:v>
                </c:pt>
                <c:pt idx="161">
                  <c:v>1922.5</c:v>
                </c:pt>
                <c:pt idx="162">
                  <c:v>1922</c:v>
                </c:pt>
                <c:pt idx="163">
                  <c:v>1921.5</c:v>
                </c:pt>
                <c:pt idx="164">
                  <c:v>1921</c:v>
                </c:pt>
                <c:pt idx="165">
                  <c:v>1920.5</c:v>
                </c:pt>
                <c:pt idx="166">
                  <c:v>1920</c:v>
                </c:pt>
                <c:pt idx="167">
                  <c:v>1919.5</c:v>
                </c:pt>
                <c:pt idx="168">
                  <c:v>1919</c:v>
                </c:pt>
                <c:pt idx="169">
                  <c:v>1918.5</c:v>
                </c:pt>
                <c:pt idx="170">
                  <c:v>1918</c:v>
                </c:pt>
                <c:pt idx="171">
                  <c:v>1917.5</c:v>
                </c:pt>
                <c:pt idx="172">
                  <c:v>1917</c:v>
                </c:pt>
                <c:pt idx="173">
                  <c:v>1916.5</c:v>
                </c:pt>
                <c:pt idx="174">
                  <c:v>1916</c:v>
                </c:pt>
                <c:pt idx="175">
                  <c:v>1915.5</c:v>
                </c:pt>
                <c:pt idx="176">
                  <c:v>1915</c:v>
                </c:pt>
                <c:pt idx="177">
                  <c:v>1914.5</c:v>
                </c:pt>
                <c:pt idx="178">
                  <c:v>1914</c:v>
                </c:pt>
                <c:pt idx="179">
                  <c:v>1913.5</c:v>
                </c:pt>
                <c:pt idx="180">
                  <c:v>1913</c:v>
                </c:pt>
                <c:pt idx="181">
                  <c:v>1912.5</c:v>
                </c:pt>
                <c:pt idx="182">
                  <c:v>1912</c:v>
                </c:pt>
                <c:pt idx="183">
                  <c:v>1911.5</c:v>
                </c:pt>
                <c:pt idx="184">
                  <c:v>1911</c:v>
                </c:pt>
                <c:pt idx="185">
                  <c:v>1910.5</c:v>
                </c:pt>
                <c:pt idx="186">
                  <c:v>1910</c:v>
                </c:pt>
                <c:pt idx="187">
                  <c:v>1909.5</c:v>
                </c:pt>
                <c:pt idx="188">
                  <c:v>1909</c:v>
                </c:pt>
                <c:pt idx="189">
                  <c:v>1908.5</c:v>
                </c:pt>
                <c:pt idx="190">
                  <c:v>1908</c:v>
                </c:pt>
                <c:pt idx="191">
                  <c:v>1907.5</c:v>
                </c:pt>
                <c:pt idx="192">
                  <c:v>1907</c:v>
                </c:pt>
                <c:pt idx="193">
                  <c:v>1906.5</c:v>
                </c:pt>
                <c:pt idx="194">
                  <c:v>1906</c:v>
                </c:pt>
                <c:pt idx="195">
                  <c:v>1905.5</c:v>
                </c:pt>
                <c:pt idx="196">
                  <c:v>1905</c:v>
                </c:pt>
                <c:pt idx="197">
                  <c:v>1904.5</c:v>
                </c:pt>
                <c:pt idx="198">
                  <c:v>1904</c:v>
                </c:pt>
                <c:pt idx="199">
                  <c:v>1903.5</c:v>
                </c:pt>
                <c:pt idx="200">
                  <c:v>1903</c:v>
                </c:pt>
                <c:pt idx="201">
                  <c:v>1902.5</c:v>
                </c:pt>
                <c:pt idx="202">
                  <c:v>1902</c:v>
                </c:pt>
                <c:pt idx="203">
                  <c:v>1901.5</c:v>
                </c:pt>
                <c:pt idx="204">
                  <c:v>1901</c:v>
                </c:pt>
                <c:pt idx="205">
                  <c:v>1900.5</c:v>
                </c:pt>
                <c:pt idx="206">
                  <c:v>1900</c:v>
                </c:pt>
                <c:pt idx="207">
                  <c:v>1899.5</c:v>
                </c:pt>
                <c:pt idx="208">
                  <c:v>1899</c:v>
                </c:pt>
                <c:pt idx="209">
                  <c:v>1898.5</c:v>
                </c:pt>
                <c:pt idx="210">
                  <c:v>1898</c:v>
                </c:pt>
                <c:pt idx="211">
                  <c:v>1897.5</c:v>
                </c:pt>
                <c:pt idx="212">
                  <c:v>1897</c:v>
                </c:pt>
                <c:pt idx="213">
                  <c:v>1896.5</c:v>
                </c:pt>
                <c:pt idx="214">
                  <c:v>1896</c:v>
                </c:pt>
                <c:pt idx="215">
                  <c:v>1895.5</c:v>
                </c:pt>
                <c:pt idx="216">
                  <c:v>1895</c:v>
                </c:pt>
                <c:pt idx="217">
                  <c:v>1894.5</c:v>
                </c:pt>
                <c:pt idx="218">
                  <c:v>1894</c:v>
                </c:pt>
                <c:pt idx="219">
                  <c:v>1893.5</c:v>
                </c:pt>
                <c:pt idx="220">
                  <c:v>1893</c:v>
                </c:pt>
                <c:pt idx="221">
                  <c:v>1892.5</c:v>
                </c:pt>
                <c:pt idx="222">
                  <c:v>1892</c:v>
                </c:pt>
                <c:pt idx="223">
                  <c:v>1891.5</c:v>
                </c:pt>
                <c:pt idx="224">
                  <c:v>1891</c:v>
                </c:pt>
                <c:pt idx="225">
                  <c:v>1890.5</c:v>
                </c:pt>
                <c:pt idx="226">
                  <c:v>1890</c:v>
                </c:pt>
                <c:pt idx="227">
                  <c:v>1889.5</c:v>
                </c:pt>
                <c:pt idx="228">
                  <c:v>1889</c:v>
                </c:pt>
                <c:pt idx="229">
                  <c:v>1888.5</c:v>
                </c:pt>
                <c:pt idx="230">
                  <c:v>1888</c:v>
                </c:pt>
                <c:pt idx="231">
                  <c:v>1887.5</c:v>
                </c:pt>
                <c:pt idx="232">
                  <c:v>1887</c:v>
                </c:pt>
                <c:pt idx="233">
                  <c:v>1886.5</c:v>
                </c:pt>
                <c:pt idx="234">
                  <c:v>1886</c:v>
                </c:pt>
                <c:pt idx="235">
                  <c:v>1885.5</c:v>
                </c:pt>
                <c:pt idx="236">
                  <c:v>1885</c:v>
                </c:pt>
                <c:pt idx="237">
                  <c:v>1884.5</c:v>
                </c:pt>
                <c:pt idx="238">
                  <c:v>1884</c:v>
                </c:pt>
                <c:pt idx="239">
                  <c:v>1883.5</c:v>
                </c:pt>
                <c:pt idx="240">
                  <c:v>1883</c:v>
                </c:pt>
                <c:pt idx="241">
                  <c:v>1882.5</c:v>
                </c:pt>
                <c:pt idx="242">
                  <c:v>1882</c:v>
                </c:pt>
                <c:pt idx="243">
                  <c:v>1881.5</c:v>
                </c:pt>
                <c:pt idx="244">
                  <c:v>1881</c:v>
                </c:pt>
                <c:pt idx="245">
                  <c:v>1880.5</c:v>
                </c:pt>
                <c:pt idx="246">
                  <c:v>1880</c:v>
                </c:pt>
                <c:pt idx="247">
                  <c:v>1879.5</c:v>
                </c:pt>
                <c:pt idx="248">
                  <c:v>1879</c:v>
                </c:pt>
                <c:pt idx="249">
                  <c:v>1878.5</c:v>
                </c:pt>
                <c:pt idx="250">
                  <c:v>1878</c:v>
                </c:pt>
                <c:pt idx="251">
                  <c:v>1877.5</c:v>
                </c:pt>
                <c:pt idx="252">
                  <c:v>1877</c:v>
                </c:pt>
                <c:pt idx="253">
                  <c:v>1876.5</c:v>
                </c:pt>
                <c:pt idx="254">
                  <c:v>1876</c:v>
                </c:pt>
                <c:pt idx="255">
                  <c:v>1875.5</c:v>
                </c:pt>
                <c:pt idx="256">
                  <c:v>1875</c:v>
                </c:pt>
                <c:pt idx="257">
                  <c:v>1874.5</c:v>
                </c:pt>
                <c:pt idx="258">
                  <c:v>1874</c:v>
                </c:pt>
                <c:pt idx="259">
                  <c:v>1873.5</c:v>
                </c:pt>
                <c:pt idx="260">
                  <c:v>1873</c:v>
                </c:pt>
                <c:pt idx="261">
                  <c:v>1872.5</c:v>
                </c:pt>
                <c:pt idx="262">
                  <c:v>1872</c:v>
                </c:pt>
                <c:pt idx="263">
                  <c:v>1871.5</c:v>
                </c:pt>
                <c:pt idx="264">
                  <c:v>1871</c:v>
                </c:pt>
                <c:pt idx="265">
                  <c:v>1870.5</c:v>
                </c:pt>
                <c:pt idx="266">
                  <c:v>1870</c:v>
                </c:pt>
                <c:pt idx="267">
                  <c:v>1869.5</c:v>
                </c:pt>
                <c:pt idx="268">
                  <c:v>1869</c:v>
                </c:pt>
                <c:pt idx="269">
                  <c:v>1868.5</c:v>
                </c:pt>
                <c:pt idx="270">
                  <c:v>1868</c:v>
                </c:pt>
                <c:pt idx="271">
                  <c:v>1867.5</c:v>
                </c:pt>
                <c:pt idx="272">
                  <c:v>1867</c:v>
                </c:pt>
                <c:pt idx="273">
                  <c:v>1866.5</c:v>
                </c:pt>
                <c:pt idx="274">
                  <c:v>1866</c:v>
                </c:pt>
                <c:pt idx="275">
                  <c:v>1865.5</c:v>
                </c:pt>
                <c:pt idx="276">
                  <c:v>1865</c:v>
                </c:pt>
                <c:pt idx="277">
                  <c:v>1864.5</c:v>
                </c:pt>
                <c:pt idx="278">
                  <c:v>1864</c:v>
                </c:pt>
                <c:pt idx="279">
                  <c:v>1863.5</c:v>
                </c:pt>
                <c:pt idx="280">
                  <c:v>1863</c:v>
                </c:pt>
                <c:pt idx="281">
                  <c:v>1862.5</c:v>
                </c:pt>
                <c:pt idx="282">
                  <c:v>1862</c:v>
                </c:pt>
                <c:pt idx="283">
                  <c:v>1861.5</c:v>
                </c:pt>
                <c:pt idx="284">
                  <c:v>1861</c:v>
                </c:pt>
                <c:pt idx="285">
                  <c:v>1860.5</c:v>
                </c:pt>
                <c:pt idx="286">
                  <c:v>1860</c:v>
                </c:pt>
                <c:pt idx="287">
                  <c:v>1859.5</c:v>
                </c:pt>
                <c:pt idx="288">
                  <c:v>1859</c:v>
                </c:pt>
                <c:pt idx="289">
                  <c:v>1858.5</c:v>
                </c:pt>
                <c:pt idx="290">
                  <c:v>1858</c:v>
                </c:pt>
                <c:pt idx="291">
                  <c:v>1857.5</c:v>
                </c:pt>
                <c:pt idx="292">
                  <c:v>1857</c:v>
                </c:pt>
                <c:pt idx="293">
                  <c:v>1856.5</c:v>
                </c:pt>
                <c:pt idx="294">
                  <c:v>1856</c:v>
                </c:pt>
                <c:pt idx="295">
                  <c:v>1855.5</c:v>
                </c:pt>
                <c:pt idx="296">
                  <c:v>1855</c:v>
                </c:pt>
                <c:pt idx="297">
                  <c:v>1854.5</c:v>
                </c:pt>
                <c:pt idx="298">
                  <c:v>1854</c:v>
                </c:pt>
                <c:pt idx="299">
                  <c:v>1853.5</c:v>
                </c:pt>
                <c:pt idx="300">
                  <c:v>1853</c:v>
                </c:pt>
                <c:pt idx="301">
                  <c:v>1852.5</c:v>
                </c:pt>
                <c:pt idx="302">
                  <c:v>1852</c:v>
                </c:pt>
                <c:pt idx="303">
                  <c:v>1851.5</c:v>
                </c:pt>
                <c:pt idx="304">
                  <c:v>1851</c:v>
                </c:pt>
                <c:pt idx="305">
                  <c:v>1850.5</c:v>
                </c:pt>
                <c:pt idx="306">
                  <c:v>1850</c:v>
                </c:pt>
                <c:pt idx="307">
                  <c:v>1849.5</c:v>
                </c:pt>
                <c:pt idx="308">
                  <c:v>1849</c:v>
                </c:pt>
                <c:pt idx="309">
                  <c:v>1848.5</c:v>
                </c:pt>
                <c:pt idx="310">
                  <c:v>1848</c:v>
                </c:pt>
                <c:pt idx="311">
                  <c:v>1847.5</c:v>
                </c:pt>
                <c:pt idx="312">
                  <c:v>1847</c:v>
                </c:pt>
                <c:pt idx="313">
                  <c:v>1846.5</c:v>
                </c:pt>
                <c:pt idx="314">
                  <c:v>1846</c:v>
                </c:pt>
                <c:pt idx="315">
                  <c:v>1845.5</c:v>
                </c:pt>
                <c:pt idx="316">
                  <c:v>1845</c:v>
                </c:pt>
                <c:pt idx="317">
                  <c:v>1844.5</c:v>
                </c:pt>
                <c:pt idx="318">
                  <c:v>1844</c:v>
                </c:pt>
                <c:pt idx="319">
                  <c:v>1843.5</c:v>
                </c:pt>
                <c:pt idx="320">
                  <c:v>1843</c:v>
                </c:pt>
                <c:pt idx="321">
                  <c:v>1842.5</c:v>
                </c:pt>
                <c:pt idx="322">
                  <c:v>1842</c:v>
                </c:pt>
                <c:pt idx="323">
                  <c:v>1841.5</c:v>
                </c:pt>
                <c:pt idx="324">
                  <c:v>1841</c:v>
                </c:pt>
                <c:pt idx="325">
                  <c:v>1840.5</c:v>
                </c:pt>
                <c:pt idx="326">
                  <c:v>1840</c:v>
                </c:pt>
                <c:pt idx="327">
                  <c:v>1839.5</c:v>
                </c:pt>
                <c:pt idx="328">
                  <c:v>1839</c:v>
                </c:pt>
                <c:pt idx="329">
                  <c:v>1838.5</c:v>
                </c:pt>
                <c:pt idx="330">
                  <c:v>1838</c:v>
                </c:pt>
                <c:pt idx="331">
                  <c:v>1837.5</c:v>
                </c:pt>
                <c:pt idx="332">
                  <c:v>1837</c:v>
                </c:pt>
                <c:pt idx="333">
                  <c:v>1836.5</c:v>
                </c:pt>
                <c:pt idx="334">
                  <c:v>1836</c:v>
                </c:pt>
                <c:pt idx="335">
                  <c:v>1835.5</c:v>
                </c:pt>
                <c:pt idx="336">
                  <c:v>1835</c:v>
                </c:pt>
                <c:pt idx="337">
                  <c:v>1834.5</c:v>
                </c:pt>
                <c:pt idx="338">
                  <c:v>1834</c:v>
                </c:pt>
                <c:pt idx="339">
                  <c:v>1833.5</c:v>
                </c:pt>
                <c:pt idx="340">
                  <c:v>1833</c:v>
                </c:pt>
                <c:pt idx="341">
                  <c:v>1832.5</c:v>
                </c:pt>
                <c:pt idx="342">
                  <c:v>1832</c:v>
                </c:pt>
                <c:pt idx="343">
                  <c:v>1831.5</c:v>
                </c:pt>
                <c:pt idx="344">
                  <c:v>1831</c:v>
                </c:pt>
                <c:pt idx="345">
                  <c:v>1830.5</c:v>
                </c:pt>
                <c:pt idx="346">
                  <c:v>1830</c:v>
                </c:pt>
                <c:pt idx="347">
                  <c:v>1829.5</c:v>
                </c:pt>
                <c:pt idx="348">
                  <c:v>1829</c:v>
                </c:pt>
                <c:pt idx="349">
                  <c:v>1828.5</c:v>
                </c:pt>
                <c:pt idx="350">
                  <c:v>1828</c:v>
                </c:pt>
                <c:pt idx="351">
                  <c:v>1827.5</c:v>
                </c:pt>
                <c:pt idx="352">
                  <c:v>1827</c:v>
                </c:pt>
                <c:pt idx="353">
                  <c:v>1826.5</c:v>
                </c:pt>
                <c:pt idx="354">
                  <c:v>1826</c:v>
                </c:pt>
                <c:pt idx="355">
                  <c:v>1825.5</c:v>
                </c:pt>
                <c:pt idx="356">
                  <c:v>1825</c:v>
                </c:pt>
                <c:pt idx="357">
                  <c:v>1824.5</c:v>
                </c:pt>
                <c:pt idx="358">
                  <c:v>1824</c:v>
                </c:pt>
                <c:pt idx="359">
                  <c:v>1823.5</c:v>
                </c:pt>
                <c:pt idx="360">
                  <c:v>1823</c:v>
                </c:pt>
                <c:pt idx="361">
                  <c:v>1822.5</c:v>
                </c:pt>
                <c:pt idx="362">
                  <c:v>1822</c:v>
                </c:pt>
                <c:pt idx="363">
                  <c:v>1821.5</c:v>
                </c:pt>
                <c:pt idx="364">
                  <c:v>1821</c:v>
                </c:pt>
                <c:pt idx="365">
                  <c:v>1820.5</c:v>
                </c:pt>
                <c:pt idx="366">
                  <c:v>1820</c:v>
                </c:pt>
                <c:pt idx="367">
                  <c:v>1819.5</c:v>
                </c:pt>
                <c:pt idx="368">
                  <c:v>1819</c:v>
                </c:pt>
                <c:pt idx="369">
                  <c:v>1818.5</c:v>
                </c:pt>
                <c:pt idx="370">
                  <c:v>1818</c:v>
                </c:pt>
                <c:pt idx="371">
                  <c:v>1817.5</c:v>
                </c:pt>
                <c:pt idx="372">
                  <c:v>1817</c:v>
                </c:pt>
                <c:pt idx="373">
                  <c:v>1816.5</c:v>
                </c:pt>
                <c:pt idx="374">
                  <c:v>1816</c:v>
                </c:pt>
                <c:pt idx="375">
                  <c:v>1815.5</c:v>
                </c:pt>
                <c:pt idx="376">
                  <c:v>1815</c:v>
                </c:pt>
                <c:pt idx="377">
                  <c:v>1814.5</c:v>
                </c:pt>
                <c:pt idx="378">
                  <c:v>1814</c:v>
                </c:pt>
                <c:pt idx="379">
                  <c:v>1813.5</c:v>
                </c:pt>
                <c:pt idx="380">
                  <c:v>1813</c:v>
                </c:pt>
                <c:pt idx="381">
                  <c:v>1812.5</c:v>
                </c:pt>
                <c:pt idx="382">
                  <c:v>1812</c:v>
                </c:pt>
                <c:pt idx="383">
                  <c:v>1811.5</c:v>
                </c:pt>
                <c:pt idx="384">
                  <c:v>1811</c:v>
                </c:pt>
                <c:pt idx="385">
                  <c:v>1810.5</c:v>
                </c:pt>
                <c:pt idx="386">
                  <c:v>1810</c:v>
                </c:pt>
                <c:pt idx="387">
                  <c:v>1809.5</c:v>
                </c:pt>
                <c:pt idx="388">
                  <c:v>1809</c:v>
                </c:pt>
                <c:pt idx="389">
                  <c:v>1808.5</c:v>
                </c:pt>
                <c:pt idx="390">
                  <c:v>1808</c:v>
                </c:pt>
                <c:pt idx="391">
                  <c:v>1807.5</c:v>
                </c:pt>
                <c:pt idx="392">
                  <c:v>1807</c:v>
                </c:pt>
                <c:pt idx="393">
                  <c:v>1806.5</c:v>
                </c:pt>
                <c:pt idx="394">
                  <c:v>1806</c:v>
                </c:pt>
                <c:pt idx="395">
                  <c:v>1805.5</c:v>
                </c:pt>
                <c:pt idx="396">
                  <c:v>1805</c:v>
                </c:pt>
                <c:pt idx="397">
                  <c:v>1804.5</c:v>
                </c:pt>
                <c:pt idx="398">
                  <c:v>1804</c:v>
                </c:pt>
                <c:pt idx="399">
                  <c:v>1803.5</c:v>
                </c:pt>
                <c:pt idx="400">
                  <c:v>1803</c:v>
                </c:pt>
                <c:pt idx="401">
                  <c:v>1802.5</c:v>
                </c:pt>
                <c:pt idx="402">
                  <c:v>1802</c:v>
                </c:pt>
                <c:pt idx="403">
                  <c:v>1801.5</c:v>
                </c:pt>
                <c:pt idx="404">
                  <c:v>1801</c:v>
                </c:pt>
                <c:pt idx="405">
                  <c:v>1800.5</c:v>
                </c:pt>
                <c:pt idx="406">
                  <c:v>1800</c:v>
                </c:pt>
                <c:pt idx="407">
                  <c:v>1799.5</c:v>
                </c:pt>
                <c:pt idx="408">
                  <c:v>1799</c:v>
                </c:pt>
                <c:pt idx="409">
                  <c:v>1798.5</c:v>
                </c:pt>
                <c:pt idx="410">
                  <c:v>1798</c:v>
                </c:pt>
                <c:pt idx="411">
                  <c:v>1797.5</c:v>
                </c:pt>
                <c:pt idx="412">
                  <c:v>1797</c:v>
                </c:pt>
                <c:pt idx="413">
                  <c:v>1796.5</c:v>
                </c:pt>
                <c:pt idx="414">
                  <c:v>1796</c:v>
                </c:pt>
                <c:pt idx="415">
                  <c:v>1795.5</c:v>
                </c:pt>
                <c:pt idx="416">
                  <c:v>1795</c:v>
                </c:pt>
                <c:pt idx="417">
                  <c:v>1794.5</c:v>
                </c:pt>
                <c:pt idx="418">
                  <c:v>1794</c:v>
                </c:pt>
                <c:pt idx="419">
                  <c:v>1793.5</c:v>
                </c:pt>
                <c:pt idx="420">
                  <c:v>1793</c:v>
                </c:pt>
                <c:pt idx="421">
                  <c:v>1792.5</c:v>
                </c:pt>
                <c:pt idx="422">
                  <c:v>1792</c:v>
                </c:pt>
                <c:pt idx="423">
                  <c:v>1791.5</c:v>
                </c:pt>
                <c:pt idx="424">
                  <c:v>1791</c:v>
                </c:pt>
                <c:pt idx="425">
                  <c:v>1790.5</c:v>
                </c:pt>
                <c:pt idx="426">
                  <c:v>1790</c:v>
                </c:pt>
                <c:pt idx="427">
                  <c:v>1789.5</c:v>
                </c:pt>
                <c:pt idx="428">
                  <c:v>1789</c:v>
                </c:pt>
                <c:pt idx="429">
                  <c:v>1788.5</c:v>
                </c:pt>
                <c:pt idx="430">
                  <c:v>1788</c:v>
                </c:pt>
                <c:pt idx="431">
                  <c:v>1787.5</c:v>
                </c:pt>
                <c:pt idx="432">
                  <c:v>1787</c:v>
                </c:pt>
                <c:pt idx="433">
                  <c:v>1786.5</c:v>
                </c:pt>
                <c:pt idx="434">
                  <c:v>1786</c:v>
                </c:pt>
                <c:pt idx="435">
                  <c:v>1785.5</c:v>
                </c:pt>
                <c:pt idx="436">
                  <c:v>1785</c:v>
                </c:pt>
                <c:pt idx="437">
                  <c:v>1784.5</c:v>
                </c:pt>
                <c:pt idx="438">
                  <c:v>1784</c:v>
                </c:pt>
                <c:pt idx="439">
                  <c:v>1783.5</c:v>
                </c:pt>
                <c:pt idx="440">
                  <c:v>1783</c:v>
                </c:pt>
                <c:pt idx="441">
                  <c:v>1782.5</c:v>
                </c:pt>
                <c:pt idx="442">
                  <c:v>1782</c:v>
                </c:pt>
                <c:pt idx="443">
                  <c:v>1781.5</c:v>
                </c:pt>
                <c:pt idx="444">
                  <c:v>1781</c:v>
                </c:pt>
                <c:pt idx="445">
                  <c:v>1780.5</c:v>
                </c:pt>
                <c:pt idx="446">
                  <c:v>1780</c:v>
                </c:pt>
                <c:pt idx="447">
                  <c:v>1779.5</c:v>
                </c:pt>
                <c:pt idx="448">
                  <c:v>1779</c:v>
                </c:pt>
                <c:pt idx="449">
                  <c:v>1778.5</c:v>
                </c:pt>
                <c:pt idx="450">
                  <c:v>1778</c:v>
                </c:pt>
                <c:pt idx="451">
                  <c:v>1777.5</c:v>
                </c:pt>
                <c:pt idx="452">
                  <c:v>1777</c:v>
                </c:pt>
                <c:pt idx="453">
                  <c:v>1776.5</c:v>
                </c:pt>
                <c:pt idx="454">
                  <c:v>1776</c:v>
                </c:pt>
                <c:pt idx="455">
                  <c:v>1775.5</c:v>
                </c:pt>
                <c:pt idx="456">
                  <c:v>1775</c:v>
                </c:pt>
                <c:pt idx="457">
                  <c:v>1774.5</c:v>
                </c:pt>
                <c:pt idx="458">
                  <c:v>1774</c:v>
                </c:pt>
                <c:pt idx="459">
                  <c:v>1773.5</c:v>
                </c:pt>
                <c:pt idx="460">
                  <c:v>1773</c:v>
                </c:pt>
                <c:pt idx="461">
                  <c:v>1772.5</c:v>
                </c:pt>
                <c:pt idx="462">
                  <c:v>1772</c:v>
                </c:pt>
                <c:pt idx="463">
                  <c:v>1771.5</c:v>
                </c:pt>
                <c:pt idx="464">
                  <c:v>1771</c:v>
                </c:pt>
                <c:pt idx="465">
                  <c:v>1770.5</c:v>
                </c:pt>
                <c:pt idx="466">
                  <c:v>1770</c:v>
                </c:pt>
                <c:pt idx="467">
                  <c:v>1769.5</c:v>
                </c:pt>
                <c:pt idx="468">
                  <c:v>1769</c:v>
                </c:pt>
                <c:pt idx="469">
                  <c:v>1768.5</c:v>
                </c:pt>
                <c:pt idx="470">
                  <c:v>1768</c:v>
                </c:pt>
                <c:pt idx="471">
                  <c:v>1767.5</c:v>
                </c:pt>
                <c:pt idx="472">
                  <c:v>1767</c:v>
                </c:pt>
                <c:pt idx="473">
                  <c:v>1766.5</c:v>
                </c:pt>
                <c:pt idx="474">
                  <c:v>1766</c:v>
                </c:pt>
                <c:pt idx="475">
                  <c:v>1765.5</c:v>
                </c:pt>
                <c:pt idx="476">
                  <c:v>1765</c:v>
                </c:pt>
                <c:pt idx="477">
                  <c:v>1764.5</c:v>
                </c:pt>
                <c:pt idx="478">
                  <c:v>1764</c:v>
                </c:pt>
                <c:pt idx="479">
                  <c:v>1763.5</c:v>
                </c:pt>
                <c:pt idx="480">
                  <c:v>1763</c:v>
                </c:pt>
                <c:pt idx="481">
                  <c:v>1762.5</c:v>
                </c:pt>
                <c:pt idx="482">
                  <c:v>1762</c:v>
                </c:pt>
                <c:pt idx="483">
                  <c:v>1761.5</c:v>
                </c:pt>
                <c:pt idx="484">
                  <c:v>1761</c:v>
                </c:pt>
                <c:pt idx="485">
                  <c:v>1760.5</c:v>
                </c:pt>
                <c:pt idx="486">
                  <c:v>1760</c:v>
                </c:pt>
                <c:pt idx="487">
                  <c:v>1759.5</c:v>
                </c:pt>
                <c:pt idx="488">
                  <c:v>1759</c:v>
                </c:pt>
                <c:pt idx="489">
                  <c:v>1758.5</c:v>
                </c:pt>
                <c:pt idx="490">
                  <c:v>1758</c:v>
                </c:pt>
                <c:pt idx="491">
                  <c:v>1757.5</c:v>
                </c:pt>
                <c:pt idx="492">
                  <c:v>1757</c:v>
                </c:pt>
                <c:pt idx="493">
                  <c:v>1756.5</c:v>
                </c:pt>
                <c:pt idx="494">
                  <c:v>1756</c:v>
                </c:pt>
                <c:pt idx="495">
                  <c:v>1755.5</c:v>
                </c:pt>
                <c:pt idx="496">
                  <c:v>1755</c:v>
                </c:pt>
                <c:pt idx="497">
                  <c:v>1754.5</c:v>
                </c:pt>
                <c:pt idx="498">
                  <c:v>1754</c:v>
                </c:pt>
                <c:pt idx="499">
                  <c:v>1753.5</c:v>
                </c:pt>
                <c:pt idx="500">
                  <c:v>1753</c:v>
                </c:pt>
                <c:pt idx="501">
                  <c:v>1752.5</c:v>
                </c:pt>
                <c:pt idx="502">
                  <c:v>1752</c:v>
                </c:pt>
                <c:pt idx="503">
                  <c:v>1751.5</c:v>
                </c:pt>
                <c:pt idx="504">
                  <c:v>1751</c:v>
                </c:pt>
                <c:pt idx="505">
                  <c:v>1750.5</c:v>
                </c:pt>
                <c:pt idx="506">
                  <c:v>1750</c:v>
                </c:pt>
                <c:pt idx="507">
                  <c:v>1749.5</c:v>
                </c:pt>
                <c:pt idx="508">
                  <c:v>1749</c:v>
                </c:pt>
                <c:pt idx="509">
                  <c:v>1748.5</c:v>
                </c:pt>
                <c:pt idx="510">
                  <c:v>1748</c:v>
                </c:pt>
                <c:pt idx="511">
                  <c:v>1747.5</c:v>
                </c:pt>
                <c:pt idx="512">
                  <c:v>1747</c:v>
                </c:pt>
                <c:pt idx="513">
                  <c:v>1746.5</c:v>
                </c:pt>
                <c:pt idx="514">
                  <c:v>1746</c:v>
                </c:pt>
                <c:pt idx="515">
                  <c:v>1745.5</c:v>
                </c:pt>
                <c:pt idx="516">
                  <c:v>1745</c:v>
                </c:pt>
                <c:pt idx="517">
                  <c:v>1744.5</c:v>
                </c:pt>
                <c:pt idx="518">
                  <c:v>1744</c:v>
                </c:pt>
                <c:pt idx="519">
                  <c:v>1743.5</c:v>
                </c:pt>
                <c:pt idx="520">
                  <c:v>1743</c:v>
                </c:pt>
                <c:pt idx="521">
                  <c:v>1742.5</c:v>
                </c:pt>
                <c:pt idx="522">
                  <c:v>1742</c:v>
                </c:pt>
                <c:pt idx="523">
                  <c:v>1741.5</c:v>
                </c:pt>
                <c:pt idx="524">
                  <c:v>1741</c:v>
                </c:pt>
                <c:pt idx="525">
                  <c:v>1740.5</c:v>
                </c:pt>
                <c:pt idx="526">
                  <c:v>1740</c:v>
                </c:pt>
                <c:pt idx="527">
                  <c:v>1739.5</c:v>
                </c:pt>
                <c:pt idx="528">
                  <c:v>1739</c:v>
                </c:pt>
                <c:pt idx="529">
                  <c:v>1738.5</c:v>
                </c:pt>
                <c:pt idx="530">
                  <c:v>1738</c:v>
                </c:pt>
                <c:pt idx="531">
                  <c:v>1737.5</c:v>
                </c:pt>
                <c:pt idx="532">
                  <c:v>1737</c:v>
                </c:pt>
                <c:pt idx="533">
                  <c:v>1736.5</c:v>
                </c:pt>
                <c:pt idx="534">
                  <c:v>1736</c:v>
                </c:pt>
                <c:pt idx="535">
                  <c:v>1735.5</c:v>
                </c:pt>
                <c:pt idx="536">
                  <c:v>1735</c:v>
                </c:pt>
                <c:pt idx="537">
                  <c:v>1734.5</c:v>
                </c:pt>
                <c:pt idx="538">
                  <c:v>1734</c:v>
                </c:pt>
                <c:pt idx="539">
                  <c:v>1733.5</c:v>
                </c:pt>
                <c:pt idx="540">
                  <c:v>1733</c:v>
                </c:pt>
                <c:pt idx="541">
                  <c:v>1732.5</c:v>
                </c:pt>
                <c:pt idx="542">
                  <c:v>1732</c:v>
                </c:pt>
                <c:pt idx="543">
                  <c:v>1731.5</c:v>
                </c:pt>
                <c:pt idx="544">
                  <c:v>1731</c:v>
                </c:pt>
                <c:pt idx="545">
                  <c:v>1730.5</c:v>
                </c:pt>
                <c:pt idx="546">
                  <c:v>1730</c:v>
                </c:pt>
                <c:pt idx="547">
                  <c:v>1729.5</c:v>
                </c:pt>
                <c:pt idx="548">
                  <c:v>1729</c:v>
                </c:pt>
                <c:pt idx="549">
                  <c:v>1728.5</c:v>
                </c:pt>
                <c:pt idx="550">
                  <c:v>1728</c:v>
                </c:pt>
                <c:pt idx="551">
                  <c:v>1727.5</c:v>
                </c:pt>
                <c:pt idx="552">
                  <c:v>1727</c:v>
                </c:pt>
                <c:pt idx="553">
                  <c:v>1726.5</c:v>
                </c:pt>
                <c:pt idx="554">
                  <c:v>1726</c:v>
                </c:pt>
                <c:pt idx="555">
                  <c:v>1725.5</c:v>
                </c:pt>
                <c:pt idx="556">
                  <c:v>1725</c:v>
                </c:pt>
                <c:pt idx="557">
                  <c:v>1724.5</c:v>
                </c:pt>
                <c:pt idx="558">
                  <c:v>1724</c:v>
                </c:pt>
                <c:pt idx="559">
                  <c:v>1723.5</c:v>
                </c:pt>
                <c:pt idx="560">
                  <c:v>1723</c:v>
                </c:pt>
                <c:pt idx="561">
                  <c:v>1722.5</c:v>
                </c:pt>
                <c:pt idx="562">
                  <c:v>1722</c:v>
                </c:pt>
                <c:pt idx="563">
                  <c:v>1721.5</c:v>
                </c:pt>
                <c:pt idx="564">
                  <c:v>1721</c:v>
                </c:pt>
                <c:pt idx="565">
                  <c:v>1720.5</c:v>
                </c:pt>
                <c:pt idx="566">
                  <c:v>1720</c:v>
                </c:pt>
                <c:pt idx="567">
                  <c:v>1719.5</c:v>
                </c:pt>
                <c:pt idx="568">
                  <c:v>1719</c:v>
                </c:pt>
                <c:pt idx="569">
                  <c:v>1718.5</c:v>
                </c:pt>
                <c:pt idx="570">
                  <c:v>1718</c:v>
                </c:pt>
                <c:pt idx="571">
                  <c:v>1717.5</c:v>
                </c:pt>
                <c:pt idx="572">
                  <c:v>1717</c:v>
                </c:pt>
                <c:pt idx="573">
                  <c:v>1716.5</c:v>
                </c:pt>
                <c:pt idx="574">
                  <c:v>1716</c:v>
                </c:pt>
                <c:pt idx="575">
                  <c:v>1715.5</c:v>
                </c:pt>
                <c:pt idx="576">
                  <c:v>1715</c:v>
                </c:pt>
                <c:pt idx="577">
                  <c:v>1714.5</c:v>
                </c:pt>
                <c:pt idx="578">
                  <c:v>1714</c:v>
                </c:pt>
                <c:pt idx="579">
                  <c:v>1713.5</c:v>
                </c:pt>
                <c:pt idx="580">
                  <c:v>1713</c:v>
                </c:pt>
                <c:pt idx="581">
                  <c:v>1712.5</c:v>
                </c:pt>
                <c:pt idx="582">
                  <c:v>1712</c:v>
                </c:pt>
                <c:pt idx="583">
                  <c:v>1711.5</c:v>
                </c:pt>
                <c:pt idx="584">
                  <c:v>1711</c:v>
                </c:pt>
                <c:pt idx="585">
                  <c:v>1710.5</c:v>
                </c:pt>
                <c:pt idx="586">
                  <c:v>1710</c:v>
                </c:pt>
                <c:pt idx="587">
                  <c:v>1709.5</c:v>
                </c:pt>
                <c:pt idx="588">
                  <c:v>1709</c:v>
                </c:pt>
                <c:pt idx="589">
                  <c:v>1708.5</c:v>
                </c:pt>
                <c:pt idx="590">
                  <c:v>1708</c:v>
                </c:pt>
                <c:pt idx="591">
                  <c:v>1707.5</c:v>
                </c:pt>
                <c:pt idx="592">
                  <c:v>1707</c:v>
                </c:pt>
                <c:pt idx="593">
                  <c:v>1706.5</c:v>
                </c:pt>
                <c:pt idx="594">
                  <c:v>1706</c:v>
                </c:pt>
                <c:pt idx="595">
                  <c:v>1705.5</c:v>
                </c:pt>
                <c:pt idx="596">
                  <c:v>1705</c:v>
                </c:pt>
                <c:pt idx="597">
                  <c:v>1704.5</c:v>
                </c:pt>
                <c:pt idx="598">
                  <c:v>1704</c:v>
                </c:pt>
                <c:pt idx="599">
                  <c:v>1703.5</c:v>
                </c:pt>
                <c:pt idx="600">
                  <c:v>1703</c:v>
                </c:pt>
                <c:pt idx="601">
                  <c:v>1702.5</c:v>
                </c:pt>
                <c:pt idx="602">
                  <c:v>1702</c:v>
                </c:pt>
                <c:pt idx="603">
                  <c:v>1701.5</c:v>
                </c:pt>
                <c:pt idx="604">
                  <c:v>1701</c:v>
                </c:pt>
                <c:pt idx="605">
                  <c:v>1700.5</c:v>
                </c:pt>
                <c:pt idx="606">
                  <c:v>1700</c:v>
                </c:pt>
                <c:pt idx="607">
                  <c:v>1699.5</c:v>
                </c:pt>
                <c:pt idx="608">
                  <c:v>1699</c:v>
                </c:pt>
                <c:pt idx="609">
                  <c:v>1698.5</c:v>
                </c:pt>
                <c:pt idx="610">
                  <c:v>1698</c:v>
                </c:pt>
                <c:pt idx="611">
                  <c:v>1697.5</c:v>
                </c:pt>
                <c:pt idx="612">
                  <c:v>1697</c:v>
                </c:pt>
                <c:pt idx="613">
                  <c:v>1696.5</c:v>
                </c:pt>
                <c:pt idx="614">
                  <c:v>1696</c:v>
                </c:pt>
                <c:pt idx="615">
                  <c:v>1695.5</c:v>
                </c:pt>
                <c:pt idx="616">
                  <c:v>1695</c:v>
                </c:pt>
                <c:pt idx="617">
                  <c:v>1694.5</c:v>
                </c:pt>
                <c:pt idx="618">
                  <c:v>1694</c:v>
                </c:pt>
                <c:pt idx="619">
                  <c:v>1693.5</c:v>
                </c:pt>
                <c:pt idx="620">
                  <c:v>1693</c:v>
                </c:pt>
                <c:pt idx="621">
                  <c:v>1692.5</c:v>
                </c:pt>
                <c:pt idx="622">
                  <c:v>1692</c:v>
                </c:pt>
                <c:pt idx="623">
                  <c:v>1691.5</c:v>
                </c:pt>
                <c:pt idx="624">
                  <c:v>1691</c:v>
                </c:pt>
                <c:pt idx="625">
                  <c:v>1690.5</c:v>
                </c:pt>
                <c:pt idx="626">
                  <c:v>1690</c:v>
                </c:pt>
                <c:pt idx="627">
                  <c:v>1689.5</c:v>
                </c:pt>
                <c:pt idx="628">
                  <c:v>1689</c:v>
                </c:pt>
                <c:pt idx="629">
                  <c:v>1688.5</c:v>
                </c:pt>
                <c:pt idx="630">
                  <c:v>1688</c:v>
                </c:pt>
                <c:pt idx="631">
                  <c:v>1687.5</c:v>
                </c:pt>
                <c:pt idx="632">
                  <c:v>1687</c:v>
                </c:pt>
                <c:pt idx="633">
                  <c:v>1686.5</c:v>
                </c:pt>
                <c:pt idx="634">
                  <c:v>1686</c:v>
                </c:pt>
                <c:pt idx="635">
                  <c:v>1685.5</c:v>
                </c:pt>
                <c:pt idx="636">
                  <c:v>1685</c:v>
                </c:pt>
                <c:pt idx="637">
                  <c:v>1684.5</c:v>
                </c:pt>
                <c:pt idx="638">
                  <c:v>1684</c:v>
                </c:pt>
                <c:pt idx="639">
                  <c:v>1683.5</c:v>
                </c:pt>
                <c:pt idx="640">
                  <c:v>1683</c:v>
                </c:pt>
                <c:pt idx="641">
                  <c:v>1682.5</c:v>
                </c:pt>
                <c:pt idx="642">
                  <c:v>1682</c:v>
                </c:pt>
                <c:pt idx="643">
                  <c:v>1681.5</c:v>
                </c:pt>
                <c:pt idx="644">
                  <c:v>1681</c:v>
                </c:pt>
                <c:pt idx="645">
                  <c:v>1680.5</c:v>
                </c:pt>
                <c:pt idx="646">
                  <c:v>1680</c:v>
                </c:pt>
                <c:pt idx="647">
                  <c:v>1679.5</c:v>
                </c:pt>
                <c:pt idx="648">
                  <c:v>1679</c:v>
                </c:pt>
                <c:pt idx="649">
                  <c:v>1678.5</c:v>
                </c:pt>
                <c:pt idx="650">
                  <c:v>1678</c:v>
                </c:pt>
                <c:pt idx="651">
                  <c:v>1677.5</c:v>
                </c:pt>
                <c:pt idx="652">
                  <c:v>1677</c:v>
                </c:pt>
                <c:pt idx="653">
                  <c:v>1676.5</c:v>
                </c:pt>
                <c:pt idx="654">
                  <c:v>1676</c:v>
                </c:pt>
                <c:pt idx="655">
                  <c:v>1675.5</c:v>
                </c:pt>
                <c:pt idx="656">
                  <c:v>1675</c:v>
                </c:pt>
                <c:pt idx="657">
                  <c:v>1674.5</c:v>
                </c:pt>
                <c:pt idx="658">
                  <c:v>1674</c:v>
                </c:pt>
                <c:pt idx="659">
                  <c:v>1673.5</c:v>
                </c:pt>
                <c:pt idx="660">
                  <c:v>1673</c:v>
                </c:pt>
                <c:pt idx="661">
                  <c:v>1672.5</c:v>
                </c:pt>
                <c:pt idx="662">
                  <c:v>1672</c:v>
                </c:pt>
                <c:pt idx="663">
                  <c:v>1671.5</c:v>
                </c:pt>
                <c:pt idx="664">
                  <c:v>1671</c:v>
                </c:pt>
                <c:pt idx="665">
                  <c:v>1670.5</c:v>
                </c:pt>
                <c:pt idx="666">
                  <c:v>1670</c:v>
                </c:pt>
                <c:pt idx="667">
                  <c:v>1669.5</c:v>
                </c:pt>
                <c:pt idx="668">
                  <c:v>1669</c:v>
                </c:pt>
                <c:pt idx="669">
                  <c:v>1668.5</c:v>
                </c:pt>
                <c:pt idx="670">
                  <c:v>1668</c:v>
                </c:pt>
                <c:pt idx="671">
                  <c:v>1667.5</c:v>
                </c:pt>
                <c:pt idx="672">
                  <c:v>1667</c:v>
                </c:pt>
                <c:pt idx="673">
                  <c:v>1666.5</c:v>
                </c:pt>
                <c:pt idx="674">
                  <c:v>1666</c:v>
                </c:pt>
                <c:pt idx="675">
                  <c:v>1665.5</c:v>
                </c:pt>
                <c:pt idx="676">
                  <c:v>1665</c:v>
                </c:pt>
                <c:pt idx="677">
                  <c:v>1664.5</c:v>
                </c:pt>
                <c:pt idx="678">
                  <c:v>1664</c:v>
                </c:pt>
                <c:pt idx="679">
                  <c:v>1663.5</c:v>
                </c:pt>
                <c:pt idx="680">
                  <c:v>1663</c:v>
                </c:pt>
                <c:pt idx="681">
                  <c:v>1662.5</c:v>
                </c:pt>
                <c:pt idx="682">
                  <c:v>1662</c:v>
                </c:pt>
                <c:pt idx="683">
                  <c:v>1661.5</c:v>
                </c:pt>
                <c:pt idx="684">
                  <c:v>1661</c:v>
                </c:pt>
                <c:pt idx="685">
                  <c:v>1660.5</c:v>
                </c:pt>
                <c:pt idx="686">
                  <c:v>1660</c:v>
                </c:pt>
                <c:pt idx="687">
                  <c:v>1659.5</c:v>
                </c:pt>
                <c:pt idx="688">
                  <c:v>1659</c:v>
                </c:pt>
                <c:pt idx="689">
                  <c:v>1658.5</c:v>
                </c:pt>
                <c:pt idx="690">
                  <c:v>1658</c:v>
                </c:pt>
                <c:pt idx="691">
                  <c:v>1657.5</c:v>
                </c:pt>
                <c:pt idx="692">
                  <c:v>1657</c:v>
                </c:pt>
                <c:pt idx="693">
                  <c:v>1656.5</c:v>
                </c:pt>
                <c:pt idx="694">
                  <c:v>1656</c:v>
                </c:pt>
                <c:pt idx="695">
                  <c:v>1655.5</c:v>
                </c:pt>
                <c:pt idx="696">
                  <c:v>1655</c:v>
                </c:pt>
                <c:pt idx="697">
                  <c:v>1654.5</c:v>
                </c:pt>
                <c:pt idx="698">
                  <c:v>1654</c:v>
                </c:pt>
                <c:pt idx="699">
                  <c:v>1653.5</c:v>
                </c:pt>
                <c:pt idx="700">
                  <c:v>1653</c:v>
                </c:pt>
                <c:pt idx="701">
                  <c:v>1652.5</c:v>
                </c:pt>
                <c:pt idx="702">
                  <c:v>1652</c:v>
                </c:pt>
                <c:pt idx="703">
                  <c:v>1651.5</c:v>
                </c:pt>
                <c:pt idx="704">
                  <c:v>1651</c:v>
                </c:pt>
                <c:pt idx="705">
                  <c:v>1650.5</c:v>
                </c:pt>
                <c:pt idx="706">
                  <c:v>1650</c:v>
                </c:pt>
                <c:pt idx="707">
                  <c:v>1649.5</c:v>
                </c:pt>
                <c:pt idx="708">
                  <c:v>1649</c:v>
                </c:pt>
                <c:pt idx="709">
                  <c:v>1648.5</c:v>
                </c:pt>
                <c:pt idx="710">
                  <c:v>1648</c:v>
                </c:pt>
                <c:pt idx="711">
                  <c:v>1647.5</c:v>
                </c:pt>
                <c:pt idx="712">
                  <c:v>1647</c:v>
                </c:pt>
                <c:pt idx="713">
                  <c:v>1646.5</c:v>
                </c:pt>
                <c:pt idx="714">
                  <c:v>1646</c:v>
                </c:pt>
                <c:pt idx="715">
                  <c:v>1645.5</c:v>
                </c:pt>
                <c:pt idx="716">
                  <c:v>1645</c:v>
                </c:pt>
                <c:pt idx="717">
                  <c:v>1644.5</c:v>
                </c:pt>
                <c:pt idx="718">
                  <c:v>1644</c:v>
                </c:pt>
                <c:pt idx="719">
                  <c:v>1643.5</c:v>
                </c:pt>
                <c:pt idx="720">
                  <c:v>1643</c:v>
                </c:pt>
                <c:pt idx="721">
                  <c:v>1642.5</c:v>
                </c:pt>
                <c:pt idx="722">
                  <c:v>1642</c:v>
                </c:pt>
                <c:pt idx="723">
                  <c:v>1641.5</c:v>
                </c:pt>
                <c:pt idx="724">
                  <c:v>1641</c:v>
                </c:pt>
                <c:pt idx="725">
                  <c:v>1640.5</c:v>
                </c:pt>
                <c:pt idx="726">
                  <c:v>1640</c:v>
                </c:pt>
                <c:pt idx="727">
                  <c:v>1639.5</c:v>
                </c:pt>
                <c:pt idx="728">
                  <c:v>1639</c:v>
                </c:pt>
                <c:pt idx="729">
                  <c:v>1638.5</c:v>
                </c:pt>
                <c:pt idx="730">
                  <c:v>1638</c:v>
                </c:pt>
                <c:pt idx="731">
                  <c:v>1637.5</c:v>
                </c:pt>
                <c:pt idx="732">
                  <c:v>1637</c:v>
                </c:pt>
                <c:pt idx="733">
                  <c:v>1636.5</c:v>
                </c:pt>
                <c:pt idx="734">
                  <c:v>1636</c:v>
                </c:pt>
                <c:pt idx="735">
                  <c:v>1635.5</c:v>
                </c:pt>
                <c:pt idx="736">
                  <c:v>1635</c:v>
                </c:pt>
                <c:pt idx="737">
                  <c:v>1634.5</c:v>
                </c:pt>
                <c:pt idx="738">
                  <c:v>1634</c:v>
                </c:pt>
                <c:pt idx="739">
                  <c:v>1633.5</c:v>
                </c:pt>
                <c:pt idx="740">
                  <c:v>1633</c:v>
                </c:pt>
                <c:pt idx="741">
                  <c:v>1632.5</c:v>
                </c:pt>
                <c:pt idx="742">
                  <c:v>1632</c:v>
                </c:pt>
                <c:pt idx="743">
                  <c:v>1631.5</c:v>
                </c:pt>
                <c:pt idx="744">
                  <c:v>1631</c:v>
                </c:pt>
                <c:pt idx="745">
                  <c:v>1630.5</c:v>
                </c:pt>
                <c:pt idx="746">
                  <c:v>1630</c:v>
                </c:pt>
                <c:pt idx="747">
                  <c:v>1629.5</c:v>
                </c:pt>
                <c:pt idx="748">
                  <c:v>1629</c:v>
                </c:pt>
                <c:pt idx="749">
                  <c:v>1628.5</c:v>
                </c:pt>
                <c:pt idx="750">
                  <c:v>1628</c:v>
                </c:pt>
                <c:pt idx="751">
                  <c:v>1627.5</c:v>
                </c:pt>
                <c:pt idx="752">
                  <c:v>1627</c:v>
                </c:pt>
                <c:pt idx="753">
                  <c:v>1626.5</c:v>
                </c:pt>
                <c:pt idx="754">
                  <c:v>1626</c:v>
                </c:pt>
                <c:pt idx="755">
                  <c:v>1625.5</c:v>
                </c:pt>
                <c:pt idx="756">
                  <c:v>1625</c:v>
                </c:pt>
                <c:pt idx="757">
                  <c:v>1624.5</c:v>
                </c:pt>
                <c:pt idx="758">
                  <c:v>1624</c:v>
                </c:pt>
                <c:pt idx="759">
                  <c:v>1623.5</c:v>
                </c:pt>
                <c:pt idx="760">
                  <c:v>1623</c:v>
                </c:pt>
                <c:pt idx="761">
                  <c:v>1622.5</c:v>
                </c:pt>
                <c:pt idx="762">
                  <c:v>1622</c:v>
                </c:pt>
                <c:pt idx="763">
                  <c:v>1621.5</c:v>
                </c:pt>
                <c:pt idx="764">
                  <c:v>1621</c:v>
                </c:pt>
                <c:pt idx="765">
                  <c:v>1620.5</c:v>
                </c:pt>
                <c:pt idx="766">
                  <c:v>1620</c:v>
                </c:pt>
                <c:pt idx="767">
                  <c:v>1619.5</c:v>
                </c:pt>
                <c:pt idx="768">
                  <c:v>1619</c:v>
                </c:pt>
                <c:pt idx="769">
                  <c:v>1618.5</c:v>
                </c:pt>
                <c:pt idx="770">
                  <c:v>1618</c:v>
                </c:pt>
                <c:pt idx="771">
                  <c:v>1617.5</c:v>
                </c:pt>
                <c:pt idx="772">
                  <c:v>1617</c:v>
                </c:pt>
                <c:pt idx="773">
                  <c:v>1616.5</c:v>
                </c:pt>
                <c:pt idx="774">
                  <c:v>1616</c:v>
                </c:pt>
                <c:pt idx="775">
                  <c:v>1615.5</c:v>
                </c:pt>
                <c:pt idx="776">
                  <c:v>1615</c:v>
                </c:pt>
                <c:pt idx="777">
                  <c:v>1614.5</c:v>
                </c:pt>
                <c:pt idx="778">
                  <c:v>1614</c:v>
                </c:pt>
                <c:pt idx="779">
                  <c:v>1613.5</c:v>
                </c:pt>
                <c:pt idx="780">
                  <c:v>1613</c:v>
                </c:pt>
                <c:pt idx="781">
                  <c:v>1612.5</c:v>
                </c:pt>
                <c:pt idx="782">
                  <c:v>1612</c:v>
                </c:pt>
                <c:pt idx="783">
                  <c:v>1611.5</c:v>
                </c:pt>
                <c:pt idx="784">
                  <c:v>1611</c:v>
                </c:pt>
                <c:pt idx="785">
                  <c:v>1610.5</c:v>
                </c:pt>
                <c:pt idx="786">
                  <c:v>1610</c:v>
                </c:pt>
                <c:pt idx="787">
                  <c:v>1609.5</c:v>
                </c:pt>
                <c:pt idx="788">
                  <c:v>1609</c:v>
                </c:pt>
                <c:pt idx="789">
                  <c:v>1608.5</c:v>
                </c:pt>
                <c:pt idx="790">
                  <c:v>1608</c:v>
                </c:pt>
                <c:pt idx="791">
                  <c:v>1607.5</c:v>
                </c:pt>
                <c:pt idx="792">
                  <c:v>1607</c:v>
                </c:pt>
                <c:pt idx="793">
                  <c:v>1606.5</c:v>
                </c:pt>
                <c:pt idx="794">
                  <c:v>1606</c:v>
                </c:pt>
                <c:pt idx="795">
                  <c:v>1605.5</c:v>
                </c:pt>
                <c:pt idx="796">
                  <c:v>1605</c:v>
                </c:pt>
                <c:pt idx="797">
                  <c:v>1604.5</c:v>
                </c:pt>
                <c:pt idx="798">
                  <c:v>1604</c:v>
                </c:pt>
                <c:pt idx="799">
                  <c:v>1603.5</c:v>
                </c:pt>
                <c:pt idx="800">
                  <c:v>1603</c:v>
                </c:pt>
                <c:pt idx="801">
                  <c:v>1602.5</c:v>
                </c:pt>
                <c:pt idx="802">
                  <c:v>1602</c:v>
                </c:pt>
                <c:pt idx="803">
                  <c:v>1601.5</c:v>
                </c:pt>
                <c:pt idx="804">
                  <c:v>1601</c:v>
                </c:pt>
                <c:pt idx="805">
                  <c:v>1600.5</c:v>
                </c:pt>
                <c:pt idx="806">
                  <c:v>1600</c:v>
                </c:pt>
                <c:pt idx="807">
                  <c:v>1599.5</c:v>
                </c:pt>
                <c:pt idx="808">
                  <c:v>1599</c:v>
                </c:pt>
                <c:pt idx="809">
                  <c:v>1598.5</c:v>
                </c:pt>
                <c:pt idx="810">
                  <c:v>1598</c:v>
                </c:pt>
                <c:pt idx="811">
                  <c:v>1597.5</c:v>
                </c:pt>
                <c:pt idx="812">
                  <c:v>1597</c:v>
                </c:pt>
                <c:pt idx="813">
                  <c:v>1596.5</c:v>
                </c:pt>
                <c:pt idx="814">
                  <c:v>1596</c:v>
                </c:pt>
                <c:pt idx="815">
                  <c:v>1595.5</c:v>
                </c:pt>
                <c:pt idx="816">
                  <c:v>1595</c:v>
                </c:pt>
                <c:pt idx="817">
                  <c:v>1594.5</c:v>
                </c:pt>
                <c:pt idx="818">
                  <c:v>1594</c:v>
                </c:pt>
                <c:pt idx="819">
                  <c:v>1593.5</c:v>
                </c:pt>
                <c:pt idx="820">
                  <c:v>1593</c:v>
                </c:pt>
                <c:pt idx="821">
                  <c:v>1592.5</c:v>
                </c:pt>
                <c:pt idx="822">
                  <c:v>1592</c:v>
                </c:pt>
                <c:pt idx="823">
                  <c:v>1591.5</c:v>
                </c:pt>
                <c:pt idx="824">
                  <c:v>1591</c:v>
                </c:pt>
                <c:pt idx="825">
                  <c:v>1590.5</c:v>
                </c:pt>
                <c:pt idx="826">
                  <c:v>1590</c:v>
                </c:pt>
                <c:pt idx="827">
                  <c:v>1589.5</c:v>
                </c:pt>
                <c:pt idx="828">
                  <c:v>1589</c:v>
                </c:pt>
                <c:pt idx="829">
                  <c:v>1588.5</c:v>
                </c:pt>
                <c:pt idx="830">
                  <c:v>1588</c:v>
                </c:pt>
                <c:pt idx="831">
                  <c:v>1587.5</c:v>
                </c:pt>
                <c:pt idx="832">
                  <c:v>1587</c:v>
                </c:pt>
                <c:pt idx="833">
                  <c:v>1586.5</c:v>
                </c:pt>
                <c:pt idx="834">
                  <c:v>1586</c:v>
                </c:pt>
                <c:pt idx="835">
                  <c:v>1585.5</c:v>
                </c:pt>
                <c:pt idx="836">
                  <c:v>1585</c:v>
                </c:pt>
                <c:pt idx="837">
                  <c:v>1584.5</c:v>
                </c:pt>
                <c:pt idx="838">
                  <c:v>1584</c:v>
                </c:pt>
                <c:pt idx="839">
                  <c:v>1583.5</c:v>
                </c:pt>
                <c:pt idx="840">
                  <c:v>1583</c:v>
                </c:pt>
                <c:pt idx="841">
                  <c:v>1582.5</c:v>
                </c:pt>
                <c:pt idx="842">
                  <c:v>1582</c:v>
                </c:pt>
                <c:pt idx="843">
                  <c:v>1581.5</c:v>
                </c:pt>
                <c:pt idx="844">
                  <c:v>1581</c:v>
                </c:pt>
                <c:pt idx="845">
                  <c:v>1580.5</c:v>
                </c:pt>
                <c:pt idx="846">
                  <c:v>1580</c:v>
                </c:pt>
                <c:pt idx="847">
                  <c:v>1579.5</c:v>
                </c:pt>
                <c:pt idx="848">
                  <c:v>1579</c:v>
                </c:pt>
                <c:pt idx="849">
                  <c:v>1578.5</c:v>
                </c:pt>
                <c:pt idx="850">
                  <c:v>1578</c:v>
                </c:pt>
                <c:pt idx="851">
                  <c:v>1577.5</c:v>
                </c:pt>
                <c:pt idx="852">
                  <c:v>1577</c:v>
                </c:pt>
                <c:pt idx="853">
                  <c:v>1576.5</c:v>
                </c:pt>
                <c:pt idx="854">
                  <c:v>1576</c:v>
                </c:pt>
                <c:pt idx="855">
                  <c:v>1575.5</c:v>
                </c:pt>
                <c:pt idx="856">
                  <c:v>1575</c:v>
                </c:pt>
                <c:pt idx="857">
                  <c:v>1574.5</c:v>
                </c:pt>
                <c:pt idx="858">
                  <c:v>1574</c:v>
                </c:pt>
                <c:pt idx="859">
                  <c:v>1573.5</c:v>
                </c:pt>
                <c:pt idx="860">
                  <c:v>1573</c:v>
                </c:pt>
                <c:pt idx="861">
                  <c:v>1572.5</c:v>
                </c:pt>
                <c:pt idx="862">
                  <c:v>1572</c:v>
                </c:pt>
                <c:pt idx="863">
                  <c:v>1571.5</c:v>
                </c:pt>
                <c:pt idx="864">
                  <c:v>1571</c:v>
                </c:pt>
                <c:pt idx="865">
                  <c:v>1570.5</c:v>
                </c:pt>
                <c:pt idx="866">
                  <c:v>1570</c:v>
                </c:pt>
                <c:pt idx="867">
                  <c:v>1569.5</c:v>
                </c:pt>
                <c:pt idx="868">
                  <c:v>1569</c:v>
                </c:pt>
                <c:pt idx="869">
                  <c:v>1568.5</c:v>
                </c:pt>
                <c:pt idx="870">
                  <c:v>1568</c:v>
                </c:pt>
                <c:pt idx="871">
                  <c:v>1567.5</c:v>
                </c:pt>
                <c:pt idx="872">
                  <c:v>1567</c:v>
                </c:pt>
                <c:pt idx="873">
                  <c:v>1566.5</c:v>
                </c:pt>
                <c:pt idx="874">
                  <c:v>1566</c:v>
                </c:pt>
                <c:pt idx="875">
                  <c:v>1565.5</c:v>
                </c:pt>
                <c:pt idx="876">
                  <c:v>1565</c:v>
                </c:pt>
                <c:pt idx="877">
                  <c:v>1564.5</c:v>
                </c:pt>
                <c:pt idx="878">
                  <c:v>1564</c:v>
                </c:pt>
                <c:pt idx="879">
                  <c:v>1563.5</c:v>
                </c:pt>
                <c:pt idx="880">
                  <c:v>1563</c:v>
                </c:pt>
                <c:pt idx="881">
                  <c:v>1562.5</c:v>
                </c:pt>
                <c:pt idx="882">
                  <c:v>1562</c:v>
                </c:pt>
                <c:pt idx="883">
                  <c:v>1561.5</c:v>
                </c:pt>
                <c:pt idx="884">
                  <c:v>1561</c:v>
                </c:pt>
                <c:pt idx="885">
                  <c:v>1560.5</c:v>
                </c:pt>
                <c:pt idx="886">
                  <c:v>1560</c:v>
                </c:pt>
                <c:pt idx="887">
                  <c:v>1559.5</c:v>
                </c:pt>
                <c:pt idx="888">
                  <c:v>1559</c:v>
                </c:pt>
                <c:pt idx="889">
                  <c:v>1558.5</c:v>
                </c:pt>
                <c:pt idx="890">
                  <c:v>1558</c:v>
                </c:pt>
                <c:pt idx="891">
                  <c:v>1557.5</c:v>
                </c:pt>
                <c:pt idx="892">
                  <c:v>1557</c:v>
                </c:pt>
                <c:pt idx="893">
                  <c:v>1556.5</c:v>
                </c:pt>
                <c:pt idx="894">
                  <c:v>1556</c:v>
                </c:pt>
                <c:pt idx="895">
                  <c:v>1555.5</c:v>
                </c:pt>
                <c:pt idx="896">
                  <c:v>1555</c:v>
                </c:pt>
                <c:pt idx="897">
                  <c:v>1554.5</c:v>
                </c:pt>
                <c:pt idx="898">
                  <c:v>1554</c:v>
                </c:pt>
                <c:pt idx="899">
                  <c:v>1553.5</c:v>
                </c:pt>
                <c:pt idx="900">
                  <c:v>1553</c:v>
                </c:pt>
                <c:pt idx="901">
                  <c:v>1552.5</c:v>
                </c:pt>
                <c:pt idx="902">
                  <c:v>1552</c:v>
                </c:pt>
                <c:pt idx="903">
                  <c:v>1551.5</c:v>
                </c:pt>
                <c:pt idx="904">
                  <c:v>1551</c:v>
                </c:pt>
                <c:pt idx="905">
                  <c:v>1550.5</c:v>
                </c:pt>
                <c:pt idx="906">
                  <c:v>1550</c:v>
                </c:pt>
                <c:pt idx="907">
                  <c:v>1549.5</c:v>
                </c:pt>
                <c:pt idx="908">
                  <c:v>1549</c:v>
                </c:pt>
                <c:pt idx="909">
                  <c:v>1548.5</c:v>
                </c:pt>
                <c:pt idx="910">
                  <c:v>1548</c:v>
                </c:pt>
                <c:pt idx="911">
                  <c:v>1547.5</c:v>
                </c:pt>
                <c:pt idx="912">
                  <c:v>1547</c:v>
                </c:pt>
                <c:pt idx="913">
                  <c:v>1546.5</c:v>
                </c:pt>
                <c:pt idx="914">
                  <c:v>1546</c:v>
                </c:pt>
                <c:pt idx="915">
                  <c:v>1545.5</c:v>
                </c:pt>
                <c:pt idx="916">
                  <c:v>1545</c:v>
                </c:pt>
                <c:pt idx="917">
                  <c:v>1544.5</c:v>
                </c:pt>
                <c:pt idx="918">
                  <c:v>1544</c:v>
                </c:pt>
                <c:pt idx="919">
                  <c:v>1543.5</c:v>
                </c:pt>
                <c:pt idx="920">
                  <c:v>1543</c:v>
                </c:pt>
                <c:pt idx="921">
                  <c:v>1542.5</c:v>
                </c:pt>
                <c:pt idx="922">
                  <c:v>1542</c:v>
                </c:pt>
                <c:pt idx="923">
                  <c:v>1541.5</c:v>
                </c:pt>
                <c:pt idx="924">
                  <c:v>1541</c:v>
                </c:pt>
                <c:pt idx="925">
                  <c:v>1540.5</c:v>
                </c:pt>
                <c:pt idx="926">
                  <c:v>1540</c:v>
                </c:pt>
                <c:pt idx="927">
                  <c:v>1539.5</c:v>
                </c:pt>
                <c:pt idx="928">
                  <c:v>1539</c:v>
                </c:pt>
                <c:pt idx="929">
                  <c:v>1538.5</c:v>
                </c:pt>
                <c:pt idx="930">
                  <c:v>1538</c:v>
                </c:pt>
                <c:pt idx="931">
                  <c:v>1537.5</c:v>
                </c:pt>
                <c:pt idx="932">
                  <c:v>1537</c:v>
                </c:pt>
                <c:pt idx="933">
                  <c:v>1536.5</c:v>
                </c:pt>
                <c:pt idx="934">
                  <c:v>1536</c:v>
                </c:pt>
                <c:pt idx="935">
                  <c:v>1535.5</c:v>
                </c:pt>
                <c:pt idx="936">
                  <c:v>1535</c:v>
                </c:pt>
                <c:pt idx="937">
                  <c:v>1534.5</c:v>
                </c:pt>
                <c:pt idx="938">
                  <c:v>1534</c:v>
                </c:pt>
                <c:pt idx="939">
                  <c:v>1533.5</c:v>
                </c:pt>
                <c:pt idx="940">
                  <c:v>1533</c:v>
                </c:pt>
                <c:pt idx="941">
                  <c:v>1532.5</c:v>
                </c:pt>
                <c:pt idx="942">
                  <c:v>1532</c:v>
                </c:pt>
                <c:pt idx="943">
                  <c:v>1531.5</c:v>
                </c:pt>
                <c:pt idx="944">
                  <c:v>1531</c:v>
                </c:pt>
                <c:pt idx="945">
                  <c:v>1530.5</c:v>
                </c:pt>
                <c:pt idx="946">
                  <c:v>1530</c:v>
                </c:pt>
                <c:pt idx="947">
                  <c:v>1529.5</c:v>
                </c:pt>
                <c:pt idx="948">
                  <c:v>1529</c:v>
                </c:pt>
                <c:pt idx="949">
                  <c:v>1528.5</c:v>
                </c:pt>
                <c:pt idx="950">
                  <c:v>1528</c:v>
                </c:pt>
                <c:pt idx="951">
                  <c:v>1527.5</c:v>
                </c:pt>
                <c:pt idx="952">
                  <c:v>1527</c:v>
                </c:pt>
                <c:pt idx="953">
                  <c:v>1526.5</c:v>
                </c:pt>
                <c:pt idx="954">
                  <c:v>1526</c:v>
                </c:pt>
                <c:pt idx="955">
                  <c:v>1525.5</c:v>
                </c:pt>
                <c:pt idx="956">
                  <c:v>1525</c:v>
                </c:pt>
                <c:pt idx="957">
                  <c:v>1524.5</c:v>
                </c:pt>
                <c:pt idx="958">
                  <c:v>1524</c:v>
                </c:pt>
                <c:pt idx="959">
                  <c:v>1523.5</c:v>
                </c:pt>
                <c:pt idx="960">
                  <c:v>1523</c:v>
                </c:pt>
                <c:pt idx="961">
                  <c:v>1510.7</c:v>
                </c:pt>
                <c:pt idx="962">
                  <c:v>1498.4</c:v>
                </c:pt>
                <c:pt idx="963">
                  <c:v>1486.1000000000001</c:v>
                </c:pt>
                <c:pt idx="964">
                  <c:v>1473.8000000000002</c:v>
                </c:pt>
                <c:pt idx="965">
                  <c:v>1461.5</c:v>
                </c:pt>
                <c:pt idx="966">
                  <c:v>1449.2</c:v>
                </c:pt>
                <c:pt idx="967">
                  <c:v>1436.9</c:v>
                </c:pt>
                <c:pt idx="968">
                  <c:v>1424.6000000000001</c:v>
                </c:pt>
                <c:pt idx="969">
                  <c:v>1412.3</c:v>
                </c:pt>
                <c:pt idx="970">
                  <c:v>1400</c:v>
                </c:pt>
                <c:pt idx="971">
                  <c:v>1387.7</c:v>
                </c:pt>
                <c:pt idx="972">
                  <c:v>1375.4</c:v>
                </c:pt>
                <c:pt idx="973">
                  <c:v>1363.1000000000001</c:v>
                </c:pt>
                <c:pt idx="974">
                  <c:v>1350.8</c:v>
                </c:pt>
                <c:pt idx="975">
                  <c:v>1338.5</c:v>
                </c:pt>
                <c:pt idx="976">
                  <c:v>1326.2</c:v>
                </c:pt>
                <c:pt idx="977">
                  <c:v>1313.9</c:v>
                </c:pt>
                <c:pt idx="978">
                  <c:v>1301.5999999999999</c:v>
                </c:pt>
                <c:pt idx="979">
                  <c:v>1289.3000000000002</c:v>
                </c:pt>
                <c:pt idx="980">
                  <c:v>1277</c:v>
                </c:pt>
                <c:pt idx="981">
                  <c:v>1264.7</c:v>
                </c:pt>
                <c:pt idx="982">
                  <c:v>1252.4000000000001</c:v>
                </c:pt>
                <c:pt idx="983">
                  <c:v>1240.0999999999999</c:v>
                </c:pt>
                <c:pt idx="984">
                  <c:v>1227.8000000000002</c:v>
                </c:pt>
                <c:pt idx="985">
                  <c:v>1215.5</c:v>
                </c:pt>
                <c:pt idx="986">
                  <c:v>1203.2</c:v>
                </c:pt>
                <c:pt idx="987">
                  <c:v>1190.9000000000001</c:v>
                </c:pt>
                <c:pt idx="988">
                  <c:v>1178.5999999999999</c:v>
                </c:pt>
                <c:pt idx="989">
                  <c:v>1166.3000000000002</c:v>
                </c:pt>
                <c:pt idx="990">
                  <c:v>1154</c:v>
                </c:pt>
                <c:pt idx="991">
                  <c:v>1141.7</c:v>
                </c:pt>
                <c:pt idx="992">
                  <c:v>1129.4000000000001</c:v>
                </c:pt>
                <c:pt idx="993">
                  <c:v>1117.0999999999999</c:v>
                </c:pt>
                <c:pt idx="994">
                  <c:v>1104.8000000000002</c:v>
                </c:pt>
                <c:pt idx="995">
                  <c:v>1092.5</c:v>
                </c:pt>
                <c:pt idx="996">
                  <c:v>1080.2</c:v>
                </c:pt>
                <c:pt idx="997">
                  <c:v>1067.9000000000001</c:v>
                </c:pt>
                <c:pt idx="998">
                  <c:v>1055.5999999999999</c:v>
                </c:pt>
                <c:pt idx="999">
                  <c:v>1043.3000000000002</c:v>
                </c:pt>
                <c:pt idx="1000">
                  <c:v>1031</c:v>
                </c:pt>
                <c:pt idx="1001">
                  <c:v>1018.7</c:v>
                </c:pt>
                <c:pt idx="1002">
                  <c:v>1006.4000000000001</c:v>
                </c:pt>
                <c:pt idx="1003">
                  <c:v>994.1</c:v>
                </c:pt>
                <c:pt idx="1004">
                  <c:v>981.80000000000007</c:v>
                </c:pt>
                <c:pt idx="1005">
                  <c:v>969.5</c:v>
                </c:pt>
                <c:pt idx="1006">
                  <c:v>957.2</c:v>
                </c:pt>
                <c:pt idx="1007">
                  <c:v>944.90000000000009</c:v>
                </c:pt>
                <c:pt idx="1008">
                  <c:v>932.6</c:v>
                </c:pt>
                <c:pt idx="1009">
                  <c:v>920.30000000000007</c:v>
                </c:pt>
                <c:pt idx="1010">
                  <c:v>908</c:v>
                </c:pt>
                <c:pt idx="1011">
                  <c:v>895.7</c:v>
                </c:pt>
                <c:pt idx="1012">
                  <c:v>883.40000000000009</c:v>
                </c:pt>
                <c:pt idx="1013">
                  <c:v>871.1</c:v>
                </c:pt>
                <c:pt idx="1014">
                  <c:v>858.80000000000007</c:v>
                </c:pt>
                <c:pt idx="1015">
                  <c:v>846.5</c:v>
                </c:pt>
                <c:pt idx="1016">
                  <c:v>834.2</c:v>
                </c:pt>
                <c:pt idx="1017">
                  <c:v>821.9</c:v>
                </c:pt>
                <c:pt idx="1018">
                  <c:v>809.6</c:v>
                </c:pt>
                <c:pt idx="1019">
                  <c:v>797.3</c:v>
                </c:pt>
                <c:pt idx="1020">
                  <c:v>785</c:v>
                </c:pt>
                <c:pt idx="1021">
                  <c:v>772.7</c:v>
                </c:pt>
                <c:pt idx="1022">
                  <c:v>760.40000000000009</c:v>
                </c:pt>
                <c:pt idx="1023">
                  <c:v>748.1</c:v>
                </c:pt>
                <c:pt idx="1024">
                  <c:v>735.8</c:v>
                </c:pt>
                <c:pt idx="1025">
                  <c:v>723.5</c:v>
                </c:pt>
                <c:pt idx="1026">
                  <c:v>711.2</c:v>
                </c:pt>
                <c:pt idx="1027">
                  <c:v>698.90000000000009</c:v>
                </c:pt>
                <c:pt idx="1028">
                  <c:v>686.6</c:v>
                </c:pt>
                <c:pt idx="1029">
                  <c:v>674.3</c:v>
                </c:pt>
                <c:pt idx="1030">
                  <c:v>662</c:v>
                </c:pt>
                <c:pt idx="1031">
                  <c:v>649.70000000000005</c:v>
                </c:pt>
                <c:pt idx="1032">
                  <c:v>637.40000000000009</c:v>
                </c:pt>
                <c:pt idx="1033">
                  <c:v>625.1</c:v>
                </c:pt>
                <c:pt idx="1034">
                  <c:v>612.79999999999995</c:v>
                </c:pt>
                <c:pt idx="1035">
                  <c:v>600.5</c:v>
                </c:pt>
                <c:pt idx="1036">
                  <c:v>588.20000000000005</c:v>
                </c:pt>
                <c:pt idx="1037">
                  <c:v>575.90000000000009</c:v>
                </c:pt>
                <c:pt idx="1038">
                  <c:v>563.6</c:v>
                </c:pt>
                <c:pt idx="1039">
                  <c:v>551.29999999999995</c:v>
                </c:pt>
                <c:pt idx="1040">
                  <c:v>539</c:v>
                </c:pt>
                <c:pt idx="1041">
                  <c:v>526.70000000000005</c:v>
                </c:pt>
                <c:pt idx="1042">
                  <c:v>514.4</c:v>
                </c:pt>
                <c:pt idx="1043">
                  <c:v>502.1</c:v>
                </c:pt>
                <c:pt idx="1044">
                  <c:v>489.8</c:v>
                </c:pt>
                <c:pt idx="1045">
                  <c:v>477.5</c:v>
                </c:pt>
                <c:pt idx="1046">
                  <c:v>465.20000000000005</c:v>
                </c:pt>
                <c:pt idx="1047">
                  <c:v>452.9</c:v>
                </c:pt>
                <c:pt idx="1048">
                  <c:v>440.6</c:v>
                </c:pt>
                <c:pt idx="1049">
                  <c:v>428.3</c:v>
                </c:pt>
                <c:pt idx="1050">
                  <c:v>416</c:v>
                </c:pt>
                <c:pt idx="1051">
                  <c:v>403.7</c:v>
                </c:pt>
                <c:pt idx="1052">
                  <c:v>391.4</c:v>
                </c:pt>
                <c:pt idx="1053">
                  <c:v>379.1</c:v>
                </c:pt>
                <c:pt idx="1054">
                  <c:v>366.8</c:v>
                </c:pt>
                <c:pt idx="1055">
                  <c:v>354.5</c:v>
                </c:pt>
                <c:pt idx="1056">
                  <c:v>342.2</c:v>
                </c:pt>
                <c:pt idx="1057">
                  <c:v>329.9</c:v>
                </c:pt>
                <c:pt idx="1058">
                  <c:v>317.60000000000002</c:v>
                </c:pt>
                <c:pt idx="1059">
                  <c:v>305.3</c:v>
                </c:pt>
                <c:pt idx="1060">
                  <c:v>293</c:v>
                </c:pt>
              </c:numCache>
            </c:numRef>
          </c:xVal>
          <c:yVal>
            <c:numRef>
              <c:f>Sheet2!$P$31:$P$1037</c:f>
              <c:numCache>
                <c:formatCode>0.00E+00</c:formatCode>
                <c:ptCount val="1007"/>
                <c:pt idx="0">
                  <c:v>6.3433142805634277E+22</c:v>
                </c:pt>
                <c:pt idx="1">
                  <c:v>6.3214726784219867E+22</c:v>
                </c:pt>
                <c:pt idx="2">
                  <c:v>6.29969542874947E+22</c:v>
                </c:pt>
                <c:pt idx="3">
                  <c:v>6.2779823766574551E+22</c:v>
                </c:pt>
                <c:pt idx="4">
                  <c:v>6.2563333675356145E+22</c:v>
                </c:pt>
                <c:pt idx="5">
                  <c:v>6.234748247051589E+22</c:v>
                </c:pt>
                <c:pt idx="6">
                  <c:v>6.2132268611507753E+22</c:v>
                </c:pt>
                <c:pt idx="7">
                  <c:v>6.1917690560559144E+22</c:v>
                </c:pt>
                <c:pt idx="8">
                  <c:v>6.1703746782667249E+22</c:v>
                </c:pt>
                <c:pt idx="9">
                  <c:v>6.1490435745598449E+22</c:v>
                </c:pt>
                <c:pt idx="10">
                  <c:v>6.1277755919883995E+22</c:v>
                </c:pt>
                <c:pt idx="11">
                  <c:v>6.106570577881718E+22</c:v>
                </c:pt>
                <c:pt idx="12">
                  <c:v>6.0854283798449972E+22</c:v>
                </c:pt>
                <c:pt idx="13">
                  <c:v>6.0643488457592081E+22</c:v>
                </c:pt>
                <c:pt idx="14">
                  <c:v>6.0433318237806061E+22</c:v>
                </c:pt>
                <c:pt idx="15">
                  <c:v>6.0223771623404278E+22</c:v>
                </c:pt>
                <c:pt idx="16">
                  <c:v>6.001484710144808E+22</c:v>
                </c:pt>
                <c:pt idx="17">
                  <c:v>5.9806543161743028E+22</c:v>
                </c:pt>
                <c:pt idx="18">
                  <c:v>5.9598858296836779E+22</c:v>
                </c:pt>
                <c:pt idx="19">
                  <c:v>5.9391791002015817E+22</c:v>
                </c:pt>
                <c:pt idx="20">
                  <c:v>5.9185339775303337E+22</c:v>
                </c:pt>
                <c:pt idx="21">
                  <c:v>5.8979503117454946E+22</c:v>
                </c:pt>
                <c:pt idx="22">
                  <c:v>5.8774279531957118E+22</c:v>
                </c:pt>
                <c:pt idx="23">
                  <c:v>5.8569667525023384E+22</c:v>
                </c:pt>
                <c:pt idx="24">
                  <c:v>5.8365665605592914E+22</c:v>
                </c:pt>
                <c:pt idx="25">
                  <c:v>5.8162272285325089E+22</c:v>
                </c:pt>
                <c:pt idx="26">
                  <c:v>5.7959486078598722E+22</c:v>
                </c:pt>
                <c:pt idx="27">
                  <c:v>5.7757305502508467E+22</c:v>
                </c:pt>
                <c:pt idx="28">
                  <c:v>5.755572907686217E+22</c:v>
                </c:pt>
                <c:pt idx="29">
                  <c:v>5.7354755324176652E+22</c:v>
                </c:pt>
                <c:pt idx="30">
                  <c:v>5.7154382769677392E+22</c:v>
                </c:pt>
                <c:pt idx="31">
                  <c:v>5.6954609941293197E+22</c:v>
                </c:pt>
                <c:pt idx="32">
                  <c:v>5.6755435369654074E+22</c:v>
                </c:pt>
                <c:pt idx="33">
                  <c:v>5.6556857588088578E+22</c:v>
                </c:pt>
                <c:pt idx="34">
                  <c:v>5.6358875132621639E+22</c:v>
                </c:pt>
                <c:pt idx="35">
                  <c:v>5.6161486541969496E+22</c:v>
                </c:pt>
                <c:pt idx="36">
                  <c:v>5.5964690357538764E+22</c:v>
                </c:pt>
                <c:pt idx="37">
                  <c:v>5.5768485123422924E+22</c:v>
                </c:pt>
                <c:pt idx="38">
                  <c:v>5.5572869386399423E+22</c:v>
                </c:pt>
                <c:pt idx="39">
                  <c:v>5.5377841695925954E+22</c:v>
                </c:pt>
                <c:pt idx="40">
                  <c:v>5.5183400604138924E+22</c:v>
                </c:pt>
                <c:pt idx="41">
                  <c:v>5.4989544665850376E+22</c:v>
                </c:pt>
                <c:pt idx="42">
                  <c:v>5.4796272438543255E+22</c:v>
                </c:pt>
                <c:pt idx="43">
                  <c:v>5.4603582482370913E+22</c:v>
                </c:pt>
                <c:pt idx="44">
                  <c:v>5.4411473360152938E+22</c:v>
                </c:pt>
                <c:pt idx="45">
                  <c:v>5.4219943637372526E+22</c:v>
                </c:pt>
                <c:pt idx="46">
                  <c:v>5.4028991882172876E+22</c:v>
                </c:pt>
                <c:pt idx="47">
                  <c:v>5.3838616665355385E+22</c:v>
                </c:pt>
                <c:pt idx="48">
                  <c:v>5.3648816560376581E+22</c:v>
                </c:pt>
                <c:pt idx="49">
                  <c:v>5.3459590143344183E+22</c:v>
                </c:pt>
                <c:pt idx="50">
                  <c:v>5.3270935993015018E+22</c:v>
                </c:pt>
                <c:pt idx="51">
                  <c:v>5.3082852690792251E+22</c:v>
                </c:pt>
                <c:pt idx="52">
                  <c:v>5.2895338820722118E+22</c:v>
                </c:pt>
                <c:pt idx="53">
                  <c:v>5.270839296949098E+22</c:v>
                </c:pt>
                <c:pt idx="54">
                  <c:v>5.252201372642244E+22</c:v>
                </c:pt>
                <c:pt idx="55">
                  <c:v>5.2336199683474553E+22</c:v>
                </c:pt>
                <c:pt idx="56">
                  <c:v>5.2150949435237005E+22</c:v>
                </c:pt>
                <c:pt idx="57">
                  <c:v>5.1966261578927524E+22</c:v>
                </c:pt>
                <c:pt idx="58">
                  <c:v>5.1782134714390203E+22</c:v>
                </c:pt>
                <c:pt idx="59">
                  <c:v>5.1598567444091488E+22</c:v>
                </c:pt>
                <c:pt idx="60">
                  <c:v>5.1415558373117463E+22</c:v>
                </c:pt>
                <c:pt idx="61">
                  <c:v>5.1233106109171281E+22</c:v>
                </c:pt>
                <c:pt idx="62">
                  <c:v>5.1051209262570404E+22</c:v>
                </c:pt>
                <c:pt idx="63">
                  <c:v>5.0869866446242661E+22</c:v>
                </c:pt>
                <c:pt idx="64">
                  <c:v>5.0689076275724337E+22</c:v>
                </c:pt>
                <c:pt idx="65">
                  <c:v>5.050883736915731E+22</c:v>
                </c:pt>
                <c:pt idx="66">
                  <c:v>5.0329148347285183E+22</c:v>
                </c:pt>
                <c:pt idx="67">
                  <c:v>5.0150007833450974E+22</c:v>
                </c:pt>
                <c:pt idx="68">
                  <c:v>4.9971414453594442E+22</c:v>
                </c:pt>
                <c:pt idx="69">
                  <c:v>4.9793366836249113E+22</c:v>
                </c:pt>
                <c:pt idx="70">
                  <c:v>4.9615863612538186E+22</c:v>
                </c:pt>
                <c:pt idx="71">
                  <c:v>4.9438903416173466E+22</c:v>
                </c:pt>
                <c:pt idx="72">
                  <c:v>4.9262484883451138E+22</c:v>
                </c:pt>
                <c:pt idx="73">
                  <c:v>4.9086606653249257E+22</c:v>
                </c:pt>
                <c:pt idx="74">
                  <c:v>4.8911267367024771E+22</c:v>
                </c:pt>
                <c:pt idx="75">
                  <c:v>4.8736465668810654E+22</c:v>
                </c:pt>
                <c:pt idx="76">
                  <c:v>4.8562200205213284E+22</c:v>
                </c:pt>
                <c:pt idx="77">
                  <c:v>4.8388469625408505E+22</c:v>
                </c:pt>
                <c:pt idx="78">
                  <c:v>4.8215272581139729E+22</c:v>
                </c:pt>
                <c:pt idx="79">
                  <c:v>4.8042607726715218E+22</c:v>
                </c:pt>
                <c:pt idx="80">
                  <c:v>4.7870473719003723E+22</c:v>
                </c:pt>
                <c:pt idx="81">
                  <c:v>4.7698869217432688E+22</c:v>
                </c:pt>
                <c:pt idx="82">
                  <c:v>4.7527792883985516E+22</c:v>
                </c:pt>
                <c:pt idx="83">
                  <c:v>4.7357243383197993E+22</c:v>
                </c:pt>
                <c:pt idx="84">
                  <c:v>4.7187219382155331E+22</c:v>
                </c:pt>
                <c:pt idx="85">
                  <c:v>4.7017719550489582E+22</c:v>
                </c:pt>
                <c:pt idx="86">
                  <c:v>4.6848742560377103E+22</c:v>
                </c:pt>
                <c:pt idx="87">
                  <c:v>4.6680287086534533E+22</c:v>
                </c:pt>
                <c:pt idx="88">
                  <c:v>4.651235180621681E+22</c:v>
                </c:pt>
                <c:pt idx="89">
                  <c:v>4.6344935399213819E+22</c:v>
                </c:pt>
                <c:pt idx="90">
                  <c:v>4.6178036547847545E+22</c:v>
                </c:pt>
                <c:pt idx="91">
                  <c:v>4.6011653936969247E+22</c:v>
                </c:pt>
                <c:pt idx="92">
                  <c:v>4.5845786253956607E+22</c:v>
                </c:pt>
                <c:pt idx="93">
                  <c:v>4.5680432188710223E+22</c:v>
                </c:pt>
                <c:pt idx="94">
                  <c:v>4.5515590433651451E+22</c:v>
                </c:pt>
                <c:pt idx="95">
                  <c:v>4.5351259683718854E+22</c:v>
                </c:pt>
                <c:pt idx="96">
                  <c:v>4.5187438636366073E+22</c:v>
                </c:pt>
                <c:pt idx="97">
                  <c:v>4.5024125991557811E+22</c:v>
                </c:pt>
                <c:pt idx="98">
                  <c:v>4.4861320451767797E+22</c:v>
                </c:pt>
                <c:pt idx="99">
                  <c:v>4.4699020721975311E+22</c:v>
                </c:pt>
                <c:pt idx="100">
                  <c:v>4.4537225509662659E+22</c:v>
                </c:pt>
                <c:pt idx="101">
                  <c:v>4.4375933524811836E+22</c:v>
                </c:pt>
                <c:pt idx="102">
                  <c:v>4.4215143479902174E+22</c:v>
                </c:pt>
                <c:pt idx="103">
                  <c:v>4.405485408990668E+22</c:v>
                </c:pt>
                <c:pt idx="104">
                  <c:v>4.3895064072290036E+22</c:v>
                </c:pt>
                <c:pt idx="105">
                  <c:v>4.3735772147004398E+22</c:v>
                </c:pt>
                <c:pt idx="106">
                  <c:v>4.3576977036487585E+22</c:v>
                </c:pt>
                <c:pt idx="107">
                  <c:v>4.3418677465659883E+22</c:v>
                </c:pt>
                <c:pt idx="108">
                  <c:v>4.3260872161920685E+22</c:v>
                </c:pt>
                <c:pt idx="109">
                  <c:v>4.310355985514604E+22</c:v>
                </c:pt>
                <c:pt idx="110">
                  <c:v>4.2946739277685443E+22</c:v>
                </c:pt>
                <c:pt idx="111">
                  <c:v>4.2790409164359289E+22</c:v>
                </c:pt>
                <c:pt idx="112">
                  <c:v>4.2634568252455144E+22</c:v>
                </c:pt>
                <c:pt idx="113">
                  <c:v>4.2479215281725761E+22</c:v>
                </c:pt>
                <c:pt idx="114">
                  <c:v>4.2324348994385523E+22</c:v>
                </c:pt>
                <c:pt idx="115">
                  <c:v>4.2169968135107863E+22</c:v>
                </c:pt>
                <c:pt idx="116">
                  <c:v>4.2016071451021956E+22</c:v>
                </c:pt>
                <c:pt idx="117">
                  <c:v>4.1862657691710225E+22</c:v>
                </c:pt>
                <c:pt idx="118">
                  <c:v>4.1709725609205095E+22</c:v>
                </c:pt>
                <c:pt idx="119">
                  <c:v>4.1557273957986099E+22</c:v>
                </c:pt>
                <c:pt idx="120">
                  <c:v>4.1405301494977252E+22</c:v>
                </c:pt>
                <c:pt idx="121">
                  <c:v>4.1253806979543487E+22</c:v>
                </c:pt>
                <c:pt idx="122">
                  <c:v>4.110278917348869E+22</c:v>
                </c:pt>
                <c:pt idx="123">
                  <c:v>4.0952246841051508E+22</c:v>
                </c:pt>
                <c:pt idx="124">
                  <c:v>4.0802178748903418E+22</c:v>
                </c:pt>
                <c:pt idx="125">
                  <c:v>4.065258366614611E+22</c:v>
                </c:pt>
                <c:pt idx="126">
                  <c:v>4.0503460364306639E+22</c:v>
                </c:pt>
                <c:pt idx="127">
                  <c:v>4.0354807617336755E+22</c:v>
                </c:pt>
                <c:pt idx="128">
                  <c:v>4.0206624201608838E+22</c:v>
                </c:pt>
                <c:pt idx="129">
                  <c:v>4.0058908895912852E+22</c:v>
                </c:pt>
                <c:pt idx="130">
                  <c:v>3.9911660481454115E+22</c:v>
                </c:pt>
                <c:pt idx="131">
                  <c:v>3.9764877741849345E+22</c:v>
                </c:pt>
                <c:pt idx="132">
                  <c:v>3.9618559463125112E+22</c:v>
                </c:pt>
                <c:pt idx="133">
                  <c:v>3.947270443371337E+22</c:v>
                </c:pt>
                <c:pt idx="134">
                  <c:v>3.9327311444449662E+22</c:v>
                </c:pt>
                <c:pt idx="135">
                  <c:v>3.9182379288569779E+22</c:v>
                </c:pt>
                <c:pt idx="136">
                  <c:v>3.9037906761706933E+22</c:v>
                </c:pt>
                <c:pt idx="137">
                  <c:v>3.8893892661888648E+22</c:v>
                </c:pt>
                <c:pt idx="138">
                  <c:v>3.875033578953373E+22</c:v>
                </c:pt>
                <c:pt idx="139">
                  <c:v>3.8607234947449983E+22</c:v>
                </c:pt>
                <c:pt idx="140">
                  <c:v>3.8464588940830539E+22</c:v>
                </c:pt>
                <c:pt idx="141">
                  <c:v>3.8322396577251128E+22</c:v>
                </c:pt>
                <c:pt idx="142">
                  <c:v>3.8180656666667764E+22</c:v>
                </c:pt>
                <c:pt idx="143">
                  <c:v>3.8039368021412688E+22</c:v>
                </c:pt>
                <c:pt idx="144">
                  <c:v>3.789852945619229E+22</c:v>
                </c:pt>
                <c:pt idx="145">
                  <c:v>3.775813978808391E+22</c:v>
                </c:pt>
                <c:pt idx="146">
                  <c:v>3.761819783653307E+22</c:v>
                </c:pt>
                <c:pt idx="147">
                  <c:v>3.7478702423350209E+22</c:v>
                </c:pt>
                <c:pt idx="148">
                  <c:v>3.7339652372708008E+22</c:v>
                </c:pt>
                <c:pt idx="149">
                  <c:v>3.7201046511138374E+22</c:v>
                </c:pt>
                <c:pt idx="150">
                  <c:v>3.7062883667529983E+22</c:v>
                </c:pt>
                <c:pt idx="151">
                  <c:v>3.6925162673123826E+22</c:v>
                </c:pt>
                <c:pt idx="152">
                  <c:v>3.678788236151266E+22</c:v>
                </c:pt>
                <c:pt idx="153">
                  <c:v>3.6651041568635813E+22</c:v>
                </c:pt>
                <c:pt idx="154">
                  <c:v>3.6514639132777614E+22</c:v>
                </c:pt>
                <c:pt idx="155">
                  <c:v>3.6378673894564072E+22</c:v>
                </c:pt>
                <c:pt idx="156">
                  <c:v>3.6243144696959945E+22</c:v>
                </c:pt>
                <c:pt idx="157">
                  <c:v>3.6108050385265706E+22</c:v>
                </c:pt>
                <c:pt idx="158">
                  <c:v>3.5973389807114607E+22</c:v>
                </c:pt>
                <c:pt idx="159">
                  <c:v>3.5839161812470303E+22</c:v>
                </c:pt>
                <c:pt idx="160">
                  <c:v>3.5705365253623124E+22</c:v>
                </c:pt>
                <c:pt idx="161">
                  <c:v>3.5571998985187458E+22</c:v>
                </c:pt>
                <c:pt idx="162">
                  <c:v>3.543906186409904E+22</c:v>
                </c:pt>
                <c:pt idx="163">
                  <c:v>3.5306552749612094E+22</c:v>
                </c:pt>
                <c:pt idx="164">
                  <c:v>3.5174470503295701E+22</c:v>
                </c:pt>
                <c:pt idx="165">
                  <c:v>3.5042813989031493E+22</c:v>
                </c:pt>
                <c:pt idx="166">
                  <c:v>3.4911582073010625E+22</c:v>
                </c:pt>
                <c:pt idx="167">
                  <c:v>3.478077362373108E+22</c:v>
                </c:pt>
                <c:pt idx="168">
                  <c:v>3.4650387511993786E+22</c:v>
                </c:pt>
                <c:pt idx="169">
                  <c:v>3.4520422610900921E+22</c:v>
                </c:pt>
                <c:pt idx="170">
                  <c:v>3.4390877795852417E+22</c:v>
                </c:pt>
                <c:pt idx="171">
                  <c:v>3.4261751944542857E+22</c:v>
                </c:pt>
                <c:pt idx="172">
                  <c:v>3.4133043936958498E+22</c:v>
                </c:pt>
                <c:pt idx="173">
                  <c:v>3.4004752655375168E+22</c:v>
                </c:pt>
                <c:pt idx="174">
                  <c:v>3.3876876984354548E+22</c:v>
                </c:pt>
                <c:pt idx="175">
                  <c:v>3.3749415810740966E+22</c:v>
                </c:pt>
                <c:pt idx="176">
                  <c:v>3.3622368023659613E+22</c:v>
                </c:pt>
                <c:pt idx="177">
                  <c:v>3.3495732514512964E+22</c:v>
                </c:pt>
                <c:pt idx="178">
                  <c:v>3.3369508176977371E+22</c:v>
                </c:pt>
                <c:pt idx="179">
                  <c:v>3.3243693907000869E+22</c:v>
                </c:pt>
                <c:pt idx="180">
                  <c:v>3.3118288602800245E+22</c:v>
                </c:pt>
                <c:pt idx="181">
                  <c:v>3.2993291164857701E+22</c:v>
                </c:pt>
                <c:pt idx="182">
                  <c:v>3.2868700495917869E+22</c:v>
                </c:pt>
                <c:pt idx="183">
                  <c:v>3.2744515500985568E+22</c:v>
                </c:pt>
                <c:pt idx="184">
                  <c:v>3.2620735087322342E+22</c:v>
                </c:pt>
                <c:pt idx="185">
                  <c:v>3.2497358164443284E+22</c:v>
                </c:pt>
                <c:pt idx="186">
                  <c:v>3.2374383644115007E+22</c:v>
                </c:pt>
                <c:pt idx="187">
                  <c:v>3.2251810440352044E+22</c:v>
                </c:pt>
                <c:pt idx="188">
                  <c:v>3.2129637469413811E+22</c:v>
                </c:pt>
                <c:pt idx="189">
                  <c:v>3.2007863649801991E+22</c:v>
                </c:pt>
                <c:pt idx="190">
                  <c:v>3.1886487902257997E+22</c:v>
                </c:pt>
                <c:pt idx="191">
                  <c:v>3.1765509149759455E+22</c:v>
                </c:pt>
                <c:pt idx="192">
                  <c:v>3.1644926317516892E+22</c:v>
                </c:pt>
                <c:pt idx="193">
                  <c:v>3.152473833297225E+22</c:v>
                </c:pt>
                <c:pt idx="194">
                  <c:v>3.1404944125794686E+22</c:v>
                </c:pt>
                <c:pt idx="195">
                  <c:v>3.1285542627877935E+22</c:v>
                </c:pt>
                <c:pt idx="196">
                  <c:v>3.1166532773337702E+22</c:v>
                </c:pt>
                <c:pt idx="197">
                  <c:v>3.1047913498508899E+22</c:v>
                </c:pt>
                <c:pt idx="198">
                  <c:v>3.0929683741941814E+22</c:v>
                </c:pt>
                <c:pt idx="199">
                  <c:v>3.0811842444400045E+22</c:v>
                </c:pt>
                <c:pt idx="200">
                  <c:v>3.0694388548857416E+22</c:v>
                </c:pt>
                <c:pt idx="201">
                  <c:v>3.0577321000495015E+22</c:v>
                </c:pt>
                <c:pt idx="202">
                  <c:v>3.0460638746697821E+22</c:v>
                </c:pt>
                <c:pt idx="203">
                  <c:v>3.0344340737052698E+22</c:v>
                </c:pt>
                <c:pt idx="204">
                  <c:v>3.0228425923344718E+22</c:v>
                </c:pt>
                <c:pt idx="205">
                  <c:v>3.0112893259554602E+22</c:v>
                </c:pt>
                <c:pt idx="206">
                  <c:v>2.9997741701855674E+22</c:v>
                </c:pt>
                <c:pt idx="207">
                  <c:v>2.988297020861091E+22</c:v>
                </c:pt>
                <c:pt idx="208">
                  <c:v>2.9768577740370413E+22</c:v>
                </c:pt>
                <c:pt idx="209">
                  <c:v>2.9654563259867912E+22</c:v>
                </c:pt>
                <c:pt idx="210">
                  <c:v>2.9540925732018043E+22</c:v>
                </c:pt>
                <c:pt idx="211">
                  <c:v>2.9427664123914034E+22</c:v>
                </c:pt>
                <c:pt idx="212">
                  <c:v>2.9314777404823774E+22</c:v>
                </c:pt>
                <c:pt idx="213">
                  <c:v>2.9202264546187539E+22</c:v>
                </c:pt>
                <c:pt idx="214">
                  <c:v>2.9090124521615118E+22</c:v>
                </c:pt>
                <c:pt idx="215">
                  <c:v>2.897835630688287E+22</c:v>
                </c:pt>
                <c:pt idx="216">
                  <c:v>2.8866958879930261E+22</c:v>
                </c:pt>
                <c:pt idx="217">
                  <c:v>2.8755931220857548E+22</c:v>
                </c:pt>
                <c:pt idx="218">
                  <c:v>2.8645272311923126E+22</c:v>
                </c:pt>
                <c:pt idx="219">
                  <c:v>2.8534981137539566E+22</c:v>
                </c:pt>
                <c:pt idx="220">
                  <c:v>2.8425056684271691E+22</c:v>
                </c:pt>
                <c:pt idx="221">
                  <c:v>2.8315497940833437E+22</c:v>
                </c:pt>
                <c:pt idx="222">
                  <c:v>2.8206303898084785E+22</c:v>
                </c:pt>
                <c:pt idx="223">
                  <c:v>2.809747354902875E+22</c:v>
                </c:pt>
                <c:pt idx="224">
                  <c:v>2.7989005888808521E+22</c:v>
                </c:pt>
                <c:pt idx="225">
                  <c:v>2.7880899914705331E+22</c:v>
                </c:pt>
                <c:pt idx="226">
                  <c:v>2.7773154626134014E+22</c:v>
                </c:pt>
                <c:pt idx="227">
                  <c:v>2.7665769024641663E+22</c:v>
                </c:pt>
                <c:pt idx="228">
                  <c:v>2.7558742113903704E+22</c:v>
                </c:pt>
                <c:pt idx="229">
                  <c:v>2.7452072899721648E+22</c:v>
                </c:pt>
                <c:pt idx="230">
                  <c:v>2.7345760390019644E+22</c:v>
                </c:pt>
                <c:pt idx="231">
                  <c:v>2.7239803594841677E+22</c:v>
                </c:pt>
                <c:pt idx="232">
                  <c:v>2.7134201526349306E+22</c:v>
                </c:pt>
                <c:pt idx="233">
                  <c:v>2.7028953198817823E+22</c:v>
                </c:pt>
                <c:pt idx="234">
                  <c:v>2.6924057628633859E+22</c:v>
                </c:pt>
                <c:pt idx="235">
                  <c:v>2.6819513834292797E+22</c:v>
                </c:pt>
                <c:pt idx="236">
                  <c:v>2.671532083639518E+22</c:v>
                </c:pt>
                <c:pt idx="237">
                  <c:v>2.6611477657644075E+22</c:v>
                </c:pt>
                <c:pt idx="238">
                  <c:v>2.650798332284242E+22</c:v>
                </c:pt>
                <c:pt idx="239">
                  <c:v>2.6404836858890107E+22</c:v>
                </c:pt>
                <c:pt idx="240">
                  <c:v>2.6302037294780472E+22</c:v>
                </c:pt>
                <c:pt idx="241">
                  <c:v>2.6199583661598335E+22</c:v>
                </c:pt>
                <c:pt idx="242">
                  <c:v>2.6097474992516385E+22</c:v>
                </c:pt>
                <c:pt idx="243">
                  <c:v>2.5995710322792649E+22</c:v>
                </c:pt>
                <c:pt idx="244">
                  <c:v>2.5894288689767295E+22</c:v>
                </c:pt>
                <c:pt idx="245">
                  <c:v>2.5793209132860251E+22</c:v>
                </c:pt>
                <c:pt idx="246">
                  <c:v>2.5692470693567729E+22</c:v>
                </c:pt>
                <c:pt idx="247">
                  <c:v>2.5592072415459691E+22</c:v>
                </c:pt>
                <c:pt idx="248">
                  <c:v>2.54920133441769E+22</c:v>
                </c:pt>
                <c:pt idx="249">
                  <c:v>2.5392292527428021E+22</c:v>
                </c:pt>
                <c:pt idx="250">
                  <c:v>2.5292909014986789E+22</c:v>
                </c:pt>
                <c:pt idx="251">
                  <c:v>2.5193861858688728E+22</c:v>
                </c:pt>
                <c:pt idx="252">
                  <c:v>2.5095150112428956E+22</c:v>
                </c:pt>
                <c:pt idx="253">
                  <c:v>2.4996772832158731E+22</c:v>
                </c:pt>
                <c:pt idx="254">
                  <c:v>2.4898729075882894E+22</c:v>
                </c:pt>
                <c:pt idx="255">
                  <c:v>2.4801017903656689E+22</c:v>
                </c:pt>
                <c:pt idx="256">
                  <c:v>2.4703638377583287E+22</c:v>
                </c:pt>
                <c:pt idx="257">
                  <c:v>2.4606589561810446E+22</c:v>
                </c:pt>
                <c:pt idx="258">
                  <c:v>2.4509870522527761E+22</c:v>
                </c:pt>
                <c:pt idx="259">
                  <c:v>2.4413480327964302E+22</c:v>
                </c:pt>
                <c:pt idx="260">
                  <c:v>2.4317418048384884E+22</c:v>
                </c:pt>
                <c:pt idx="261">
                  <c:v>2.4221682756087718E+22</c:v>
                </c:pt>
                <c:pt idx="262">
                  <c:v>2.4126273525401564E+22</c:v>
                </c:pt>
                <c:pt idx="263">
                  <c:v>2.4031189432682498E+22</c:v>
                </c:pt>
                <c:pt idx="264">
                  <c:v>2.3936429556311332E+22</c:v>
                </c:pt>
                <c:pt idx="265">
                  <c:v>2.3841992976690653E+22</c:v>
                </c:pt>
                <c:pt idx="266">
                  <c:v>2.3747878776242052E+22</c:v>
                </c:pt>
                <c:pt idx="267">
                  <c:v>2.3654086039402919E+22</c:v>
                </c:pt>
                <c:pt idx="268">
                  <c:v>2.3560613852623944E+22</c:v>
                </c:pt>
                <c:pt idx="269">
                  <c:v>2.3467461304365961E+22</c:v>
                </c:pt>
                <c:pt idx="270">
                  <c:v>2.3374627485097486E+22</c:v>
                </c:pt>
                <c:pt idx="271">
                  <c:v>2.3282111487291142E+22</c:v>
                </c:pt>
                <c:pt idx="272">
                  <c:v>2.3189912405421586E+22</c:v>
                </c:pt>
                <c:pt idx="273">
                  <c:v>2.3098029335962045E+22</c:v>
                </c:pt>
                <c:pt idx="274">
                  <c:v>2.3006461377381745E+22</c:v>
                </c:pt>
                <c:pt idx="275">
                  <c:v>2.2915207630143023E+22</c:v>
                </c:pt>
                <c:pt idx="276">
                  <c:v>2.2824267196698171E+22</c:v>
                </c:pt>
                <c:pt idx="277">
                  <c:v>2.2733639181487063E+22</c:v>
                </c:pt>
                <c:pt idx="278">
                  <c:v>2.2643322690933828E+22</c:v>
                </c:pt>
                <c:pt idx="279">
                  <c:v>2.2553316833444309E+22</c:v>
                </c:pt>
                <c:pt idx="280">
                  <c:v>2.2463620719402914E+22</c:v>
                </c:pt>
                <c:pt idx="281">
                  <c:v>2.2374233461170138E+22</c:v>
                </c:pt>
                <c:pt idx="282">
                  <c:v>2.228515417307936E+22</c:v>
                </c:pt>
                <c:pt idx="283">
                  <c:v>2.2196381971433946E+22</c:v>
                </c:pt>
                <c:pt idx="284">
                  <c:v>2.2107915974504767E+22</c:v>
                </c:pt>
                <c:pt idx="285">
                  <c:v>2.2019755302526942E+22</c:v>
                </c:pt>
                <c:pt idx="286">
                  <c:v>2.1931899077697294E+22</c:v>
                </c:pt>
                <c:pt idx="287">
                  <c:v>2.1844346424171073E+22</c:v>
                </c:pt>
                <c:pt idx="288">
                  <c:v>2.175709646805971E+22</c:v>
                </c:pt>
                <c:pt idx="289">
                  <c:v>2.1670148337427439E+22</c:v>
                </c:pt>
                <c:pt idx="290">
                  <c:v>2.1583501162288622E+22</c:v>
                </c:pt>
                <c:pt idx="291">
                  <c:v>2.1497154074604829E+22</c:v>
                </c:pt>
                <c:pt idx="292">
                  <c:v>2.1411106208282302E+22</c:v>
                </c:pt>
                <c:pt idx="293">
                  <c:v>2.1325356699168518E+22</c:v>
                </c:pt>
                <c:pt idx="294">
                  <c:v>2.1239904685049877E+22</c:v>
                </c:pt>
                <c:pt idx="295">
                  <c:v>2.1154749305648721E+22</c:v>
                </c:pt>
                <c:pt idx="296">
                  <c:v>2.1069889702620199E+22</c:v>
                </c:pt>
                <c:pt idx="297">
                  <c:v>2.0985325019549651E+22</c:v>
                </c:pt>
                <c:pt idx="298">
                  <c:v>2.0901054401949945E+22</c:v>
                </c:pt>
                <c:pt idx="299">
                  <c:v>2.0817076997258182E+22</c:v>
                </c:pt>
                <c:pt idx="300">
                  <c:v>2.0733391954833243E+22</c:v>
                </c:pt>
                <c:pt idx="301">
                  <c:v>2.0649998425952675E+22</c:v>
                </c:pt>
                <c:pt idx="302">
                  <c:v>2.0566895563810212E+22</c:v>
                </c:pt>
                <c:pt idx="303">
                  <c:v>2.048408252351237E+22</c:v>
                </c:pt>
                <c:pt idx="304">
                  <c:v>2.0401558462075939E+22</c:v>
                </c:pt>
                <c:pt idx="305">
                  <c:v>2.0319322538425471E+22</c:v>
                </c:pt>
                <c:pt idx="306">
                  <c:v>2.0237373913389785E+22</c:v>
                </c:pt>
                <c:pt idx="307">
                  <c:v>2.0155711749699458E+22</c:v>
                </c:pt>
                <c:pt idx="308">
                  <c:v>2.007433521198406E+22</c:v>
                </c:pt>
                <c:pt idx="309">
                  <c:v>1.9993243466769338E+22</c:v>
                </c:pt>
                <c:pt idx="310">
                  <c:v>1.9912435682473887E+22</c:v>
                </c:pt>
                <c:pt idx="311">
                  <c:v>1.9831911029406997E+22</c:v>
                </c:pt>
                <c:pt idx="312">
                  <c:v>1.9751668679765519E+22</c:v>
                </c:pt>
                <c:pt idx="313">
                  <c:v>1.9671707807630882E+22</c:v>
                </c:pt>
                <c:pt idx="314">
                  <c:v>1.9592027588966499E+22</c:v>
                </c:pt>
                <c:pt idx="315">
                  <c:v>1.9512627201614807E+22</c:v>
                </c:pt>
                <c:pt idx="316">
                  <c:v>1.9433505825294687E+22</c:v>
                </c:pt>
                <c:pt idx="317">
                  <c:v>1.9354662641597982E+22</c:v>
                </c:pt>
                <c:pt idx="318">
                  <c:v>1.9276096833987495E+22</c:v>
                </c:pt>
                <c:pt idx="319">
                  <c:v>1.9197807587793729E+22</c:v>
                </c:pt>
                <c:pt idx="320">
                  <c:v>1.9119794090212055E+22</c:v>
                </c:pt>
                <c:pt idx="321">
                  <c:v>1.9042055530299836E+22</c:v>
                </c:pt>
                <c:pt idx="322">
                  <c:v>1.8964591098973963E+22</c:v>
                </c:pt>
                <c:pt idx="323">
                  <c:v>1.8887399989007606E+22</c:v>
                </c:pt>
                <c:pt idx="324">
                  <c:v>1.8810481395027486E+22</c:v>
                </c:pt>
                <c:pt idx="325">
                  <c:v>1.8733834513511468E+22</c:v>
                </c:pt>
                <c:pt idx="326">
                  <c:v>1.8657458542785247E+22</c:v>
                </c:pt>
                <c:pt idx="327">
                  <c:v>1.8581352683019713E+22</c:v>
                </c:pt>
                <c:pt idx="328">
                  <c:v>1.8505516136227918E+22</c:v>
                </c:pt>
                <c:pt idx="329">
                  <c:v>1.8429948106262914E+22</c:v>
                </c:pt>
                <c:pt idx="330">
                  <c:v>1.835464779881406E+22</c:v>
                </c:pt>
                <c:pt idx="331">
                  <c:v>1.8279614421404851E+22</c:v>
                </c:pt>
                <c:pt idx="332">
                  <c:v>1.8204847183389897E+22</c:v>
                </c:pt>
                <c:pt idx="333">
                  <c:v>1.8130345295952157E+22</c:v>
                </c:pt>
                <c:pt idx="334">
                  <c:v>1.8056107972099991E+22</c:v>
                </c:pt>
                <c:pt idx="335">
                  <c:v>1.7982134426664398E+22</c:v>
                </c:pt>
                <c:pt idx="336">
                  <c:v>1.7908423876296443E+22</c:v>
                </c:pt>
                <c:pt idx="337">
                  <c:v>1.7834975539464132E+22</c:v>
                </c:pt>
                <c:pt idx="338">
                  <c:v>1.7761788636449709E+22</c:v>
                </c:pt>
                <c:pt idx="339">
                  <c:v>1.7688862389347029E+22</c:v>
                </c:pt>
                <c:pt idx="340">
                  <c:v>1.761619602205856E+22</c:v>
                </c:pt>
                <c:pt idx="341">
                  <c:v>1.7543788760292615E+22</c:v>
                </c:pt>
                <c:pt idx="342">
                  <c:v>1.7471639831560493E+22</c:v>
                </c:pt>
                <c:pt idx="343">
                  <c:v>1.7399748465173899E+22</c:v>
                </c:pt>
                <c:pt idx="344">
                  <c:v>1.732811389224208E+22</c:v>
                </c:pt>
                <c:pt idx="345">
                  <c:v>1.7256735345668587E+22</c:v>
                </c:pt>
                <c:pt idx="346">
                  <c:v>1.7185612060149192E+22</c:v>
                </c:pt>
                <c:pt idx="347">
                  <c:v>1.7114743272168841E+22</c:v>
                </c:pt>
                <c:pt idx="348">
                  <c:v>1.7044128219998366E+22</c:v>
                </c:pt>
                <c:pt idx="349">
                  <c:v>1.6973766143692339E+22</c:v>
                </c:pt>
                <c:pt idx="350">
                  <c:v>1.6903656285086155E+22</c:v>
                </c:pt>
                <c:pt idx="351">
                  <c:v>1.6833797887792983E+22</c:v>
                </c:pt>
                <c:pt idx="352">
                  <c:v>1.6764190197201035E+22</c:v>
                </c:pt>
                <c:pt idx="353">
                  <c:v>1.6694832460471082E+22</c:v>
                </c:pt>
                <c:pt idx="354">
                  <c:v>1.6625723926533464E+22</c:v>
                </c:pt>
                <c:pt idx="355">
                  <c:v>1.6556863846085093E+22</c:v>
                </c:pt>
                <c:pt idx="356">
                  <c:v>1.6488251471586983E+22</c:v>
                </c:pt>
                <c:pt idx="357">
                  <c:v>1.641988605726152E+22</c:v>
                </c:pt>
                <c:pt idx="358">
                  <c:v>1.635176685908925E+22</c:v>
                </c:pt>
                <c:pt idx="359">
                  <c:v>1.6283893134806586E+22</c:v>
                </c:pt>
                <c:pt idx="360">
                  <c:v>1.6216264143902737E+22</c:v>
                </c:pt>
                <c:pt idx="361">
                  <c:v>1.6148879147617141E+22</c:v>
                </c:pt>
                <c:pt idx="362">
                  <c:v>1.608173740893634E+22</c:v>
                </c:pt>
                <c:pt idx="363">
                  <c:v>1.6014838192591597E+22</c:v>
                </c:pt>
                <c:pt idx="364">
                  <c:v>1.5948180765056046E+22</c:v>
                </c:pt>
                <c:pt idx="365">
                  <c:v>1.5881764394541607E+22</c:v>
                </c:pt>
                <c:pt idx="366">
                  <c:v>1.5815588350996569E+22</c:v>
                </c:pt>
                <c:pt idx="367">
                  <c:v>1.5749651906102737E+22</c:v>
                </c:pt>
                <c:pt idx="368">
                  <c:v>1.5683954333272683E+22</c:v>
                </c:pt>
                <c:pt idx="369">
                  <c:v>1.5618494907646638E+22</c:v>
                </c:pt>
                <c:pt idx="370">
                  <c:v>1.5553272906090308E+22</c:v>
                </c:pt>
                <c:pt idx="371">
                  <c:v>1.548828760719179E+22</c:v>
                </c:pt>
                <c:pt idx="372">
                  <c:v>1.5423538291258708E+22</c:v>
                </c:pt>
                <c:pt idx="373">
                  <c:v>1.5359024240315601E+22</c:v>
                </c:pt>
                <c:pt idx="374">
                  <c:v>1.5294744738101325E+22</c:v>
                </c:pt>
                <c:pt idx="375">
                  <c:v>1.5230699070065971E+22</c:v>
                </c:pt>
                <c:pt idx="376">
                  <c:v>1.5166886523368202E+22</c:v>
                </c:pt>
                <c:pt idx="377">
                  <c:v>1.5103306386872688E+22</c:v>
                </c:pt>
                <c:pt idx="378">
                  <c:v>1.5039957951147271E+22</c:v>
                </c:pt>
                <c:pt idx="379">
                  <c:v>1.4976840508459922E+22</c:v>
                </c:pt>
                <c:pt idx="380">
                  <c:v>1.4913953352776413E+22</c:v>
                </c:pt>
                <c:pt idx="381">
                  <c:v>1.4851295779757431E+22</c:v>
                </c:pt>
                <c:pt idx="382">
                  <c:v>1.4788867086755608E+22</c:v>
                </c:pt>
                <c:pt idx="383">
                  <c:v>1.4726666572813037E+22</c:v>
                </c:pt>
                <c:pt idx="384">
                  <c:v>1.466469353865851E+22</c:v>
                </c:pt>
                <c:pt idx="385">
                  <c:v>1.460294728670469E+22</c:v>
                </c:pt>
                <c:pt idx="386">
                  <c:v>1.4541427121045297E+22</c:v>
                </c:pt>
                <c:pt idx="387">
                  <c:v>1.4480132347452491E+22</c:v>
                </c:pt>
                <c:pt idx="388">
                  <c:v>1.4419062273374224E+22</c:v>
                </c:pt>
                <c:pt idx="389">
                  <c:v>1.4358216207931154E+22</c:v>
                </c:pt>
                <c:pt idx="390">
                  <c:v>1.4297593461914315E+22</c:v>
                </c:pt>
                <c:pt idx="391">
                  <c:v>1.4237193347782196E+22</c:v>
                </c:pt>
                <c:pt idx="392">
                  <c:v>1.4177015179657901E+22</c:v>
                </c:pt>
                <c:pt idx="393">
                  <c:v>1.4117058273326603E+22</c:v>
                </c:pt>
                <c:pt idx="394">
                  <c:v>1.4057321946232736E+22</c:v>
                </c:pt>
                <c:pt idx="395">
                  <c:v>1.3997805517477329E+22</c:v>
                </c:pt>
                <c:pt idx="396">
                  <c:v>1.3938508307815083E+22</c:v>
                </c:pt>
                <c:pt idx="397">
                  <c:v>1.3879429639651847E+22</c:v>
                </c:pt>
                <c:pt idx="398">
                  <c:v>1.3820568837041917E+22</c:v>
                </c:pt>
                <c:pt idx="399">
                  <c:v>1.3761925225685134E+22</c:v>
                </c:pt>
                <c:pt idx="400">
                  <c:v>1.3703498132924251E+22</c:v>
                </c:pt>
                <c:pt idx="401">
                  <c:v>1.3645286887742205E+22</c:v>
                </c:pt>
                <c:pt idx="402">
                  <c:v>1.358729082075957E+22</c:v>
                </c:pt>
                <c:pt idx="403">
                  <c:v>1.3529509264231454E+22</c:v>
                </c:pt>
                <c:pt idx="404">
                  <c:v>1.3471941552045109E+22</c:v>
                </c:pt>
                <c:pt idx="405">
                  <c:v>1.341458701971722E+22</c:v>
                </c:pt>
                <c:pt idx="406">
                  <c:v>1.3357445004390952E+22</c:v>
                </c:pt>
                <c:pt idx="407">
                  <c:v>1.3300514844833424E+22</c:v>
                </c:pt>
                <c:pt idx="408">
                  <c:v>1.3243795881432942E+22</c:v>
                </c:pt>
                <c:pt idx="409">
                  <c:v>1.3187287456196384E+22</c:v>
                </c:pt>
                <c:pt idx="410">
                  <c:v>1.3130988912746298E+22</c:v>
                </c:pt>
                <c:pt idx="411">
                  <c:v>1.3074899596318398E+22</c:v>
                </c:pt>
                <c:pt idx="412">
                  <c:v>1.3019018853758766E+22</c:v>
                </c:pt>
                <c:pt idx="413">
                  <c:v>1.2963346033521143E+22</c:v>
                </c:pt>
                <c:pt idx="414">
                  <c:v>1.2907880485664246E+22</c:v>
                </c:pt>
                <c:pt idx="415">
                  <c:v>1.2852621561849086E+22</c:v>
                </c:pt>
                <c:pt idx="416">
                  <c:v>1.2797568615336267E+22</c:v>
                </c:pt>
                <c:pt idx="417">
                  <c:v>1.274272100098326E+22</c:v>
                </c:pt>
                <c:pt idx="418">
                  <c:v>1.2688078075241731E+22</c:v>
                </c:pt>
                <c:pt idx="419">
                  <c:v>1.2633639196154902E+22</c:v>
                </c:pt>
                <c:pt idx="420">
                  <c:v>1.2579403723354732E+22</c:v>
                </c:pt>
                <c:pt idx="421">
                  <c:v>1.252537101805935E+22</c:v>
                </c:pt>
                <c:pt idx="422">
                  <c:v>1.2471540443070314E+22</c:v>
                </c:pt>
                <c:pt idx="423">
                  <c:v>1.2417911362769933E+22</c:v>
                </c:pt>
                <c:pt idx="424">
                  <c:v>1.2364483143118587E+22</c:v>
                </c:pt>
                <c:pt idx="425">
                  <c:v>1.231125515165205E+22</c:v>
                </c:pt>
                <c:pt idx="426">
                  <c:v>1.2258226757478723E+22</c:v>
                </c:pt>
                <c:pt idx="427">
                  <c:v>1.2205397331277215E+22</c:v>
                </c:pt>
                <c:pt idx="428">
                  <c:v>1.2152766245293263E+22</c:v>
                </c:pt>
                <c:pt idx="429">
                  <c:v>1.2100332873337465E+22</c:v>
                </c:pt>
                <c:pt idx="430">
                  <c:v>1.204809659078228E+22</c:v>
                </c:pt>
                <c:pt idx="431">
                  <c:v>1.1996056774559605E+22</c:v>
                </c:pt>
                <c:pt idx="432">
                  <c:v>1.1944212803157873E+22</c:v>
                </c:pt>
                <c:pt idx="433">
                  <c:v>1.1892564056619614E+22</c:v>
                </c:pt>
                <c:pt idx="434">
                  <c:v>1.1841109916538641E+22</c:v>
                </c:pt>
                <c:pt idx="435">
                  <c:v>1.1789849766057361E+22</c:v>
                </c:pt>
                <c:pt idx="436">
                  <c:v>1.1738782989864277E+22</c:v>
                </c:pt>
                <c:pt idx="437">
                  <c:v>1.1687908974191144E+22</c:v>
                </c:pt>
                <c:pt idx="438">
                  <c:v>1.1637227106810395E+22</c:v>
                </c:pt>
                <c:pt idx="439">
                  <c:v>1.158673677703246E+22</c:v>
                </c:pt>
                <c:pt idx="440">
                  <c:v>1.1536437375703175E+22</c:v>
                </c:pt>
                <c:pt idx="441">
                  <c:v>1.1486328295200987E+22</c:v>
                </c:pt>
                <c:pt idx="442">
                  <c:v>1.1436408929434435E+22</c:v>
                </c:pt>
                <c:pt idx="443">
                  <c:v>1.1386678673839428E+22</c:v>
                </c:pt>
                <c:pt idx="444">
                  <c:v>1.1337136925376642E+22</c:v>
                </c:pt>
                <c:pt idx="445">
                  <c:v>1.1287783082528818E+22</c:v>
                </c:pt>
                <c:pt idx="446">
                  <c:v>1.1238616545298099E+22</c:v>
                </c:pt>
                <c:pt idx="447">
                  <c:v>1.118963671520347E+22</c:v>
                </c:pt>
                <c:pt idx="448">
                  <c:v>1.1140842995278062E+22</c:v>
                </c:pt>
                <c:pt idx="449">
                  <c:v>1.1092234790066503E+22</c:v>
                </c:pt>
                <c:pt idx="450">
                  <c:v>1.1043811505622273E+22</c:v>
                </c:pt>
                <c:pt idx="451">
                  <c:v>1.0995572549505144E+22</c:v>
                </c:pt>
                <c:pt idx="452">
                  <c:v>1.094751733077842E+22</c:v>
                </c:pt>
                <c:pt idx="453">
                  <c:v>1.0899645260006355E+22</c:v>
                </c:pt>
                <c:pt idx="454">
                  <c:v>1.0851955749251581E+22</c:v>
                </c:pt>
                <c:pt idx="455">
                  <c:v>1.0804448212072375E+22</c:v>
                </c:pt>
                <c:pt idx="456">
                  <c:v>1.0757122063520118E+22</c:v>
                </c:pt>
                <c:pt idx="457">
                  <c:v>1.0709976720136561E+22</c:v>
                </c:pt>
                <c:pt idx="458">
                  <c:v>1.0663011599951371E+22</c:v>
                </c:pt>
                <c:pt idx="459">
                  <c:v>1.0616226122479304E+22</c:v>
                </c:pt>
                <c:pt idx="460">
                  <c:v>1.056961970871766E+22</c:v>
                </c:pt>
                <c:pt idx="461">
                  <c:v>1.0523191781143779E+22</c:v>
                </c:pt>
                <c:pt idx="462">
                  <c:v>1.0476941763712268E+22</c:v>
                </c:pt>
                <c:pt idx="463">
                  <c:v>1.0430869081852408E+22</c:v>
                </c:pt>
                <c:pt idx="464">
                  <c:v>1.0384973162465594E+22</c:v>
                </c:pt>
                <c:pt idx="465">
                  <c:v>1.0339253433922727E+22</c:v>
                </c:pt>
                <c:pt idx="466">
                  <c:v>1.0293709326061555E+22</c:v>
                </c:pt>
                <c:pt idx="467">
                  <c:v>1.0248340270183982E+22</c:v>
                </c:pt>
                <c:pt idx="468">
                  <c:v>1.0203145699053705E+22</c:v>
                </c:pt>
                <c:pt idx="469">
                  <c:v>1.0158125046893377E+22</c:v>
                </c:pt>
                <c:pt idx="470">
                  <c:v>1.0113277749382066E+22</c:v>
                </c:pt>
                <c:pt idx="471">
                  <c:v>1.0068603243652706E+22</c:v>
                </c:pt>
                <c:pt idx="472">
                  <c:v>1.0024100968289461E+22</c:v>
                </c:pt>
                <c:pt idx="473">
                  <c:v>9.9797703633251231E+21</c:v>
                </c:pt>
                <c:pt idx="474">
                  <c:v>9.9356108702384369E+21</c:v>
                </c:pt>
                <c:pt idx="475">
                  <c:v>9.8916219319517278E+21</c:v>
                </c:pt>
                <c:pt idx="476">
                  <c:v>9.8478029928280611E+21</c:v>
                </c:pt>
                <c:pt idx="477">
                  <c:v>9.8041534986686992E+21</c:v>
                </c:pt>
                <c:pt idx="478">
                  <c:v>9.7606728967107075E+21</c:v>
                </c:pt>
                <c:pt idx="479">
                  <c:v>9.7173606356241539E+21</c:v>
                </c:pt>
                <c:pt idx="480">
                  <c:v>9.6742161655095865E+21</c:v>
                </c:pt>
                <c:pt idx="481">
                  <c:v>9.63123893789542E+21</c:v>
                </c:pt>
                <c:pt idx="482">
                  <c:v>9.5884284057354513E+21</c:v>
                </c:pt>
                <c:pt idx="483">
                  <c:v>9.5457840234062099E+21</c:v>
                </c:pt>
                <c:pt idx="484">
                  <c:v>9.5033052467042787E+21</c:v>
                </c:pt>
                <c:pt idx="485">
                  <c:v>9.4609915328439695E+21</c:v>
                </c:pt>
                <c:pt idx="486">
                  <c:v>9.4188423404545229E+21</c:v>
                </c:pt>
                <c:pt idx="487">
                  <c:v>9.3768571295776396E+21</c:v>
                </c:pt>
                <c:pt idx="488">
                  <c:v>9.3350353616647959E+21</c:v>
                </c:pt>
                <c:pt idx="489">
                  <c:v>9.2933764995749123E+21</c:v>
                </c:pt>
                <c:pt idx="490">
                  <c:v>9.2518800075715322E+21</c:v>
                </c:pt>
                <c:pt idx="491">
                  <c:v>9.2105453513203138E+21</c:v>
                </c:pt>
                <c:pt idx="492">
                  <c:v>9.1693719978866471E+21</c:v>
                </c:pt>
                <c:pt idx="493">
                  <c:v>9.1283594157328528E+21</c:v>
                </c:pt>
                <c:pt idx="494">
                  <c:v>9.0875070747157474E+21</c:v>
                </c:pt>
                <c:pt idx="495">
                  <c:v>9.046814446084085E+21</c:v>
                </c:pt>
                <c:pt idx="496">
                  <c:v>9.0062810024759725E+21</c:v>
                </c:pt>
                <c:pt idx="497">
                  <c:v>8.9659062179163412E+21</c:v>
                </c:pt>
                <c:pt idx="498">
                  <c:v>8.9256895678142879E+21</c:v>
                </c:pt>
                <c:pt idx="499">
                  <c:v>8.8856305289607187E+21</c:v>
                </c:pt>
                <c:pt idx="500">
                  <c:v>8.8457285795256509E+21</c:v>
                </c:pt>
                <c:pt idx="501">
                  <c:v>8.8059831990557197E+21</c:v>
                </c:pt>
                <c:pt idx="502">
                  <c:v>8.7663938684715973E+21</c:v>
                </c:pt>
                <c:pt idx="503">
                  <c:v>8.7269600700655322E+21</c:v>
                </c:pt>
                <c:pt idx="504">
                  <c:v>8.6876812874987371E+21</c:v>
                </c:pt>
                <c:pt idx="505">
                  <c:v>8.6485570057988074E+21</c:v>
                </c:pt>
                <c:pt idx="506">
                  <c:v>8.6095867113573345E+21</c:v>
                </c:pt>
                <c:pt idx="507">
                  <c:v>8.5707698919272297E+21</c:v>
                </c:pt>
                <c:pt idx="508">
                  <c:v>8.5321060366202826E+21</c:v>
                </c:pt>
                <c:pt idx="509">
                  <c:v>8.4935946359045263E+21</c:v>
                </c:pt>
                <c:pt idx="510">
                  <c:v>8.4552351816019073E+21</c:v>
                </c:pt>
                <c:pt idx="511">
                  <c:v>8.4170271668854556E+21</c:v>
                </c:pt>
                <c:pt idx="512">
                  <c:v>8.3789700862770351E+21</c:v>
                </c:pt>
                <c:pt idx="513">
                  <c:v>8.3410634356447259E+21</c:v>
                </c:pt>
                <c:pt idx="514">
                  <c:v>8.3033067122002839E+21</c:v>
                </c:pt>
                <c:pt idx="515">
                  <c:v>8.2656994144965687E+21</c:v>
                </c:pt>
                <c:pt idx="516">
                  <c:v>8.2282410424251795E+21</c:v>
                </c:pt>
                <c:pt idx="517">
                  <c:v>8.1909310972138587E+21</c:v>
                </c:pt>
                <c:pt idx="518">
                  <c:v>8.1537690814238708E+21</c:v>
                </c:pt>
                <c:pt idx="519">
                  <c:v>8.1167544989476863E+21</c:v>
                </c:pt>
                <c:pt idx="520">
                  <c:v>8.0798868550063835E+21</c:v>
                </c:pt>
                <c:pt idx="521">
                  <c:v>8.0431656561471075E+21</c:v>
                </c:pt>
                <c:pt idx="522">
                  <c:v>8.0065904102405843E+21</c:v>
                </c:pt>
                <c:pt idx="523">
                  <c:v>7.9701606264786597E+21</c:v>
                </c:pt>
                <c:pt idx="524">
                  <c:v>7.9338758153718538E+21</c:v>
                </c:pt>
                <c:pt idx="525">
                  <c:v>7.8977354887466205E+21</c:v>
                </c:pt>
                <c:pt idx="526">
                  <c:v>7.8617391597430904E+21</c:v>
                </c:pt>
                <c:pt idx="527">
                  <c:v>7.8258863428125998E+21</c:v>
                </c:pt>
                <c:pt idx="528">
                  <c:v>7.790176553714917E+21</c:v>
                </c:pt>
                <c:pt idx="529">
                  <c:v>7.7546093095160308E+21</c:v>
                </c:pt>
                <c:pt idx="530">
                  <c:v>7.7191841285856087E+21</c:v>
                </c:pt>
                <c:pt idx="531">
                  <c:v>7.6839005305943905E+21</c:v>
                </c:pt>
                <c:pt idx="532">
                  <c:v>7.6487580365118148E+21</c:v>
                </c:pt>
                <c:pt idx="533">
                  <c:v>7.6137561686034717E+21</c:v>
                </c:pt>
                <c:pt idx="534">
                  <c:v>7.5788944504287585E+21</c:v>
                </c:pt>
                <c:pt idx="535">
                  <c:v>7.5441724068381631E+21</c:v>
                </c:pt>
                <c:pt idx="536">
                  <c:v>7.5095895639709933E+21</c:v>
                </c:pt>
                <c:pt idx="537">
                  <c:v>7.4751454492528728E+21</c:v>
                </c:pt>
                <c:pt idx="538">
                  <c:v>7.4408395913931574E+21</c:v>
                </c:pt>
                <c:pt idx="539">
                  <c:v>7.4066715203826132E+21</c:v>
                </c:pt>
                <c:pt idx="540">
                  <c:v>7.3726407674908021E+21</c:v>
                </c:pt>
                <c:pt idx="541">
                  <c:v>7.3387468652637963E+21</c:v>
                </c:pt>
                <c:pt idx="542">
                  <c:v>7.3049893475214877E+21</c:v>
                </c:pt>
                <c:pt idx="543">
                  <c:v>7.2713677493553322E+21</c:v>
                </c:pt>
                <c:pt idx="544">
                  <c:v>7.2378816071258352E+21</c:v>
                </c:pt>
                <c:pt idx="545">
                  <c:v>7.2045304584599587E+21</c:v>
                </c:pt>
                <c:pt idx="546">
                  <c:v>7.1713138422489127E+21</c:v>
                </c:pt>
                <c:pt idx="547">
                  <c:v>7.1382312986454629E+21</c:v>
                </c:pt>
                <c:pt idx="548">
                  <c:v>7.1052823690616704E+21</c:v>
                </c:pt>
                <c:pt idx="549">
                  <c:v>7.0724665961662864E+21</c:v>
                </c:pt>
                <c:pt idx="550">
                  <c:v>7.0397835238824194E+21</c:v>
                </c:pt>
                <c:pt idx="551">
                  <c:v>7.0072326973850827E+21</c:v>
                </c:pt>
                <c:pt idx="552">
                  <c:v>6.97481366309864E+21</c:v>
                </c:pt>
                <c:pt idx="553">
                  <c:v>6.9425259686945337E+21</c:v>
                </c:pt>
                <c:pt idx="554">
                  <c:v>6.9103691630887022E+21</c:v>
                </c:pt>
                <c:pt idx="555">
                  <c:v>6.8783427964392891E+21</c:v>
                </c:pt>
                <c:pt idx="556">
                  <c:v>6.8464464201440014E+21</c:v>
                </c:pt>
                <c:pt idx="557">
                  <c:v>6.8146795868378932E+21</c:v>
                </c:pt>
                <c:pt idx="558">
                  <c:v>6.7830418503908721E+21</c:v>
                </c:pt>
                <c:pt idx="559">
                  <c:v>6.7515327659051508E+21</c:v>
                </c:pt>
                <c:pt idx="560">
                  <c:v>6.720151889713009E+21</c:v>
                </c:pt>
                <c:pt idx="561">
                  <c:v>6.6888987793742532E+21</c:v>
                </c:pt>
                <c:pt idx="562">
                  <c:v>6.6577729936738254E+21</c:v>
                </c:pt>
                <c:pt idx="563">
                  <c:v>6.6267740926193948E+21</c:v>
                </c:pt>
                <c:pt idx="564">
                  <c:v>6.5959016374389178E+21</c:v>
                </c:pt>
                <c:pt idx="565">
                  <c:v>6.5651551905782925E+21</c:v>
                </c:pt>
                <c:pt idx="566">
                  <c:v>6.5345343156988223E+21</c:v>
                </c:pt>
                <c:pt idx="567">
                  <c:v>6.5040385776749516E+21</c:v>
                </c:pt>
                <c:pt idx="568">
                  <c:v>6.4736675425917568E+21</c:v>
                </c:pt>
                <c:pt idx="569">
                  <c:v>6.4434207777425845E+21</c:v>
                </c:pt>
                <c:pt idx="570">
                  <c:v>6.4132978516266498E+21</c:v>
                </c:pt>
                <c:pt idx="571">
                  <c:v>6.3832983339465787E+21</c:v>
                </c:pt>
                <c:pt idx="572">
                  <c:v>6.3534217956061579E+21</c:v>
                </c:pt>
                <c:pt idx="573">
                  <c:v>6.3236678087077318E+21</c:v>
                </c:pt>
                <c:pt idx="574">
                  <c:v>6.2940359465499749E+21</c:v>
                </c:pt>
                <c:pt idx="575">
                  <c:v>6.2645257836254504E+21</c:v>
                </c:pt>
                <c:pt idx="576">
                  <c:v>6.2351368956181857E+21</c:v>
                </c:pt>
                <c:pt idx="577">
                  <c:v>6.2058688594013344E+21</c:v>
                </c:pt>
                <c:pt idx="578">
                  <c:v>6.1767212530347687E+21</c:v>
                </c:pt>
                <c:pt idx="579">
                  <c:v>6.1476936557626822E+21</c:v>
                </c:pt>
                <c:pt idx="580">
                  <c:v>6.118785648011278E+21</c:v>
                </c:pt>
                <c:pt idx="581">
                  <c:v>6.0899968113862613E+21</c:v>
                </c:pt>
                <c:pt idx="582">
                  <c:v>6.0613267286706472E+21</c:v>
                </c:pt>
                <c:pt idx="583">
                  <c:v>6.03277498382221E+21</c:v>
                </c:pt>
                <c:pt idx="584">
                  <c:v>6.0043411619712095E+21</c:v>
                </c:pt>
                <c:pt idx="585">
                  <c:v>5.9760248494179997E+21</c:v>
                </c:pt>
                <c:pt idx="586">
                  <c:v>5.9478256336306774E+21</c:v>
                </c:pt>
                <c:pt idx="587">
                  <c:v>5.9197431032426843E+21</c:v>
                </c:pt>
                <c:pt idx="588">
                  <c:v>5.8917768480504582E+21</c:v>
                </c:pt>
                <c:pt idx="589">
                  <c:v>5.8639264590111242E+21</c:v>
                </c:pt>
                <c:pt idx="590">
                  <c:v>5.8361915282400634E+21</c:v>
                </c:pt>
                <c:pt idx="591">
                  <c:v>5.8085716490085854E+21</c:v>
                </c:pt>
                <c:pt idx="592">
                  <c:v>5.7810664157415882E+21</c:v>
                </c:pt>
                <c:pt idx="593">
                  <c:v>5.7536754240152006E+21</c:v>
                </c:pt>
                <c:pt idx="594">
                  <c:v>5.7263982705544297E+21</c:v>
                </c:pt>
                <c:pt idx="595">
                  <c:v>5.699234553230817E+21</c:v>
                </c:pt>
                <c:pt idx="596">
                  <c:v>5.6721838710600908E+21</c:v>
                </c:pt>
                <c:pt idx="597">
                  <c:v>5.645245824199835E+21</c:v>
                </c:pt>
                <c:pt idx="598">
                  <c:v>5.6184200139471627E+21</c:v>
                </c:pt>
                <c:pt idx="599">
                  <c:v>5.5917060427363469E+21</c:v>
                </c:pt>
                <c:pt idx="600">
                  <c:v>5.5651035141364913E+21</c:v>
                </c:pt>
                <c:pt idx="601">
                  <c:v>5.5386120328492257E+21</c:v>
                </c:pt>
                <c:pt idx="602">
                  <c:v>5.5122312047063602E+21</c:v>
                </c:pt>
                <c:pt idx="603">
                  <c:v>5.4859606366675513E+21</c:v>
                </c:pt>
                <c:pt idx="604">
                  <c:v>5.4597999368179684E+21</c:v>
                </c:pt>
                <c:pt idx="605">
                  <c:v>5.4337487143660358E+21</c:v>
                </c:pt>
                <c:pt idx="606">
                  <c:v>5.4078065796410119E+21</c:v>
                </c:pt>
                <c:pt idx="607">
                  <c:v>5.3819731440907416E+21</c:v>
                </c:pt>
                <c:pt idx="608">
                  <c:v>5.3562480202793322E+21</c:v>
                </c:pt>
                <c:pt idx="609">
                  <c:v>5.3306308218848071E+21</c:v>
                </c:pt>
                <c:pt idx="610">
                  <c:v>5.3051211636968417E+21</c:v>
                </c:pt>
                <c:pt idx="611">
                  <c:v>5.2797186616144094E+21</c:v>
                </c:pt>
                <c:pt idx="612">
                  <c:v>5.2544229326435291E+21</c:v>
                </c:pt>
                <c:pt idx="613">
                  <c:v>5.2292335948948602E+21</c:v>
                </c:pt>
                <c:pt idx="614">
                  <c:v>5.2041502675815671E+21</c:v>
                </c:pt>
                <c:pt idx="615">
                  <c:v>5.1791725710168503E+21</c:v>
                </c:pt>
                <c:pt idx="616">
                  <c:v>5.1543001266117547E+21</c:v>
                </c:pt>
                <c:pt idx="617">
                  <c:v>5.1295325568728176E+21</c:v>
                </c:pt>
                <c:pt idx="618">
                  <c:v>5.1048694853998142E+21</c:v>
                </c:pt>
                <c:pt idx="619">
                  <c:v>5.0803105368835023E+21</c:v>
                </c:pt>
                <c:pt idx="620">
                  <c:v>5.0558553371031907E+21</c:v>
                </c:pt>
                <c:pt idx="621">
                  <c:v>5.0315035129246353E+21</c:v>
                </c:pt>
                <c:pt idx="622">
                  <c:v>5.0072546922976552E+21</c:v>
                </c:pt>
                <c:pt idx="623">
                  <c:v>4.9831085042538381E+21</c:v>
                </c:pt>
                <c:pt idx="624">
                  <c:v>4.9590645789043311E+21</c:v>
                </c:pt>
                <c:pt idx="625">
                  <c:v>4.9351225474375127E+21</c:v>
                </c:pt>
                <c:pt idx="626">
                  <c:v>4.9112820421167541E+21</c:v>
                </c:pt>
                <c:pt idx="627">
                  <c:v>4.887542696278099E+21</c:v>
                </c:pt>
                <c:pt idx="628">
                  <c:v>4.86390414432806E+21</c:v>
                </c:pt>
                <c:pt idx="629">
                  <c:v>4.8403660217413198E+21</c:v>
                </c:pt>
                <c:pt idx="630">
                  <c:v>4.8169279650584173E+21</c:v>
                </c:pt>
                <c:pt idx="631">
                  <c:v>4.7935896118836247E+21</c:v>
                </c:pt>
                <c:pt idx="632">
                  <c:v>4.7703506008825303E+21</c:v>
                </c:pt>
                <c:pt idx="633">
                  <c:v>4.7472105717798734E+21</c:v>
                </c:pt>
                <c:pt idx="634">
                  <c:v>4.7241691653572846E+21</c:v>
                </c:pt>
                <c:pt idx="635">
                  <c:v>4.7012260234510289E+21</c:v>
                </c:pt>
                <c:pt idx="636">
                  <c:v>4.678380788949736E+21</c:v>
                </c:pt>
                <c:pt idx="637">
                  <c:v>4.6556331057921304E+21</c:v>
                </c:pt>
                <c:pt idx="638">
                  <c:v>4.6329826189648981E+21</c:v>
                </c:pt>
                <c:pt idx="639">
                  <c:v>4.6104289745003128E+21</c:v>
                </c:pt>
                <c:pt idx="640">
                  <c:v>4.5879718194740886E+21</c:v>
                </c:pt>
                <c:pt idx="641">
                  <c:v>4.5656108020030762E+21</c:v>
                </c:pt>
                <c:pt idx="642">
                  <c:v>4.5433455712431049E+21</c:v>
                </c:pt>
                <c:pt idx="643">
                  <c:v>4.5211757773866853E+21</c:v>
                </c:pt>
                <c:pt idx="644">
                  <c:v>4.4991010716607804E+21</c:v>
                </c:pt>
                <c:pt idx="645">
                  <c:v>4.4771211063246334E+21</c:v>
                </c:pt>
                <c:pt idx="646">
                  <c:v>4.4552355346675275E+21</c:v>
                </c:pt>
                <c:pt idx="647">
                  <c:v>4.4334440110064654E+21</c:v>
                </c:pt>
                <c:pt idx="648">
                  <c:v>4.4117461906841209E+21</c:v>
                </c:pt>
                <c:pt idx="649">
                  <c:v>4.3901417300664931E+21</c:v>
                </c:pt>
                <c:pt idx="650">
                  <c:v>4.3686302865407497E+21</c:v>
                </c:pt>
                <c:pt idx="651">
                  <c:v>4.3472115185129368E+21</c:v>
                </c:pt>
                <c:pt idx="652">
                  <c:v>4.3258850854058999E+21</c:v>
                </c:pt>
                <c:pt idx="653">
                  <c:v>4.3046506476569824E+21</c:v>
                </c:pt>
                <c:pt idx="654">
                  <c:v>4.2835078667158086E+21</c:v>
                </c:pt>
                <c:pt idx="655">
                  <c:v>4.2624564050421613E+21</c:v>
                </c:pt>
                <c:pt idx="656">
                  <c:v>4.2414959261036986E+21</c:v>
                </c:pt>
                <c:pt idx="657">
                  <c:v>4.2206260943738566E+21</c:v>
                </c:pt>
                <c:pt idx="658">
                  <c:v>4.1998465753294947E+21</c:v>
                </c:pt>
                <c:pt idx="659">
                  <c:v>4.17915703544889E+21</c:v>
                </c:pt>
                <c:pt idx="660">
                  <c:v>4.1585571422094146E+21</c:v>
                </c:pt>
                <c:pt idx="661">
                  <c:v>4.1380465640853749E+21</c:v>
                </c:pt>
                <c:pt idx="662">
                  <c:v>4.1176249705458964E+21</c:v>
                </c:pt>
                <c:pt idx="663">
                  <c:v>4.0972920320526432E+21</c:v>
                </c:pt>
                <c:pt idx="664">
                  <c:v>4.0770474200576966E+21</c:v>
                </c:pt>
                <c:pt idx="665">
                  <c:v>4.056890807001358E+21</c:v>
                </c:pt>
                <c:pt idx="666">
                  <c:v>4.0368218663099921E+21</c:v>
                </c:pt>
                <c:pt idx="667">
                  <c:v>4.0168402723938448E+21</c:v>
                </c:pt>
                <c:pt idx="668">
                  <c:v>3.9969457006448235E+21</c:v>
                </c:pt>
                <c:pt idx="669">
                  <c:v>3.9771378274344365E+21</c:v>
                </c:pt>
                <c:pt idx="670">
                  <c:v>3.9574163301115285E+21</c:v>
                </c:pt>
                <c:pt idx="671">
                  <c:v>3.9377808870001795E+21</c:v>
                </c:pt>
                <c:pt idx="672">
                  <c:v>3.9182311773974949E+21</c:v>
                </c:pt>
                <c:pt idx="673">
                  <c:v>3.8987668815715117E+21</c:v>
                </c:pt>
                <c:pt idx="674">
                  <c:v>3.8793876807589843E+21</c:v>
                </c:pt>
                <c:pt idx="675">
                  <c:v>3.8600932571632343E+21</c:v>
                </c:pt>
                <c:pt idx="676">
                  <c:v>3.8408832939520725E+21</c:v>
                </c:pt>
                <c:pt idx="677">
                  <c:v>3.8217574752555594E+21</c:v>
                </c:pt>
                <c:pt idx="678">
                  <c:v>3.8027154861639147E+21</c:v>
                </c:pt>
                <c:pt idx="679">
                  <c:v>3.7837570127253518E+21</c:v>
                </c:pt>
                <c:pt idx="680">
                  <c:v>3.7648817419439781E+21</c:v>
                </c:pt>
                <c:pt idx="681">
                  <c:v>3.7460893617775884E+21</c:v>
                </c:pt>
                <c:pt idx="682">
                  <c:v>3.7273795611355665E+21</c:v>
                </c:pt>
                <c:pt idx="683">
                  <c:v>3.7087520298768028E+21</c:v>
                </c:pt>
                <c:pt idx="684">
                  <c:v>3.6902064588074768E+21</c:v>
                </c:pt>
                <c:pt idx="685">
                  <c:v>3.6717425396789758E+21</c:v>
                </c:pt>
                <c:pt idx="686">
                  <c:v>3.6533599651857684E+21</c:v>
                </c:pt>
                <c:pt idx="687">
                  <c:v>3.6350584289632993E+21</c:v>
                </c:pt>
                <c:pt idx="688">
                  <c:v>3.6168376255858066E+21</c:v>
                </c:pt>
                <c:pt idx="689">
                  <c:v>3.5986972505642631E+21</c:v>
                </c:pt>
                <c:pt idx="690">
                  <c:v>3.5806370003442802E+21</c:v>
                </c:pt>
                <c:pt idx="691">
                  <c:v>3.5626565723039371E+21</c:v>
                </c:pt>
                <c:pt idx="692">
                  <c:v>3.5447556647516551E+21</c:v>
                </c:pt>
                <c:pt idx="693">
                  <c:v>3.526933976924203E+21</c:v>
                </c:pt>
                <c:pt idx="694">
                  <c:v>3.5091912089844963E+21</c:v>
                </c:pt>
                <c:pt idx="695">
                  <c:v>3.4915270620195015E+21</c:v>
                </c:pt>
                <c:pt idx="696">
                  <c:v>3.4739412380381683E+21</c:v>
                </c:pt>
                <c:pt idx="697">
                  <c:v>3.4564334399693468E+21</c:v>
                </c:pt>
                <c:pt idx="698">
                  <c:v>3.4390033716596258E+21</c:v>
                </c:pt>
                <c:pt idx="699">
                  <c:v>3.42165073787131E+21</c:v>
                </c:pt>
                <c:pt idx="700">
                  <c:v>3.4043752442802985E+21</c:v>
                </c:pt>
                <c:pt idx="701">
                  <c:v>3.387176597474039E+21</c:v>
                </c:pt>
                <c:pt idx="702">
                  <c:v>3.3700545049493499E+21</c:v>
                </c:pt>
                <c:pt idx="703">
                  <c:v>3.3530086751104312E+21</c:v>
                </c:pt>
                <c:pt idx="704">
                  <c:v>3.3360388172667803E+21</c:v>
                </c:pt>
                <c:pt idx="705">
                  <c:v>3.3191446416310461E+21</c:v>
                </c:pt>
                <c:pt idx="706">
                  <c:v>3.3023258593170198E+21</c:v>
                </c:pt>
                <c:pt idx="707">
                  <c:v>3.2855821823375515E+21</c:v>
                </c:pt>
                <c:pt idx="708">
                  <c:v>3.2689133236024928E+21</c:v>
                </c:pt>
                <c:pt idx="709">
                  <c:v>3.252318996916561E+21</c:v>
                </c:pt>
                <c:pt idx="710">
                  <c:v>3.2357989169773643E+21</c:v>
                </c:pt>
                <c:pt idx="711">
                  <c:v>3.2193527993733281E+21</c:v>
                </c:pt>
                <c:pt idx="712">
                  <c:v>3.2029803605815701E+21</c:v>
                </c:pt>
                <c:pt idx="713">
                  <c:v>3.186681317965911E+21</c:v>
                </c:pt>
                <c:pt idx="714">
                  <c:v>3.1704553897748222E+21</c:v>
                </c:pt>
                <c:pt idx="715">
                  <c:v>3.1543022951393159E+21</c:v>
                </c:pt>
                <c:pt idx="716">
                  <c:v>3.1382217540709709E+21</c:v>
                </c:pt>
                <c:pt idx="717">
                  <c:v>3.1222134874598361E+21</c:v>
                </c:pt>
                <c:pt idx="718">
                  <c:v>3.1062772170724276E+21</c:v>
                </c:pt>
                <c:pt idx="719">
                  <c:v>3.0904126655496438E+21</c:v>
                </c:pt>
                <c:pt idx="720">
                  <c:v>3.0746195564047536E+21</c:v>
                </c:pt>
                <c:pt idx="721">
                  <c:v>3.0588976140213955E+21</c:v>
                </c:pt>
                <c:pt idx="722">
                  <c:v>3.0432465636514668E+21</c:v>
                </c:pt>
                <c:pt idx="723">
                  <c:v>3.0276661314131811E+21</c:v>
                </c:pt>
                <c:pt idx="724">
                  <c:v>3.0121560442889715E+21</c:v>
                </c:pt>
                <c:pt idx="725">
                  <c:v>2.9967160301235266E+21</c:v>
                </c:pt>
                <c:pt idx="726">
                  <c:v>2.9813458176216966E+21</c:v>
                </c:pt>
                <c:pt idx="727">
                  <c:v>2.9660451363465488E+21</c:v>
                </c:pt>
                <c:pt idx="728">
                  <c:v>2.9508137167173315E+21</c:v>
                </c:pt>
                <c:pt idx="729">
                  <c:v>2.9356512900073998E+21</c:v>
                </c:pt>
                <c:pt idx="730">
                  <c:v>2.9205575883423047E+21</c:v>
                </c:pt>
                <c:pt idx="731">
                  <c:v>2.9055323446977222E+21</c:v>
                </c:pt>
                <c:pt idx="732">
                  <c:v>2.8905752928974458E+21</c:v>
                </c:pt>
                <c:pt idx="733">
                  <c:v>2.875686167611405E+21</c:v>
                </c:pt>
                <c:pt idx="734">
                  <c:v>2.8608647043536697E+21</c:v>
                </c:pt>
                <c:pt idx="735">
                  <c:v>2.8461106394804409E+21</c:v>
                </c:pt>
                <c:pt idx="736">
                  <c:v>2.8314237101880299E+21</c:v>
                </c:pt>
                <c:pt idx="737">
                  <c:v>2.8168036545109374E+21</c:v>
                </c:pt>
                <c:pt idx="738">
                  <c:v>2.8022502113197886E+21</c:v>
                </c:pt>
                <c:pt idx="739">
                  <c:v>2.7877631203193913E+21</c:v>
                </c:pt>
                <c:pt idx="740">
                  <c:v>2.7733421220467279E+21</c:v>
                </c:pt>
                <c:pt idx="741">
                  <c:v>2.7589869578689844E+21</c:v>
                </c:pt>
                <c:pt idx="742">
                  <c:v>2.7446973699815946E+21</c:v>
                </c:pt>
                <c:pt idx="743">
                  <c:v>2.7304731014062025E+21</c:v>
                </c:pt>
                <c:pt idx="744">
                  <c:v>2.7163138959887607E+21</c:v>
                </c:pt>
                <c:pt idx="745">
                  <c:v>2.7022194983975031E+21</c:v>
                </c:pt>
                <c:pt idx="746">
                  <c:v>2.6881896541210107E+21</c:v>
                </c:pt>
                <c:pt idx="747">
                  <c:v>2.6742241094662305E+21</c:v>
                </c:pt>
                <c:pt idx="748">
                  <c:v>2.6603226115565106E+21</c:v>
                </c:pt>
                <c:pt idx="749">
                  <c:v>2.6464849083296566E+21</c:v>
                </c:pt>
                <c:pt idx="750">
                  <c:v>2.6327107485359533E+21</c:v>
                </c:pt>
                <c:pt idx="751">
                  <c:v>2.6189998817362109E+21</c:v>
                </c:pt>
                <c:pt idx="752">
                  <c:v>2.6053520582998512E+21</c:v>
                </c:pt>
                <c:pt idx="753">
                  <c:v>2.5917670294029032E+21</c:v>
                </c:pt>
                <c:pt idx="754">
                  <c:v>2.578244547026081E+21</c:v>
                </c:pt>
                <c:pt idx="755">
                  <c:v>2.5647843639528454E+21</c:v>
                </c:pt>
                <c:pt idx="756">
                  <c:v>2.5513862337674561E+21</c:v>
                </c:pt>
                <c:pt idx="757">
                  <c:v>2.5380499108530262E+21</c:v>
                </c:pt>
                <c:pt idx="758">
                  <c:v>2.5247751503895881E+21</c:v>
                </c:pt>
                <c:pt idx="759">
                  <c:v>2.5115617083521908E+21</c:v>
                </c:pt>
                <c:pt idx="760">
                  <c:v>2.4984093415089127E+21</c:v>
                </c:pt>
                <c:pt idx="761">
                  <c:v>2.4853178074189702E+21</c:v>
                </c:pt>
                <c:pt idx="762">
                  <c:v>2.4722868644307964E+21</c:v>
                </c:pt>
                <c:pt idx="763">
                  <c:v>2.4593162716800835E+21</c:v>
                </c:pt>
                <c:pt idx="764">
                  <c:v>2.4464057890879082E+21</c:v>
                </c:pt>
                <c:pt idx="765">
                  <c:v>2.43355517735878E+21</c:v>
                </c:pt>
                <c:pt idx="766">
                  <c:v>2.4207641979787322E+21</c:v>
                </c:pt>
                <c:pt idx="767">
                  <c:v>2.4080326132134293E+21</c:v>
                </c:pt>
                <c:pt idx="768">
                  <c:v>2.3953601861062377E+21</c:v>
                </c:pt>
                <c:pt idx="769">
                  <c:v>2.3827466804763138E+21</c:v>
                </c:pt>
                <c:pt idx="770">
                  <c:v>2.3701918609167284E+21</c:v>
                </c:pt>
                <c:pt idx="771">
                  <c:v>2.3576954927925321E+21</c:v>
                </c:pt>
                <c:pt idx="772">
                  <c:v>2.3452573422388807E+21</c:v>
                </c:pt>
                <c:pt idx="773">
                  <c:v>2.332877176159123E+21</c:v>
                </c:pt>
                <c:pt idx="774">
                  <c:v>2.3205547622229213E+21</c:v>
                </c:pt>
                <c:pt idx="775">
                  <c:v>2.3082898688643529E+21</c:v>
                </c:pt>
                <c:pt idx="776">
                  <c:v>2.2960822652800239E+21</c:v>
                </c:pt>
                <c:pt idx="777">
                  <c:v>2.2839317214271769E+21</c:v>
                </c:pt>
                <c:pt idx="778">
                  <c:v>2.2718380080218256E+21</c:v>
                </c:pt>
                <c:pt idx="779">
                  <c:v>2.259800896536856E+21</c:v>
                </c:pt>
                <c:pt idx="780">
                  <c:v>2.2478201592001541E+21</c:v>
                </c:pt>
                <c:pt idx="781">
                  <c:v>2.2358955689927416E+21</c:v>
                </c:pt>
                <c:pt idx="782">
                  <c:v>2.2240268996469087E+21</c:v>
                </c:pt>
                <c:pt idx="783">
                  <c:v>2.2122139256443025E+21</c:v>
                </c:pt>
                <c:pt idx="784">
                  <c:v>2.200456422214126E+21</c:v>
                </c:pt>
                <c:pt idx="785">
                  <c:v>2.1887541653312184E+21</c:v>
                </c:pt>
                <c:pt idx="786">
                  <c:v>2.177106931714218E+21</c:v>
                </c:pt>
                <c:pt idx="787">
                  <c:v>2.1655144988237087E+21</c:v>
                </c:pt>
                <c:pt idx="788">
                  <c:v>2.1539766448603561E+21</c:v>
                </c:pt>
                <c:pt idx="789">
                  <c:v>2.142493148763061E+21</c:v>
                </c:pt>
                <c:pt idx="790">
                  <c:v>2.1310637902070811E+21</c:v>
                </c:pt>
                <c:pt idx="791">
                  <c:v>2.1196883496022447E+21</c:v>
                </c:pt>
                <c:pt idx="792">
                  <c:v>2.1083666080910384E+21</c:v>
                </c:pt>
                <c:pt idx="793">
                  <c:v>2.0970983475468113E+21</c:v>
                </c:pt>
                <c:pt idx="794">
                  <c:v>2.0858833505719031E+21</c:v>
                </c:pt>
                <c:pt idx="795">
                  <c:v>2.0747214004958381E+21</c:v>
                </c:pt>
                <c:pt idx="796">
                  <c:v>2.0636122813734894E+21</c:v>
                </c:pt>
                <c:pt idx="797">
                  <c:v>2.0525557779831938E+21</c:v>
                </c:pt>
                <c:pt idx="798">
                  <c:v>2.04155167582501E+21</c:v>
                </c:pt>
                <c:pt idx="799">
                  <c:v>2.0305997611188313E+21</c:v>
                </c:pt>
                <c:pt idx="800">
                  <c:v>2.0196998208025621E+21</c:v>
                </c:pt>
                <c:pt idx="801">
                  <c:v>2.0088516425303455E+21</c:v>
                </c:pt>
                <c:pt idx="802">
                  <c:v>1.9980550146706909E+21</c:v>
                </c:pt>
                <c:pt idx="803">
                  <c:v>1.9873097263047099E+21</c:v>
                </c:pt>
                <c:pt idx="804">
                  <c:v>1.9766155672242464E+21</c:v>
                </c:pt>
                <c:pt idx="805">
                  <c:v>1.965972327930128E+21</c:v>
                </c:pt>
                <c:pt idx="806">
                  <c:v>1.9553797996303155E+21</c:v>
                </c:pt>
                <c:pt idx="807">
                  <c:v>1.9448377742381044E+21</c:v>
                </c:pt>
                <c:pt idx="808">
                  <c:v>1.9343460443703581E+21</c:v>
                </c:pt>
                <c:pt idx="809">
                  <c:v>1.9239044033456665E+21</c:v>
                </c:pt>
                <c:pt idx="810">
                  <c:v>1.9135126451825861E+21</c:v>
                </c:pt>
                <c:pt idx="811">
                  <c:v>1.9031705645977947E+21</c:v>
                </c:pt>
                <c:pt idx="812">
                  <c:v>1.8928779570043809E+21</c:v>
                </c:pt>
                <c:pt idx="813">
                  <c:v>1.8826346185099835E+21</c:v>
                </c:pt>
                <c:pt idx="814">
                  <c:v>1.8724403459150297E+21</c:v>
                </c:pt>
                <c:pt idx="815">
                  <c:v>1.8622949367109835E+21</c:v>
                </c:pt>
                <c:pt idx="816">
                  <c:v>1.852198189078519E+21</c:v>
                </c:pt>
                <c:pt idx="817">
                  <c:v>1.842149901885779E+21</c:v>
                </c:pt>
                <c:pt idx="818">
                  <c:v>1.8321498746865826E+21</c:v>
                </c:pt>
                <c:pt idx="819">
                  <c:v>1.8221979077186565E+21</c:v>
                </c:pt>
                <c:pt idx="820">
                  <c:v>1.8122938019018842E+21</c:v>
                </c:pt>
                <c:pt idx="821">
                  <c:v>1.8024373588365001E+21</c:v>
                </c:pt>
                <c:pt idx="822">
                  <c:v>1.7926283808013809E+21</c:v>
                </c:pt>
                <c:pt idx="823">
                  <c:v>1.7828666707522442E+21</c:v>
                </c:pt>
                <c:pt idx="824">
                  <c:v>1.7731520323198905E+21</c:v>
                </c:pt>
                <c:pt idx="825">
                  <c:v>1.7634842698084896E+21</c:v>
                </c:pt>
                <c:pt idx="826">
                  <c:v>1.7538631881937741E+21</c:v>
                </c:pt>
                <c:pt idx="827">
                  <c:v>1.7442885931213489E+21</c:v>
                </c:pt>
                <c:pt idx="828">
                  <c:v>1.7347602909048744E+21</c:v>
                </c:pt>
                <c:pt idx="829">
                  <c:v>1.7252780885243897E+21</c:v>
                </c:pt>
                <c:pt idx="830">
                  <c:v>1.7158417936245381E+21</c:v>
                </c:pt>
                <c:pt idx="831">
                  <c:v>1.7064512145128198E+21</c:v>
                </c:pt>
                <c:pt idx="832">
                  <c:v>1.6971061601578865E+21</c:v>
                </c:pt>
                <c:pt idx="833">
                  <c:v>1.687806440187789E+21</c:v>
                </c:pt>
                <c:pt idx="834">
                  <c:v>1.6785518648882477E+21</c:v>
                </c:pt>
                <c:pt idx="835">
                  <c:v>1.6693422452009274E+21</c:v>
                </c:pt>
                <c:pt idx="836">
                  <c:v>1.6601773927217213E+21</c:v>
                </c:pt>
                <c:pt idx="837">
                  <c:v>1.6510571196990216E+21</c:v>
                </c:pt>
                <c:pt idx="838">
                  <c:v>1.6419812390319796E+21</c:v>
                </c:pt>
                <c:pt idx="839">
                  <c:v>1.6329495642688465E+21</c:v>
                </c:pt>
                <c:pt idx="840">
                  <c:v>1.6239619096051953E+21</c:v>
                </c:pt>
                <c:pt idx="841">
                  <c:v>1.615018089882253E+21</c:v>
                </c:pt>
                <c:pt idx="842">
                  <c:v>1.6061179205851671E+21</c:v>
                </c:pt>
                <c:pt idx="843">
                  <c:v>1.5972612178413271E+21</c:v>
                </c:pt>
                <c:pt idx="844">
                  <c:v>1.5884477984186342E+21</c:v>
                </c:pt>
                <c:pt idx="845">
                  <c:v>1.5796774797238102E+21</c:v>
                </c:pt>
                <c:pt idx="846">
                  <c:v>1.5709500798007187E+21</c:v>
                </c:pt>
                <c:pt idx="847">
                  <c:v>1.5622654173286454E+21</c:v>
                </c:pt>
                <c:pt idx="848">
                  <c:v>1.5536233116206165E+21</c:v>
                </c:pt>
                <c:pt idx="849">
                  <c:v>1.5450235826217117E+21</c:v>
                </c:pt>
                <c:pt idx="850">
                  <c:v>1.5364660509073906E+21</c:v>
                </c:pt>
                <c:pt idx="851">
                  <c:v>1.5279505376817701E+21</c:v>
                </c:pt>
                <c:pt idx="852">
                  <c:v>1.5194768647759861E+21</c:v>
                </c:pt>
                <c:pt idx="853">
                  <c:v>1.5110448546464984E+21</c:v>
                </c:pt>
                <c:pt idx="854">
                  <c:v>1.5026543303734122E+21</c:v>
                </c:pt>
                <c:pt idx="855">
                  <c:v>1.4943051156588134E+21</c:v>
                </c:pt>
                <c:pt idx="856">
                  <c:v>1.4859970348250856E+21</c:v>
                </c:pt>
                <c:pt idx="857">
                  <c:v>1.4777299128132737E+21</c:v>
                </c:pt>
                <c:pt idx="858">
                  <c:v>1.4695035751813779E+21</c:v>
                </c:pt>
                <c:pt idx="859">
                  <c:v>1.4613178481027187E+21</c:v>
                </c:pt>
                <c:pt idx="860">
                  <c:v>1.453172558364289E+21</c:v>
                </c:pt>
                <c:pt idx="861">
                  <c:v>1.4450675333650614E+21</c:v>
                </c:pt>
                <c:pt idx="862">
                  <c:v>1.4370026011143687E+21</c:v>
                </c:pt>
                <c:pt idx="863">
                  <c:v>1.4289775902302373E+21</c:v>
                </c:pt>
                <c:pt idx="864">
                  <c:v>1.4209923299377527E+21</c:v>
                </c:pt>
                <c:pt idx="865">
                  <c:v>1.4130466500673879E+21</c:v>
                </c:pt>
                <c:pt idx="866">
                  <c:v>1.4051403810533936E+21</c:v>
                </c:pt>
                <c:pt idx="867">
                  <c:v>1.3972733539321428E+21</c:v>
                </c:pt>
                <c:pt idx="868">
                  <c:v>1.3894454003404869E+21</c:v>
                </c:pt>
                <c:pt idx="869">
                  <c:v>1.3816563525141453E+21</c:v>
                </c:pt>
                <c:pt idx="870">
                  <c:v>1.3739060432860443E+21</c:v>
                </c:pt>
                <c:pt idx="871">
                  <c:v>1.3661943060847227E+21</c:v>
                </c:pt>
                <c:pt idx="872">
                  <c:v>1.3585209749326691E+21</c:v>
                </c:pt>
                <c:pt idx="873">
                  <c:v>1.3508858844447276E+21</c:v>
                </c:pt>
                <c:pt idx="874">
                  <c:v>1.3432888698264727E+21</c:v>
                </c:pt>
                <c:pt idx="875">
                  <c:v>1.3357297668725762E+21</c:v>
                </c:pt>
                <c:pt idx="876">
                  <c:v>1.3282084119652144E+21</c:v>
                </c:pt>
                <c:pt idx="877">
                  <c:v>1.3207246420724398E+21</c:v>
                </c:pt>
                <c:pt idx="878">
                  <c:v>1.3132782947465864E+21</c:v>
                </c:pt>
                <c:pt idx="879">
                  <c:v>1.3058692081226408E+21</c:v>
                </c:pt>
                <c:pt idx="880">
                  <c:v>1.2984972209166607E+21</c:v>
                </c:pt>
                <c:pt idx="881">
                  <c:v>1.2911621724241802E+21</c:v>
                </c:pt>
                <c:pt idx="882">
                  <c:v>1.2838639025185741E+21</c:v>
                </c:pt>
                <c:pt idx="883">
                  <c:v>1.2766022516494969E+21</c:v>
                </c:pt>
                <c:pt idx="884">
                  <c:v>1.2693770608412936E+21</c:v>
                </c:pt>
                <c:pt idx="885">
                  <c:v>1.2621881716913692E+21</c:v>
                </c:pt>
                <c:pt idx="886">
                  <c:v>1.255035426368657E+21</c:v>
                </c:pt>
                <c:pt idx="887">
                  <c:v>1.2479186676119841E+21</c:v>
                </c:pt>
                <c:pt idx="888">
                  <c:v>1.2408377387285301E+21</c:v>
                </c:pt>
                <c:pt idx="889">
                  <c:v>1.2337924835922144E+21</c:v>
                </c:pt>
                <c:pt idx="890">
                  <c:v>1.2267827466421412E+21</c:v>
                </c:pt>
                <c:pt idx="891">
                  <c:v>1.2198083728810356E+21</c:v>
                </c:pt>
                <c:pt idx="892">
                  <c:v>1.2128692078736326E+21</c:v>
                </c:pt>
                <c:pt idx="893">
                  <c:v>1.2059650977451561E+21</c:v>
                </c:pt>
                <c:pt idx="894">
                  <c:v>1.1990958891797245E+21</c:v>
                </c:pt>
                <c:pt idx="895">
                  <c:v>1.1922614294188036E+21</c:v>
                </c:pt>
                <c:pt idx="896">
                  <c:v>1.1854615662596297E+21</c:v>
                </c:pt>
                <c:pt idx="897">
                  <c:v>1.17869614805367E+21</c:v>
                </c:pt>
                <c:pt idx="898">
                  <c:v>1.1719650237050694E+21</c:v>
                </c:pt>
                <c:pt idx="899">
                  <c:v>1.1652680426690766E+21</c:v>
                </c:pt>
                <c:pt idx="900">
                  <c:v>1.1586050549505252E+21</c:v>
                </c:pt>
                <c:pt idx="901">
                  <c:v>1.1519759111022666E+21</c:v>
                </c:pt>
                <c:pt idx="902">
                  <c:v>1.1453804622236377E+21</c:v>
                </c:pt>
                <c:pt idx="903">
                  <c:v>1.1388185599589133E+21</c:v>
                </c:pt>
                <c:pt idx="904">
                  <c:v>1.132290056495773E+21</c:v>
                </c:pt>
                <c:pt idx="905">
                  <c:v>1.1257948045637757E+21</c:v>
                </c:pt>
                <c:pt idx="906">
                  <c:v>1.1193326574328001E+21</c:v>
                </c:pt>
                <c:pt idx="907">
                  <c:v>1.1129034689115517E+21</c:v>
                </c:pt>
                <c:pt idx="908">
                  <c:v>1.1065070933460032E+21</c:v>
                </c:pt>
                <c:pt idx="909">
                  <c:v>1.1001433856178939E+21</c:v>
                </c:pt>
                <c:pt idx="910">
                  <c:v>1.0938122011431949E+21</c:v>
                </c:pt>
                <c:pt idx="911">
                  <c:v>1.0875133958705955E+21</c:v>
                </c:pt>
                <c:pt idx="912">
                  <c:v>1.0812468262799974E+21</c:v>
                </c:pt>
                <c:pt idx="913">
                  <c:v>1.0750123493809759E+21</c:v>
                </c:pt>
                <c:pt idx="914">
                  <c:v>1.0688098227113E+21</c:v>
                </c:pt>
                <c:pt idx="915">
                  <c:v>1.0626391043354075E+21</c:v>
                </c:pt>
                <c:pt idx="916">
                  <c:v>1.0565000528429025E+21</c:v>
                </c:pt>
                <c:pt idx="917">
                  <c:v>1.0503925273470576E+21</c:v>
                </c:pt>
                <c:pt idx="918">
                  <c:v>1.044316387483308E+21</c:v>
                </c:pt>
                <c:pt idx="919">
                  <c:v>1.0382714934077653E+21</c:v>
                </c:pt>
                <c:pt idx="920">
                  <c:v>1.0322577057957105E+21</c:v>
                </c:pt>
                <c:pt idx="921">
                  <c:v>1.0262748858401258E+21</c:v>
                </c:pt>
                <c:pt idx="922">
                  <c:v>1.0203228952501731E+21</c:v>
                </c:pt>
                <c:pt idx="923">
                  <c:v>1.0144015962497395E+21</c:v>
                </c:pt>
                <c:pt idx="924">
                  <c:v>1.0085108515759347E+21</c:v>
                </c:pt>
                <c:pt idx="925">
                  <c:v>1.0026505244776243E+21</c:v>
                </c:pt>
                <c:pt idx="926">
                  <c:v>9.968204787139408E+20</c:v>
                </c:pt>
                <c:pt idx="927">
                  <c:v>9.9102057855281725E+20</c:v>
                </c:pt>
                <c:pt idx="928">
                  <c:v>9.8525068876951716E+20</c:v>
                </c:pt>
                <c:pt idx="929">
                  <c:v>9.7951067464515558E+20</c:v>
                </c:pt>
                <c:pt idx="930">
                  <c:v>9.738004019652437E+20</c:v>
                </c:pt>
                <c:pt idx="931">
                  <c:v>9.6811973701821569E+20</c:v>
                </c:pt>
                <c:pt idx="932">
                  <c:v>9.6246854659397229E+20</c:v>
                </c:pt>
                <c:pt idx="933">
                  <c:v>9.5684669798242989E+20</c:v>
                </c:pt>
                <c:pt idx="934">
                  <c:v>9.5125405897204852E+20</c:v>
                </c:pt>
                <c:pt idx="935">
                  <c:v>9.4569049784840238E+20</c:v>
                </c:pt>
                <c:pt idx="936">
                  <c:v>9.4015588339270025E+20</c:v>
                </c:pt>
                <c:pt idx="937">
                  <c:v>9.3465008488036381E+20</c:v>
                </c:pt>
                <c:pt idx="938">
                  <c:v>9.2917297207957665E+20</c:v>
                </c:pt>
                <c:pt idx="939">
                  <c:v>9.2372441524983208E+20</c:v>
                </c:pt>
                <c:pt idx="940">
                  <c:v>9.1830428514051097E+20</c:v>
                </c:pt>
                <c:pt idx="941">
                  <c:v>9.1291245298942385E+20</c:v>
                </c:pt>
                <c:pt idx="942">
                  <c:v>9.0754879052140734E+20</c:v>
                </c:pt>
                <c:pt idx="943">
                  <c:v>9.0221316994685809E+20</c:v>
                </c:pt>
                <c:pt idx="944">
                  <c:v>8.9690546396033227E+20</c:v>
                </c:pt>
                <c:pt idx="945">
                  <c:v>8.9162554573911359E+20</c:v>
                </c:pt>
                <c:pt idx="946">
                  <c:v>8.8637328894177916E+20</c:v>
                </c:pt>
                <c:pt idx="947">
                  <c:v>8.8114856770679498E+20</c:v>
                </c:pt>
                <c:pt idx="948">
                  <c:v>8.7595125665108171E+20</c:v>
                </c:pt>
                <c:pt idx="949">
                  <c:v>8.7078123086862837E+20</c:v>
                </c:pt>
                <c:pt idx="950">
                  <c:v>8.6563836592904339E+20</c:v>
                </c:pt>
                <c:pt idx="951">
                  <c:v>8.6052253787617296E+20</c:v>
                </c:pt>
                <c:pt idx="952">
                  <c:v>8.5543362322669135E+20</c:v>
                </c:pt>
                <c:pt idx="953">
                  <c:v>8.5037149896867827E+20</c:v>
                </c:pt>
                <c:pt idx="954">
                  <c:v>8.4533604256024835E+20</c:v>
                </c:pt>
                <c:pt idx="955">
                  <c:v>8.4032713192812642E+20</c:v>
                </c:pt>
                <c:pt idx="956">
                  <c:v>8.353446454662626E+20</c:v>
                </c:pt>
                <c:pt idx="957">
                  <c:v>8.3038846203444291E+20</c:v>
                </c:pt>
                <c:pt idx="958">
                  <c:v>8.2545846095689286E+20</c:v>
                </c:pt>
                <c:pt idx="959">
                  <c:v>8.2055452202089644E+20</c:v>
                </c:pt>
                <c:pt idx="960">
                  <c:v>8.1567652547539803E+20</c:v>
                </c:pt>
                <c:pt idx="961">
                  <c:v>8.9730850324463262E+20</c:v>
                </c:pt>
                <c:pt idx="962">
                  <c:v>9.8865707557673055E+20</c:v>
                </c:pt>
                <c:pt idx="963">
                  <c:v>1.0910547309168634E+21</c:v>
                </c:pt>
                <c:pt idx="964">
                  <c:v>1.2060402642877667E+21</c:v>
                </c:pt>
                <c:pt idx="965">
                  <c:v>1.3353943290084173E+21</c:v>
                </c:pt>
                <c:pt idx="966">
                  <c:v>1.4811817346147342E+21</c:v>
                </c:pt>
                <c:pt idx="967">
                  <c:v>1.6458018889012585E+21</c:v>
                </c:pt>
                <c:pt idx="968">
                  <c:v>1.8320490962065296E+21</c:v>
                </c:pt>
                <c:pt idx="969">
                  <c:v>2.0431848144488327E+21</c:v>
                </c:pt>
                <c:pt idx="970">
                  <c:v>2.2830244598164695E+21</c:v>
                </c:pt>
                <c:pt idx="971">
                  <c:v>2.556041955780762E+21</c:v>
                </c:pt>
                <c:pt idx="972">
                  <c:v>2.8674959847456595E+21</c:v>
                </c:pt>
                <c:pt idx="973">
                  <c:v>3.2235828580058E+21</c:v>
                </c:pt>
                <c:pt idx="974">
                  <c:v>3.6316221267459441E+21</c:v>
                </c:pt>
                <c:pt idx="975">
                  <c:v>4.1002825835013331E+21</c:v>
                </c:pt>
                <c:pt idx="976">
                  <c:v>4.6398582406703402E+21</c:v>
                </c:pt>
                <c:pt idx="977">
                  <c:v>5.2626063388129802E+21</c:v>
                </c:pt>
                <c:pt idx="978">
                  <c:v>5.9831625876428963E+21</c:v>
                </c:pt>
                <c:pt idx="979">
                  <c:v>6.8190528804981079E+21</c:v>
                </c:pt>
                <c:pt idx="980">
                  <c:v>7.7913259171938472E+21</c:v>
                </c:pt>
                <c:pt idx="981">
                  <c:v>8.9253378759253012E+21</c:v>
                </c:pt>
                <c:pt idx="982">
                  <c:v>1.0251728964563004E+22</c:v>
                </c:pt>
                <c:pt idx="983">
                  <c:v>1.1807642985312312E+22</c:v>
                </c:pt>
                <c:pt idx="984">
                  <c:v>1.3638255808368372E+22</c:v>
                </c:pt>
                <c:pt idx="985">
                  <c:v>1.5798698005469235E+22</c:v>
                </c:pt>
                <c:pt idx="986">
                  <c:v>1.8356482377598978E+22</c:v>
                </c:pt>
                <c:pt idx="987">
                  <c:v>2.13945808052708E+22</c:v>
                </c:pt>
                <c:pt idx="988">
                  <c:v>2.5015339594733192E+22</c:v>
                </c:pt>
                <c:pt idx="989">
                  <c:v>2.9345482179771743E+22</c:v>
                </c:pt>
                <c:pt idx="990">
                  <c:v>3.4542528022524425E+22</c:v>
                </c:pt>
                <c:pt idx="991">
                  <c:v>4.080306424790154E+22</c:v>
                </c:pt>
                <c:pt idx="992">
                  <c:v>4.8373452248949832E+22</c:v>
                </c:pt>
                <c:pt idx="993">
                  <c:v>5.7563749618929352E+22</c:v>
                </c:pt>
                <c:pt idx="994">
                  <c:v>6.8765898544327149E+22</c:v>
                </c:pt>
                <c:pt idx="995">
                  <c:v>8.2477603842428238E+22</c:v>
                </c:pt>
                <c:pt idx="996">
                  <c:v>9.9333837814219449E+22</c:v>
                </c:pt>
                <c:pt idx="997">
                  <c:v>1.201486231518018E+23</c:v>
                </c:pt>
                <c:pt idx="998">
                  <c:v>1.459707429244825E+23</c:v>
                </c:pt>
                <c:pt idx="999">
                  <c:v>1.7815842922511857E+23</c:v>
                </c:pt>
                <c:pt idx="1000">
                  <c:v>2.1848006573577447E+23</c:v>
                </c:pt>
                <c:pt idx="1001">
                  <c:v>2.6925076286912632E+23</c:v>
                </c:pt>
                <c:pt idx="1002">
                  <c:v>3.3351870907183124E+23</c:v>
                </c:pt>
                <c:pt idx="1003">
                  <c:v>4.1532103605101761E+23</c:v>
                </c:pt>
                <c:pt idx="1004">
                  <c:v>5.2003740938427348E+23</c:v>
                </c:pt>
                <c:pt idx="1005">
                  <c:v>6.5488195226688044E+23</c:v>
                </c:pt>
                <c:pt idx="1006">
                  <c:v>8.2959238023743891E+23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8694-954C-A7F8-D50D2C502A66}"/>
            </c:ext>
          </c:extLst>
        </c:ser>
        <c:ser>
          <c:idx val="3"/>
          <c:order val="3"/>
          <c:tx>
            <c:v>DiffusionCreep-&gt;mu3</c:v>
          </c:tx>
          <c:spPr>
            <a:ln w="2540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Sheet2!$D$31:$D$1037</c:f>
              <c:numCache>
                <c:formatCode>General</c:formatCode>
                <c:ptCount val="1007"/>
                <c:pt idx="0">
                  <c:v>2003</c:v>
                </c:pt>
                <c:pt idx="1">
                  <c:v>2002.5</c:v>
                </c:pt>
                <c:pt idx="2">
                  <c:v>2002</c:v>
                </c:pt>
                <c:pt idx="3">
                  <c:v>2001.5</c:v>
                </c:pt>
                <c:pt idx="4">
                  <c:v>2001</c:v>
                </c:pt>
                <c:pt idx="5">
                  <c:v>2000.5</c:v>
                </c:pt>
                <c:pt idx="6">
                  <c:v>2000</c:v>
                </c:pt>
                <c:pt idx="7">
                  <c:v>1999.5</c:v>
                </c:pt>
                <c:pt idx="8">
                  <c:v>1999</c:v>
                </c:pt>
                <c:pt idx="9">
                  <c:v>1998.5</c:v>
                </c:pt>
                <c:pt idx="10">
                  <c:v>1998</c:v>
                </c:pt>
                <c:pt idx="11">
                  <c:v>1997.5</c:v>
                </c:pt>
                <c:pt idx="12">
                  <c:v>1997</c:v>
                </c:pt>
                <c:pt idx="13">
                  <c:v>1996.5</c:v>
                </c:pt>
                <c:pt idx="14">
                  <c:v>1996</c:v>
                </c:pt>
                <c:pt idx="15">
                  <c:v>1995.5</c:v>
                </c:pt>
                <c:pt idx="16">
                  <c:v>1995</c:v>
                </c:pt>
                <c:pt idx="17">
                  <c:v>1994.5</c:v>
                </c:pt>
                <c:pt idx="18">
                  <c:v>1994</c:v>
                </c:pt>
                <c:pt idx="19">
                  <c:v>1993.5</c:v>
                </c:pt>
                <c:pt idx="20">
                  <c:v>1993</c:v>
                </c:pt>
                <c:pt idx="21">
                  <c:v>1992.5</c:v>
                </c:pt>
                <c:pt idx="22">
                  <c:v>1992</c:v>
                </c:pt>
                <c:pt idx="23">
                  <c:v>1991.5</c:v>
                </c:pt>
                <c:pt idx="24">
                  <c:v>1991</c:v>
                </c:pt>
                <c:pt idx="25">
                  <c:v>1990.5</c:v>
                </c:pt>
                <c:pt idx="26">
                  <c:v>1990</c:v>
                </c:pt>
                <c:pt idx="27">
                  <c:v>1989.5</c:v>
                </c:pt>
                <c:pt idx="28">
                  <c:v>1989</c:v>
                </c:pt>
                <c:pt idx="29">
                  <c:v>1988.5</c:v>
                </c:pt>
                <c:pt idx="30">
                  <c:v>1988</c:v>
                </c:pt>
                <c:pt idx="31">
                  <c:v>1987.5</c:v>
                </c:pt>
                <c:pt idx="32">
                  <c:v>1987</c:v>
                </c:pt>
                <c:pt idx="33">
                  <c:v>1986.5</c:v>
                </c:pt>
                <c:pt idx="34">
                  <c:v>1986</c:v>
                </c:pt>
                <c:pt idx="35">
                  <c:v>1985.5</c:v>
                </c:pt>
                <c:pt idx="36">
                  <c:v>1985</c:v>
                </c:pt>
                <c:pt idx="37">
                  <c:v>1984.5</c:v>
                </c:pt>
                <c:pt idx="38">
                  <c:v>1984</c:v>
                </c:pt>
                <c:pt idx="39">
                  <c:v>1983.5</c:v>
                </c:pt>
                <c:pt idx="40">
                  <c:v>1983</c:v>
                </c:pt>
                <c:pt idx="41">
                  <c:v>1982.5</c:v>
                </c:pt>
                <c:pt idx="42">
                  <c:v>1982</c:v>
                </c:pt>
                <c:pt idx="43">
                  <c:v>1981.5</c:v>
                </c:pt>
                <c:pt idx="44">
                  <c:v>1981</c:v>
                </c:pt>
                <c:pt idx="45">
                  <c:v>1980.5</c:v>
                </c:pt>
                <c:pt idx="46">
                  <c:v>1980</c:v>
                </c:pt>
                <c:pt idx="47">
                  <c:v>1979.5</c:v>
                </c:pt>
                <c:pt idx="48">
                  <c:v>1979</c:v>
                </c:pt>
                <c:pt idx="49">
                  <c:v>1978.5</c:v>
                </c:pt>
                <c:pt idx="50">
                  <c:v>1978</c:v>
                </c:pt>
                <c:pt idx="51">
                  <c:v>1977.5</c:v>
                </c:pt>
                <c:pt idx="52">
                  <c:v>1977</c:v>
                </c:pt>
                <c:pt idx="53">
                  <c:v>1976.5</c:v>
                </c:pt>
                <c:pt idx="54">
                  <c:v>1976</c:v>
                </c:pt>
                <c:pt idx="55">
                  <c:v>1975.5</c:v>
                </c:pt>
                <c:pt idx="56">
                  <c:v>1975</c:v>
                </c:pt>
                <c:pt idx="57">
                  <c:v>1974.5</c:v>
                </c:pt>
                <c:pt idx="58">
                  <c:v>1974</c:v>
                </c:pt>
                <c:pt idx="59">
                  <c:v>1973.5</c:v>
                </c:pt>
                <c:pt idx="60">
                  <c:v>1973</c:v>
                </c:pt>
                <c:pt idx="61">
                  <c:v>1972.5</c:v>
                </c:pt>
                <c:pt idx="62">
                  <c:v>1972</c:v>
                </c:pt>
                <c:pt idx="63">
                  <c:v>1971.5</c:v>
                </c:pt>
                <c:pt idx="64">
                  <c:v>1971</c:v>
                </c:pt>
                <c:pt idx="65">
                  <c:v>1970.5</c:v>
                </c:pt>
                <c:pt idx="66">
                  <c:v>1970</c:v>
                </c:pt>
                <c:pt idx="67">
                  <c:v>1969.5</c:v>
                </c:pt>
                <c:pt idx="68">
                  <c:v>1969</c:v>
                </c:pt>
                <c:pt idx="69">
                  <c:v>1968.5</c:v>
                </c:pt>
                <c:pt idx="70">
                  <c:v>1968</c:v>
                </c:pt>
                <c:pt idx="71">
                  <c:v>1967.5</c:v>
                </c:pt>
                <c:pt idx="72">
                  <c:v>1967</c:v>
                </c:pt>
                <c:pt idx="73">
                  <c:v>1966.5</c:v>
                </c:pt>
                <c:pt idx="74">
                  <c:v>1966</c:v>
                </c:pt>
                <c:pt idx="75">
                  <c:v>1965.5</c:v>
                </c:pt>
                <c:pt idx="76">
                  <c:v>1965</c:v>
                </c:pt>
                <c:pt idx="77">
                  <c:v>1964.5</c:v>
                </c:pt>
                <c:pt idx="78">
                  <c:v>1964</c:v>
                </c:pt>
                <c:pt idx="79">
                  <c:v>1963.5</c:v>
                </c:pt>
                <c:pt idx="80">
                  <c:v>1963</c:v>
                </c:pt>
                <c:pt idx="81">
                  <c:v>1962.5</c:v>
                </c:pt>
                <c:pt idx="82">
                  <c:v>1962</c:v>
                </c:pt>
                <c:pt idx="83">
                  <c:v>1961.5</c:v>
                </c:pt>
                <c:pt idx="84">
                  <c:v>1961</c:v>
                </c:pt>
                <c:pt idx="85">
                  <c:v>1960.5</c:v>
                </c:pt>
                <c:pt idx="86">
                  <c:v>1960</c:v>
                </c:pt>
                <c:pt idx="87">
                  <c:v>1959.5</c:v>
                </c:pt>
                <c:pt idx="88">
                  <c:v>1959</c:v>
                </c:pt>
                <c:pt idx="89">
                  <c:v>1958.5</c:v>
                </c:pt>
                <c:pt idx="90">
                  <c:v>1958</c:v>
                </c:pt>
                <c:pt idx="91">
                  <c:v>1957.5</c:v>
                </c:pt>
                <c:pt idx="92">
                  <c:v>1957</c:v>
                </c:pt>
                <c:pt idx="93">
                  <c:v>1956.5</c:v>
                </c:pt>
                <c:pt idx="94">
                  <c:v>1956</c:v>
                </c:pt>
                <c:pt idx="95">
                  <c:v>1955.5</c:v>
                </c:pt>
                <c:pt idx="96">
                  <c:v>1955</c:v>
                </c:pt>
                <c:pt idx="97">
                  <c:v>1954.5</c:v>
                </c:pt>
                <c:pt idx="98">
                  <c:v>1954</c:v>
                </c:pt>
                <c:pt idx="99">
                  <c:v>1953.5</c:v>
                </c:pt>
                <c:pt idx="100">
                  <c:v>1953</c:v>
                </c:pt>
                <c:pt idx="101">
                  <c:v>1952.5</c:v>
                </c:pt>
                <c:pt idx="102">
                  <c:v>1952</c:v>
                </c:pt>
                <c:pt idx="103">
                  <c:v>1951.5</c:v>
                </c:pt>
                <c:pt idx="104">
                  <c:v>1951</c:v>
                </c:pt>
                <c:pt idx="105">
                  <c:v>1950.5</c:v>
                </c:pt>
                <c:pt idx="106">
                  <c:v>1950</c:v>
                </c:pt>
                <c:pt idx="107">
                  <c:v>1949.5</c:v>
                </c:pt>
                <c:pt idx="108">
                  <c:v>1949</c:v>
                </c:pt>
                <c:pt idx="109">
                  <c:v>1948.5</c:v>
                </c:pt>
                <c:pt idx="110">
                  <c:v>1948</c:v>
                </c:pt>
                <c:pt idx="111">
                  <c:v>1947.5</c:v>
                </c:pt>
                <c:pt idx="112">
                  <c:v>1947</c:v>
                </c:pt>
                <c:pt idx="113">
                  <c:v>1946.5</c:v>
                </c:pt>
                <c:pt idx="114">
                  <c:v>1946</c:v>
                </c:pt>
                <c:pt idx="115">
                  <c:v>1945.5</c:v>
                </c:pt>
                <c:pt idx="116">
                  <c:v>1945</c:v>
                </c:pt>
                <c:pt idx="117">
                  <c:v>1944.5</c:v>
                </c:pt>
                <c:pt idx="118">
                  <c:v>1944</c:v>
                </c:pt>
                <c:pt idx="119">
                  <c:v>1943.5</c:v>
                </c:pt>
                <c:pt idx="120">
                  <c:v>1943</c:v>
                </c:pt>
                <c:pt idx="121">
                  <c:v>1942.5</c:v>
                </c:pt>
                <c:pt idx="122">
                  <c:v>1942</c:v>
                </c:pt>
                <c:pt idx="123">
                  <c:v>1941.5</c:v>
                </c:pt>
                <c:pt idx="124">
                  <c:v>1941</c:v>
                </c:pt>
                <c:pt idx="125">
                  <c:v>1940.5</c:v>
                </c:pt>
                <c:pt idx="126">
                  <c:v>1940</c:v>
                </c:pt>
                <c:pt idx="127">
                  <c:v>1939.5</c:v>
                </c:pt>
                <c:pt idx="128">
                  <c:v>1939</c:v>
                </c:pt>
                <c:pt idx="129">
                  <c:v>1938.5</c:v>
                </c:pt>
                <c:pt idx="130">
                  <c:v>1938</c:v>
                </c:pt>
                <c:pt idx="131">
                  <c:v>1937.5</c:v>
                </c:pt>
                <c:pt idx="132">
                  <c:v>1937</c:v>
                </c:pt>
                <c:pt idx="133">
                  <c:v>1936.5</c:v>
                </c:pt>
                <c:pt idx="134">
                  <c:v>1936</c:v>
                </c:pt>
                <c:pt idx="135">
                  <c:v>1935.5</c:v>
                </c:pt>
                <c:pt idx="136">
                  <c:v>1935</c:v>
                </c:pt>
                <c:pt idx="137">
                  <c:v>1934.5</c:v>
                </c:pt>
                <c:pt idx="138">
                  <c:v>1934</c:v>
                </c:pt>
                <c:pt idx="139">
                  <c:v>1933.5</c:v>
                </c:pt>
                <c:pt idx="140">
                  <c:v>1933</c:v>
                </c:pt>
                <c:pt idx="141">
                  <c:v>1932.5</c:v>
                </c:pt>
                <c:pt idx="142">
                  <c:v>1932</c:v>
                </c:pt>
                <c:pt idx="143">
                  <c:v>1931.5</c:v>
                </c:pt>
                <c:pt idx="144">
                  <c:v>1931</c:v>
                </c:pt>
                <c:pt idx="145">
                  <c:v>1930.5</c:v>
                </c:pt>
                <c:pt idx="146">
                  <c:v>1930</c:v>
                </c:pt>
                <c:pt idx="147">
                  <c:v>1929.5</c:v>
                </c:pt>
                <c:pt idx="148">
                  <c:v>1929</c:v>
                </c:pt>
                <c:pt idx="149">
                  <c:v>1928.5</c:v>
                </c:pt>
                <c:pt idx="150">
                  <c:v>1928</c:v>
                </c:pt>
                <c:pt idx="151">
                  <c:v>1927.5</c:v>
                </c:pt>
                <c:pt idx="152">
                  <c:v>1927</c:v>
                </c:pt>
                <c:pt idx="153">
                  <c:v>1926.5</c:v>
                </c:pt>
                <c:pt idx="154">
                  <c:v>1926</c:v>
                </c:pt>
                <c:pt idx="155">
                  <c:v>1925.5</c:v>
                </c:pt>
                <c:pt idx="156">
                  <c:v>1925</c:v>
                </c:pt>
                <c:pt idx="157">
                  <c:v>1924.5</c:v>
                </c:pt>
                <c:pt idx="158">
                  <c:v>1924</c:v>
                </c:pt>
                <c:pt idx="159">
                  <c:v>1923.5</c:v>
                </c:pt>
                <c:pt idx="160">
                  <c:v>1923</c:v>
                </c:pt>
                <c:pt idx="161">
                  <c:v>1922.5</c:v>
                </c:pt>
                <c:pt idx="162">
                  <c:v>1922</c:v>
                </c:pt>
                <c:pt idx="163">
                  <c:v>1921.5</c:v>
                </c:pt>
                <c:pt idx="164">
                  <c:v>1921</c:v>
                </c:pt>
                <c:pt idx="165">
                  <c:v>1920.5</c:v>
                </c:pt>
                <c:pt idx="166">
                  <c:v>1920</c:v>
                </c:pt>
                <c:pt idx="167">
                  <c:v>1919.5</c:v>
                </c:pt>
                <c:pt idx="168">
                  <c:v>1919</c:v>
                </c:pt>
                <c:pt idx="169">
                  <c:v>1918.5</c:v>
                </c:pt>
                <c:pt idx="170">
                  <c:v>1918</c:v>
                </c:pt>
                <c:pt idx="171">
                  <c:v>1917.5</c:v>
                </c:pt>
                <c:pt idx="172">
                  <c:v>1917</c:v>
                </c:pt>
                <c:pt idx="173">
                  <c:v>1916.5</c:v>
                </c:pt>
                <c:pt idx="174">
                  <c:v>1916</c:v>
                </c:pt>
                <c:pt idx="175">
                  <c:v>1915.5</c:v>
                </c:pt>
                <c:pt idx="176">
                  <c:v>1915</c:v>
                </c:pt>
                <c:pt idx="177">
                  <c:v>1914.5</c:v>
                </c:pt>
                <c:pt idx="178">
                  <c:v>1914</c:v>
                </c:pt>
                <c:pt idx="179">
                  <c:v>1913.5</c:v>
                </c:pt>
                <c:pt idx="180">
                  <c:v>1913</c:v>
                </c:pt>
                <c:pt idx="181">
                  <c:v>1912.5</c:v>
                </c:pt>
                <c:pt idx="182">
                  <c:v>1912</c:v>
                </c:pt>
                <c:pt idx="183">
                  <c:v>1911.5</c:v>
                </c:pt>
                <c:pt idx="184">
                  <c:v>1911</c:v>
                </c:pt>
                <c:pt idx="185">
                  <c:v>1910.5</c:v>
                </c:pt>
                <c:pt idx="186">
                  <c:v>1910</c:v>
                </c:pt>
                <c:pt idx="187">
                  <c:v>1909.5</c:v>
                </c:pt>
                <c:pt idx="188">
                  <c:v>1909</c:v>
                </c:pt>
                <c:pt idx="189">
                  <c:v>1908.5</c:v>
                </c:pt>
                <c:pt idx="190">
                  <c:v>1908</c:v>
                </c:pt>
                <c:pt idx="191">
                  <c:v>1907.5</c:v>
                </c:pt>
                <c:pt idx="192">
                  <c:v>1907</c:v>
                </c:pt>
                <c:pt idx="193">
                  <c:v>1906.5</c:v>
                </c:pt>
                <c:pt idx="194">
                  <c:v>1906</c:v>
                </c:pt>
                <c:pt idx="195">
                  <c:v>1905.5</c:v>
                </c:pt>
                <c:pt idx="196">
                  <c:v>1905</c:v>
                </c:pt>
                <c:pt idx="197">
                  <c:v>1904.5</c:v>
                </c:pt>
                <c:pt idx="198">
                  <c:v>1904</c:v>
                </c:pt>
                <c:pt idx="199">
                  <c:v>1903.5</c:v>
                </c:pt>
                <c:pt idx="200">
                  <c:v>1903</c:v>
                </c:pt>
                <c:pt idx="201">
                  <c:v>1902.5</c:v>
                </c:pt>
                <c:pt idx="202">
                  <c:v>1902</c:v>
                </c:pt>
                <c:pt idx="203">
                  <c:v>1901.5</c:v>
                </c:pt>
                <c:pt idx="204">
                  <c:v>1901</c:v>
                </c:pt>
                <c:pt idx="205">
                  <c:v>1900.5</c:v>
                </c:pt>
                <c:pt idx="206">
                  <c:v>1900</c:v>
                </c:pt>
                <c:pt idx="207">
                  <c:v>1899.5</c:v>
                </c:pt>
                <c:pt idx="208">
                  <c:v>1899</c:v>
                </c:pt>
                <c:pt idx="209">
                  <c:v>1898.5</c:v>
                </c:pt>
                <c:pt idx="210">
                  <c:v>1898</c:v>
                </c:pt>
                <c:pt idx="211">
                  <c:v>1897.5</c:v>
                </c:pt>
                <c:pt idx="212">
                  <c:v>1897</c:v>
                </c:pt>
                <c:pt idx="213">
                  <c:v>1896.5</c:v>
                </c:pt>
                <c:pt idx="214">
                  <c:v>1896</c:v>
                </c:pt>
                <c:pt idx="215">
                  <c:v>1895.5</c:v>
                </c:pt>
                <c:pt idx="216">
                  <c:v>1895</c:v>
                </c:pt>
                <c:pt idx="217">
                  <c:v>1894.5</c:v>
                </c:pt>
                <c:pt idx="218">
                  <c:v>1894</c:v>
                </c:pt>
                <c:pt idx="219">
                  <c:v>1893.5</c:v>
                </c:pt>
                <c:pt idx="220">
                  <c:v>1893</c:v>
                </c:pt>
                <c:pt idx="221">
                  <c:v>1892.5</c:v>
                </c:pt>
                <c:pt idx="222">
                  <c:v>1892</c:v>
                </c:pt>
                <c:pt idx="223">
                  <c:v>1891.5</c:v>
                </c:pt>
                <c:pt idx="224">
                  <c:v>1891</c:v>
                </c:pt>
                <c:pt idx="225">
                  <c:v>1890.5</c:v>
                </c:pt>
                <c:pt idx="226">
                  <c:v>1890</c:v>
                </c:pt>
                <c:pt idx="227">
                  <c:v>1889.5</c:v>
                </c:pt>
                <c:pt idx="228">
                  <c:v>1889</c:v>
                </c:pt>
                <c:pt idx="229">
                  <c:v>1888.5</c:v>
                </c:pt>
                <c:pt idx="230">
                  <c:v>1888</c:v>
                </c:pt>
                <c:pt idx="231">
                  <c:v>1887.5</c:v>
                </c:pt>
                <c:pt idx="232">
                  <c:v>1887</c:v>
                </c:pt>
                <c:pt idx="233">
                  <c:v>1886.5</c:v>
                </c:pt>
                <c:pt idx="234">
                  <c:v>1886</c:v>
                </c:pt>
                <c:pt idx="235">
                  <c:v>1885.5</c:v>
                </c:pt>
                <c:pt idx="236">
                  <c:v>1885</c:v>
                </c:pt>
                <c:pt idx="237">
                  <c:v>1884.5</c:v>
                </c:pt>
                <c:pt idx="238">
                  <c:v>1884</c:v>
                </c:pt>
                <c:pt idx="239">
                  <c:v>1883.5</c:v>
                </c:pt>
                <c:pt idx="240">
                  <c:v>1883</c:v>
                </c:pt>
                <c:pt idx="241">
                  <c:v>1882.5</c:v>
                </c:pt>
                <c:pt idx="242">
                  <c:v>1882</c:v>
                </c:pt>
                <c:pt idx="243">
                  <c:v>1881.5</c:v>
                </c:pt>
                <c:pt idx="244">
                  <c:v>1881</c:v>
                </c:pt>
                <c:pt idx="245">
                  <c:v>1880.5</c:v>
                </c:pt>
                <c:pt idx="246">
                  <c:v>1880</c:v>
                </c:pt>
                <c:pt idx="247">
                  <c:v>1879.5</c:v>
                </c:pt>
                <c:pt idx="248">
                  <c:v>1879</c:v>
                </c:pt>
                <c:pt idx="249">
                  <c:v>1878.5</c:v>
                </c:pt>
                <c:pt idx="250">
                  <c:v>1878</c:v>
                </c:pt>
                <c:pt idx="251">
                  <c:v>1877.5</c:v>
                </c:pt>
                <c:pt idx="252">
                  <c:v>1877</c:v>
                </c:pt>
                <c:pt idx="253">
                  <c:v>1876.5</c:v>
                </c:pt>
                <c:pt idx="254">
                  <c:v>1876</c:v>
                </c:pt>
                <c:pt idx="255">
                  <c:v>1875.5</c:v>
                </c:pt>
                <c:pt idx="256">
                  <c:v>1875</c:v>
                </c:pt>
                <c:pt idx="257">
                  <c:v>1874.5</c:v>
                </c:pt>
                <c:pt idx="258">
                  <c:v>1874</c:v>
                </c:pt>
                <c:pt idx="259">
                  <c:v>1873.5</c:v>
                </c:pt>
                <c:pt idx="260">
                  <c:v>1873</c:v>
                </c:pt>
                <c:pt idx="261">
                  <c:v>1872.5</c:v>
                </c:pt>
                <c:pt idx="262">
                  <c:v>1872</c:v>
                </c:pt>
                <c:pt idx="263">
                  <c:v>1871.5</c:v>
                </c:pt>
                <c:pt idx="264">
                  <c:v>1871</c:v>
                </c:pt>
                <c:pt idx="265">
                  <c:v>1870.5</c:v>
                </c:pt>
                <c:pt idx="266">
                  <c:v>1870</c:v>
                </c:pt>
                <c:pt idx="267">
                  <c:v>1869.5</c:v>
                </c:pt>
                <c:pt idx="268">
                  <c:v>1869</c:v>
                </c:pt>
                <c:pt idx="269">
                  <c:v>1868.5</c:v>
                </c:pt>
                <c:pt idx="270">
                  <c:v>1868</c:v>
                </c:pt>
                <c:pt idx="271">
                  <c:v>1867.5</c:v>
                </c:pt>
                <c:pt idx="272">
                  <c:v>1867</c:v>
                </c:pt>
                <c:pt idx="273">
                  <c:v>1866.5</c:v>
                </c:pt>
                <c:pt idx="274">
                  <c:v>1866</c:v>
                </c:pt>
                <c:pt idx="275">
                  <c:v>1865.5</c:v>
                </c:pt>
                <c:pt idx="276">
                  <c:v>1865</c:v>
                </c:pt>
                <c:pt idx="277">
                  <c:v>1864.5</c:v>
                </c:pt>
                <c:pt idx="278">
                  <c:v>1864</c:v>
                </c:pt>
                <c:pt idx="279">
                  <c:v>1863.5</c:v>
                </c:pt>
                <c:pt idx="280">
                  <c:v>1863</c:v>
                </c:pt>
                <c:pt idx="281">
                  <c:v>1862.5</c:v>
                </c:pt>
                <c:pt idx="282">
                  <c:v>1862</c:v>
                </c:pt>
                <c:pt idx="283">
                  <c:v>1861.5</c:v>
                </c:pt>
                <c:pt idx="284">
                  <c:v>1861</c:v>
                </c:pt>
                <c:pt idx="285">
                  <c:v>1860.5</c:v>
                </c:pt>
                <c:pt idx="286">
                  <c:v>1860</c:v>
                </c:pt>
                <c:pt idx="287">
                  <c:v>1859.5</c:v>
                </c:pt>
                <c:pt idx="288">
                  <c:v>1859</c:v>
                </c:pt>
                <c:pt idx="289">
                  <c:v>1858.5</c:v>
                </c:pt>
                <c:pt idx="290">
                  <c:v>1858</c:v>
                </c:pt>
                <c:pt idx="291">
                  <c:v>1857.5</c:v>
                </c:pt>
                <c:pt idx="292">
                  <c:v>1857</c:v>
                </c:pt>
                <c:pt idx="293">
                  <c:v>1856.5</c:v>
                </c:pt>
                <c:pt idx="294">
                  <c:v>1856</c:v>
                </c:pt>
                <c:pt idx="295">
                  <c:v>1855.5</c:v>
                </c:pt>
                <c:pt idx="296">
                  <c:v>1855</c:v>
                </c:pt>
                <c:pt idx="297">
                  <c:v>1854.5</c:v>
                </c:pt>
                <c:pt idx="298">
                  <c:v>1854</c:v>
                </c:pt>
                <c:pt idx="299">
                  <c:v>1853.5</c:v>
                </c:pt>
                <c:pt idx="300">
                  <c:v>1853</c:v>
                </c:pt>
                <c:pt idx="301">
                  <c:v>1852.5</c:v>
                </c:pt>
                <c:pt idx="302">
                  <c:v>1852</c:v>
                </c:pt>
                <c:pt idx="303">
                  <c:v>1851.5</c:v>
                </c:pt>
                <c:pt idx="304">
                  <c:v>1851</c:v>
                </c:pt>
                <c:pt idx="305">
                  <c:v>1850.5</c:v>
                </c:pt>
                <c:pt idx="306">
                  <c:v>1850</c:v>
                </c:pt>
                <c:pt idx="307">
                  <c:v>1849.5</c:v>
                </c:pt>
                <c:pt idx="308">
                  <c:v>1849</c:v>
                </c:pt>
                <c:pt idx="309">
                  <c:v>1848.5</c:v>
                </c:pt>
                <c:pt idx="310">
                  <c:v>1848</c:v>
                </c:pt>
                <c:pt idx="311">
                  <c:v>1847.5</c:v>
                </c:pt>
                <c:pt idx="312">
                  <c:v>1847</c:v>
                </c:pt>
                <c:pt idx="313">
                  <c:v>1846.5</c:v>
                </c:pt>
                <c:pt idx="314">
                  <c:v>1846</c:v>
                </c:pt>
                <c:pt idx="315">
                  <c:v>1845.5</c:v>
                </c:pt>
                <c:pt idx="316">
                  <c:v>1845</c:v>
                </c:pt>
                <c:pt idx="317">
                  <c:v>1844.5</c:v>
                </c:pt>
                <c:pt idx="318">
                  <c:v>1844</c:v>
                </c:pt>
                <c:pt idx="319">
                  <c:v>1843.5</c:v>
                </c:pt>
                <c:pt idx="320">
                  <c:v>1843</c:v>
                </c:pt>
                <c:pt idx="321">
                  <c:v>1842.5</c:v>
                </c:pt>
                <c:pt idx="322">
                  <c:v>1842</c:v>
                </c:pt>
                <c:pt idx="323">
                  <c:v>1841.5</c:v>
                </c:pt>
                <c:pt idx="324">
                  <c:v>1841</c:v>
                </c:pt>
                <c:pt idx="325">
                  <c:v>1840.5</c:v>
                </c:pt>
                <c:pt idx="326">
                  <c:v>1840</c:v>
                </c:pt>
                <c:pt idx="327">
                  <c:v>1839.5</c:v>
                </c:pt>
                <c:pt idx="328">
                  <c:v>1839</c:v>
                </c:pt>
                <c:pt idx="329">
                  <c:v>1838.5</c:v>
                </c:pt>
                <c:pt idx="330">
                  <c:v>1838</c:v>
                </c:pt>
                <c:pt idx="331">
                  <c:v>1837.5</c:v>
                </c:pt>
                <c:pt idx="332">
                  <c:v>1837</c:v>
                </c:pt>
                <c:pt idx="333">
                  <c:v>1836.5</c:v>
                </c:pt>
                <c:pt idx="334">
                  <c:v>1836</c:v>
                </c:pt>
                <c:pt idx="335">
                  <c:v>1835.5</c:v>
                </c:pt>
                <c:pt idx="336">
                  <c:v>1835</c:v>
                </c:pt>
                <c:pt idx="337">
                  <c:v>1834.5</c:v>
                </c:pt>
                <c:pt idx="338">
                  <c:v>1834</c:v>
                </c:pt>
                <c:pt idx="339">
                  <c:v>1833.5</c:v>
                </c:pt>
                <c:pt idx="340">
                  <c:v>1833</c:v>
                </c:pt>
                <c:pt idx="341">
                  <c:v>1832.5</c:v>
                </c:pt>
                <c:pt idx="342">
                  <c:v>1832</c:v>
                </c:pt>
                <c:pt idx="343">
                  <c:v>1831.5</c:v>
                </c:pt>
                <c:pt idx="344">
                  <c:v>1831</c:v>
                </c:pt>
                <c:pt idx="345">
                  <c:v>1830.5</c:v>
                </c:pt>
                <c:pt idx="346">
                  <c:v>1830</c:v>
                </c:pt>
                <c:pt idx="347">
                  <c:v>1829.5</c:v>
                </c:pt>
                <c:pt idx="348">
                  <c:v>1829</c:v>
                </c:pt>
                <c:pt idx="349">
                  <c:v>1828.5</c:v>
                </c:pt>
                <c:pt idx="350">
                  <c:v>1828</c:v>
                </c:pt>
                <c:pt idx="351">
                  <c:v>1827.5</c:v>
                </c:pt>
                <c:pt idx="352">
                  <c:v>1827</c:v>
                </c:pt>
                <c:pt idx="353">
                  <c:v>1826.5</c:v>
                </c:pt>
                <c:pt idx="354">
                  <c:v>1826</c:v>
                </c:pt>
                <c:pt idx="355">
                  <c:v>1825.5</c:v>
                </c:pt>
                <c:pt idx="356">
                  <c:v>1825</c:v>
                </c:pt>
                <c:pt idx="357">
                  <c:v>1824.5</c:v>
                </c:pt>
                <c:pt idx="358">
                  <c:v>1824</c:v>
                </c:pt>
                <c:pt idx="359">
                  <c:v>1823.5</c:v>
                </c:pt>
                <c:pt idx="360">
                  <c:v>1823</c:v>
                </c:pt>
                <c:pt idx="361">
                  <c:v>1822.5</c:v>
                </c:pt>
                <c:pt idx="362">
                  <c:v>1822</c:v>
                </c:pt>
                <c:pt idx="363">
                  <c:v>1821.5</c:v>
                </c:pt>
                <c:pt idx="364">
                  <c:v>1821</c:v>
                </c:pt>
                <c:pt idx="365">
                  <c:v>1820.5</c:v>
                </c:pt>
                <c:pt idx="366">
                  <c:v>1820</c:v>
                </c:pt>
                <c:pt idx="367">
                  <c:v>1819.5</c:v>
                </c:pt>
                <c:pt idx="368">
                  <c:v>1819</c:v>
                </c:pt>
                <c:pt idx="369">
                  <c:v>1818.5</c:v>
                </c:pt>
                <c:pt idx="370">
                  <c:v>1818</c:v>
                </c:pt>
                <c:pt idx="371">
                  <c:v>1817.5</c:v>
                </c:pt>
                <c:pt idx="372">
                  <c:v>1817</c:v>
                </c:pt>
                <c:pt idx="373">
                  <c:v>1816.5</c:v>
                </c:pt>
                <c:pt idx="374">
                  <c:v>1816</c:v>
                </c:pt>
                <c:pt idx="375">
                  <c:v>1815.5</c:v>
                </c:pt>
                <c:pt idx="376">
                  <c:v>1815</c:v>
                </c:pt>
                <c:pt idx="377">
                  <c:v>1814.5</c:v>
                </c:pt>
                <c:pt idx="378">
                  <c:v>1814</c:v>
                </c:pt>
                <c:pt idx="379">
                  <c:v>1813.5</c:v>
                </c:pt>
                <c:pt idx="380">
                  <c:v>1813</c:v>
                </c:pt>
                <c:pt idx="381">
                  <c:v>1812.5</c:v>
                </c:pt>
                <c:pt idx="382">
                  <c:v>1812</c:v>
                </c:pt>
                <c:pt idx="383">
                  <c:v>1811.5</c:v>
                </c:pt>
                <c:pt idx="384">
                  <c:v>1811</c:v>
                </c:pt>
                <c:pt idx="385">
                  <c:v>1810.5</c:v>
                </c:pt>
                <c:pt idx="386">
                  <c:v>1810</c:v>
                </c:pt>
                <c:pt idx="387">
                  <c:v>1809.5</c:v>
                </c:pt>
                <c:pt idx="388">
                  <c:v>1809</c:v>
                </c:pt>
                <c:pt idx="389">
                  <c:v>1808.5</c:v>
                </c:pt>
                <c:pt idx="390">
                  <c:v>1808</c:v>
                </c:pt>
                <c:pt idx="391">
                  <c:v>1807.5</c:v>
                </c:pt>
                <c:pt idx="392">
                  <c:v>1807</c:v>
                </c:pt>
                <c:pt idx="393">
                  <c:v>1806.5</c:v>
                </c:pt>
                <c:pt idx="394">
                  <c:v>1806</c:v>
                </c:pt>
                <c:pt idx="395">
                  <c:v>1805.5</c:v>
                </c:pt>
                <c:pt idx="396">
                  <c:v>1805</c:v>
                </c:pt>
                <c:pt idx="397">
                  <c:v>1804.5</c:v>
                </c:pt>
                <c:pt idx="398">
                  <c:v>1804</c:v>
                </c:pt>
                <c:pt idx="399">
                  <c:v>1803.5</c:v>
                </c:pt>
                <c:pt idx="400">
                  <c:v>1803</c:v>
                </c:pt>
                <c:pt idx="401">
                  <c:v>1802.5</c:v>
                </c:pt>
                <c:pt idx="402">
                  <c:v>1802</c:v>
                </c:pt>
                <c:pt idx="403">
                  <c:v>1801.5</c:v>
                </c:pt>
                <c:pt idx="404">
                  <c:v>1801</c:v>
                </c:pt>
                <c:pt idx="405">
                  <c:v>1800.5</c:v>
                </c:pt>
                <c:pt idx="406">
                  <c:v>1800</c:v>
                </c:pt>
                <c:pt idx="407">
                  <c:v>1799.5</c:v>
                </c:pt>
                <c:pt idx="408">
                  <c:v>1799</c:v>
                </c:pt>
                <c:pt idx="409">
                  <c:v>1798.5</c:v>
                </c:pt>
                <c:pt idx="410">
                  <c:v>1798</c:v>
                </c:pt>
                <c:pt idx="411">
                  <c:v>1797.5</c:v>
                </c:pt>
                <c:pt idx="412">
                  <c:v>1797</c:v>
                </c:pt>
                <c:pt idx="413">
                  <c:v>1796.5</c:v>
                </c:pt>
                <c:pt idx="414">
                  <c:v>1796</c:v>
                </c:pt>
                <c:pt idx="415">
                  <c:v>1795.5</c:v>
                </c:pt>
                <c:pt idx="416">
                  <c:v>1795</c:v>
                </c:pt>
                <c:pt idx="417">
                  <c:v>1794.5</c:v>
                </c:pt>
                <c:pt idx="418">
                  <c:v>1794</c:v>
                </c:pt>
                <c:pt idx="419">
                  <c:v>1793.5</c:v>
                </c:pt>
                <c:pt idx="420">
                  <c:v>1793</c:v>
                </c:pt>
                <c:pt idx="421">
                  <c:v>1792.5</c:v>
                </c:pt>
                <c:pt idx="422">
                  <c:v>1792</c:v>
                </c:pt>
                <c:pt idx="423">
                  <c:v>1791.5</c:v>
                </c:pt>
                <c:pt idx="424">
                  <c:v>1791</c:v>
                </c:pt>
                <c:pt idx="425">
                  <c:v>1790.5</c:v>
                </c:pt>
                <c:pt idx="426">
                  <c:v>1790</c:v>
                </c:pt>
                <c:pt idx="427">
                  <c:v>1789.5</c:v>
                </c:pt>
                <c:pt idx="428">
                  <c:v>1789</c:v>
                </c:pt>
                <c:pt idx="429">
                  <c:v>1788.5</c:v>
                </c:pt>
                <c:pt idx="430">
                  <c:v>1788</c:v>
                </c:pt>
                <c:pt idx="431">
                  <c:v>1787.5</c:v>
                </c:pt>
                <c:pt idx="432">
                  <c:v>1787</c:v>
                </c:pt>
                <c:pt idx="433">
                  <c:v>1786.5</c:v>
                </c:pt>
                <c:pt idx="434">
                  <c:v>1786</c:v>
                </c:pt>
                <c:pt idx="435">
                  <c:v>1785.5</c:v>
                </c:pt>
                <c:pt idx="436">
                  <c:v>1785</c:v>
                </c:pt>
                <c:pt idx="437">
                  <c:v>1784.5</c:v>
                </c:pt>
                <c:pt idx="438">
                  <c:v>1784</c:v>
                </c:pt>
                <c:pt idx="439">
                  <c:v>1783.5</c:v>
                </c:pt>
                <c:pt idx="440">
                  <c:v>1783</c:v>
                </c:pt>
                <c:pt idx="441">
                  <c:v>1782.5</c:v>
                </c:pt>
                <c:pt idx="442">
                  <c:v>1782</c:v>
                </c:pt>
                <c:pt idx="443">
                  <c:v>1781.5</c:v>
                </c:pt>
                <c:pt idx="444">
                  <c:v>1781</c:v>
                </c:pt>
                <c:pt idx="445">
                  <c:v>1780.5</c:v>
                </c:pt>
                <c:pt idx="446">
                  <c:v>1780</c:v>
                </c:pt>
                <c:pt idx="447">
                  <c:v>1779.5</c:v>
                </c:pt>
                <c:pt idx="448">
                  <c:v>1779</c:v>
                </c:pt>
                <c:pt idx="449">
                  <c:v>1778.5</c:v>
                </c:pt>
                <c:pt idx="450">
                  <c:v>1778</c:v>
                </c:pt>
                <c:pt idx="451">
                  <c:v>1777.5</c:v>
                </c:pt>
                <c:pt idx="452">
                  <c:v>1777</c:v>
                </c:pt>
                <c:pt idx="453">
                  <c:v>1776.5</c:v>
                </c:pt>
                <c:pt idx="454">
                  <c:v>1776</c:v>
                </c:pt>
                <c:pt idx="455">
                  <c:v>1775.5</c:v>
                </c:pt>
                <c:pt idx="456">
                  <c:v>1775</c:v>
                </c:pt>
                <c:pt idx="457">
                  <c:v>1774.5</c:v>
                </c:pt>
                <c:pt idx="458">
                  <c:v>1774</c:v>
                </c:pt>
                <c:pt idx="459">
                  <c:v>1773.5</c:v>
                </c:pt>
                <c:pt idx="460">
                  <c:v>1773</c:v>
                </c:pt>
                <c:pt idx="461">
                  <c:v>1772.5</c:v>
                </c:pt>
                <c:pt idx="462">
                  <c:v>1772</c:v>
                </c:pt>
                <c:pt idx="463">
                  <c:v>1771.5</c:v>
                </c:pt>
                <c:pt idx="464">
                  <c:v>1771</c:v>
                </c:pt>
                <c:pt idx="465">
                  <c:v>1770.5</c:v>
                </c:pt>
                <c:pt idx="466">
                  <c:v>1770</c:v>
                </c:pt>
                <c:pt idx="467">
                  <c:v>1769.5</c:v>
                </c:pt>
                <c:pt idx="468">
                  <c:v>1769</c:v>
                </c:pt>
                <c:pt idx="469">
                  <c:v>1768.5</c:v>
                </c:pt>
                <c:pt idx="470">
                  <c:v>1768</c:v>
                </c:pt>
                <c:pt idx="471">
                  <c:v>1767.5</c:v>
                </c:pt>
                <c:pt idx="472">
                  <c:v>1767</c:v>
                </c:pt>
                <c:pt idx="473">
                  <c:v>1766.5</c:v>
                </c:pt>
                <c:pt idx="474">
                  <c:v>1766</c:v>
                </c:pt>
                <c:pt idx="475">
                  <c:v>1765.5</c:v>
                </c:pt>
                <c:pt idx="476">
                  <c:v>1765</c:v>
                </c:pt>
                <c:pt idx="477">
                  <c:v>1764.5</c:v>
                </c:pt>
                <c:pt idx="478">
                  <c:v>1764</c:v>
                </c:pt>
                <c:pt idx="479">
                  <c:v>1763.5</c:v>
                </c:pt>
                <c:pt idx="480">
                  <c:v>1763</c:v>
                </c:pt>
                <c:pt idx="481">
                  <c:v>1762.5</c:v>
                </c:pt>
                <c:pt idx="482">
                  <c:v>1762</c:v>
                </c:pt>
                <c:pt idx="483">
                  <c:v>1761.5</c:v>
                </c:pt>
                <c:pt idx="484">
                  <c:v>1761</c:v>
                </c:pt>
                <c:pt idx="485">
                  <c:v>1760.5</c:v>
                </c:pt>
                <c:pt idx="486">
                  <c:v>1760</c:v>
                </c:pt>
                <c:pt idx="487">
                  <c:v>1759.5</c:v>
                </c:pt>
                <c:pt idx="488">
                  <c:v>1759</c:v>
                </c:pt>
                <c:pt idx="489">
                  <c:v>1758.5</c:v>
                </c:pt>
                <c:pt idx="490">
                  <c:v>1758</c:v>
                </c:pt>
                <c:pt idx="491">
                  <c:v>1757.5</c:v>
                </c:pt>
                <c:pt idx="492">
                  <c:v>1757</c:v>
                </c:pt>
                <c:pt idx="493">
                  <c:v>1756.5</c:v>
                </c:pt>
                <c:pt idx="494">
                  <c:v>1756</c:v>
                </c:pt>
                <c:pt idx="495">
                  <c:v>1755.5</c:v>
                </c:pt>
                <c:pt idx="496">
                  <c:v>1755</c:v>
                </c:pt>
                <c:pt idx="497">
                  <c:v>1754.5</c:v>
                </c:pt>
                <c:pt idx="498">
                  <c:v>1754</c:v>
                </c:pt>
                <c:pt idx="499">
                  <c:v>1753.5</c:v>
                </c:pt>
                <c:pt idx="500">
                  <c:v>1753</c:v>
                </c:pt>
                <c:pt idx="501">
                  <c:v>1752.5</c:v>
                </c:pt>
                <c:pt idx="502">
                  <c:v>1752</c:v>
                </c:pt>
                <c:pt idx="503">
                  <c:v>1751.5</c:v>
                </c:pt>
                <c:pt idx="504">
                  <c:v>1751</c:v>
                </c:pt>
                <c:pt idx="505">
                  <c:v>1750.5</c:v>
                </c:pt>
                <c:pt idx="506">
                  <c:v>1750</c:v>
                </c:pt>
                <c:pt idx="507">
                  <c:v>1749.5</c:v>
                </c:pt>
                <c:pt idx="508">
                  <c:v>1749</c:v>
                </c:pt>
                <c:pt idx="509">
                  <c:v>1748.5</c:v>
                </c:pt>
                <c:pt idx="510">
                  <c:v>1748</c:v>
                </c:pt>
                <c:pt idx="511">
                  <c:v>1747.5</c:v>
                </c:pt>
                <c:pt idx="512">
                  <c:v>1747</c:v>
                </c:pt>
                <c:pt idx="513">
                  <c:v>1746.5</c:v>
                </c:pt>
                <c:pt idx="514">
                  <c:v>1746</c:v>
                </c:pt>
                <c:pt idx="515">
                  <c:v>1745.5</c:v>
                </c:pt>
                <c:pt idx="516">
                  <c:v>1745</c:v>
                </c:pt>
                <c:pt idx="517">
                  <c:v>1744.5</c:v>
                </c:pt>
                <c:pt idx="518">
                  <c:v>1744</c:v>
                </c:pt>
                <c:pt idx="519">
                  <c:v>1743.5</c:v>
                </c:pt>
                <c:pt idx="520">
                  <c:v>1743</c:v>
                </c:pt>
                <c:pt idx="521">
                  <c:v>1742.5</c:v>
                </c:pt>
                <c:pt idx="522">
                  <c:v>1742</c:v>
                </c:pt>
                <c:pt idx="523">
                  <c:v>1741.5</c:v>
                </c:pt>
                <c:pt idx="524">
                  <c:v>1741</c:v>
                </c:pt>
                <c:pt idx="525">
                  <c:v>1740.5</c:v>
                </c:pt>
                <c:pt idx="526">
                  <c:v>1740</c:v>
                </c:pt>
                <c:pt idx="527">
                  <c:v>1739.5</c:v>
                </c:pt>
                <c:pt idx="528">
                  <c:v>1739</c:v>
                </c:pt>
                <c:pt idx="529">
                  <c:v>1738.5</c:v>
                </c:pt>
                <c:pt idx="530">
                  <c:v>1738</c:v>
                </c:pt>
                <c:pt idx="531">
                  <c:v>1737.5</c:v>
                </c:pt>
                <c:pt idx="532">
                  <c:v>1737</c:v>
                </c:pt>
                <c:pt idx="533">
                  <c:v>1736.5</c:v>
                </c:pt>
                <c:pt idx="534">
                  <c:v>1736</c:v>
                </c:pt>
                <c:pt idx="535">
                  <c:v>1735.5</c:v>
                </c:pt>
                <c:pt idx="536">
                  <c:v>1735</c:v>
                </c:pt>
                <c:pt idx="537">
                  <c:v>1734.5</c:v>
                </c:pt>
                <c:pt idx="538">
                  <c:v>1734</c:v>
                </c:pt>
                <c:pt idx="539">
                  <c:v>1733.5</c:v>
                </c:pt>
                <c:pt idx="540">
                  <c:v>1733</c:v>
                </c:pt>
                <c:pt idx="541">
                  <c:v>1732.5</c:v>
                </c:pt>
                <c:pt idx="542">
                  <c:v>1732</c:v>
                </c:pt>
                <c:pt idx="543">
                  <c:v>1731.5</c:v>
                </c:pt>
                <c:pt idx="544">
                  <c:v>1731</c:v>
                </c:pt>
                <c:pt idx="545">
                  <c:v>1730.5</c:v>
                </c:pt>
                <c:pt idx="546">
                  <c:v>1730</c:v>
                </c:pt>
                <c:pt idx="547">
                  <c:v>1729.5</c:v>
                </c:pt>
                <c:pt idx="548">
                  <c:v>1729</c:v>
                </c:pt>
                <c:pt idx="549">
                  <c:v>1728.5</c:v>
                </c:pt>
                <c:pt idx="550">
                  <c:v>1728</c:v>
                </c:pt>
                <c:pt idx="551">
                  <c:v>1727.5</c:v>
                </c:pt>
                <c:pt idx="552">
                  <c:v>1727</c:v>
                </c:pt>
                <c:pt idx="553">
                  <c:v>1726.5</c:v>
                </c:pt>
                <c:pt idx="554">
                  <c:v>1726</c:v>
                </c:pt>
                <c:pt idx="555">
                  <c:v>1725.5</c:v>
                </c:pt>
                <c:pt idx="556">
                  <c:v>1725</c:v>
                </c:pt>
                <c:pt idx="557">
                  <c:v>1724.5</c:v>
                </c:pt>
                <c:pt idx="558">
                  <c:v>1724</c:v>
                </c:pt>
                <c:pt idx="559">
                  <c:v>1723.5</c:v>
                </c:pt>
                <c:pt idx="560">
                  <c:v>1723</c:v>
                </c:pt>
                <c:pt idx="561">
                  <c:v>1722.5</c:v>
                </c:pt>
                <c:pt idx="562">
                  <c:v>1722</c:v>
                </c:pt>
                <c:pt idx="563">
                  <c:v>1721.5</c:v>
                </c:pt>
                <c:pt idx="564">
                  <c:v>1721</c:v>
                </c:pt>
                <c:pt idx="565">
                  <c:v>1720.5</c:v>
                </c:pt>
                <c:pt idx="566">
                  <c:v>1720</c:v>
                </c:pt>
                <c:pt idx="567">
                  <c:v>1719.5</c:v>
                </c:pt>
                <c:pt idx="568">
                  <c:v>1719</c:v>
                </c:pt>
                <c:pt idx="569">
                  <c:v>1718.5</c:v>
                </c:pt>
                <c:pt idx="570">
                  <c:v>1718</c:v>
                </c:pt>
                <c:pt idx="571">
                  <c:v>1717.5</c:v>
                </c:pt>
                <c:pt idx="572">
                  <c:v>1717</c:v>
                </c:pt>
                <c:pt idx="573">
                  <c:v>1716.5</c:v>
                </c:pt>
                <c:pt idx="574">
                  <c:v>1716</c:v>
                </c:pt>
                <c:pt idx="575">
                  <c:v>1715.5</c:v>
                </c:pt>
                <c:pt idx="576">
                  <c:v>1715</c:v>
                </c:pt>
                <c:pt idx="577">
                  <c:v>1714.5</c:v>
                </c:pt>
                <c:pt idx="578">
                  <c:v>1714</c:v>
                </c:pt>
                <c:pt idx="579">
                  <c:v>1713.5</c:v>
                </c:pt>
                <c:pt idx="580">
                  <c:v>1713</c:v>
                </c:pt>
                <c:pt idx="581">
                  <c:v>1712.5</c:v>
                </c:pt>
                <c:pt idx="582">
                  <c:v>1712</c:v>
                </c:pt>
                <c:pt idx="583">
                  <c:v>1711.5</c:v>
                </c:pt>
                <c:pt idx="584">
                  <c:v>1711</c:v>
                </c:pt>
                <c:pt idx="585">
                  <c:v>1710.5</c:v>
                </c:pt>
                <c:pt idx="586">
                  <c:v>1710</c:v>
                </c:pt>
                <c:pt idx="587">
                  <c:v>1709.5</c:v>
                </c:pt>
                <c:pt idx="588">
                  <c:v>1709</c:v>
                </c:pt>
                <c:pt idx="589">
                  <c:v>1708.5</c:v>
                </c:pt>
                <c:pt idx="590">
                  <c:v>1708</c:v>
                </c:pt>
                <c:pt idx="591">
                  <c:v>1707.5</c:v>
                </c:pt>
                <c:pt idx="592">
                  <c:v>1707</c:v>
                </c:pt>
                <c:pt idx="593">
                  <c:v>1706.5</c:v>
                </c:pt>
                <c:pt idx="594">
                  <c:v>1706</c:v>
                </c:pt>
                <c:pt idx="595">
                  <c:v>1705.5</c:v>
                </c:pt>
                <c:pt idx="596">
                  <c:v>1705</c:v>
                </c:pt>
                <c:pt idx="597">
                  <c:v>1704.5</c:v>
                </c:pt>
                <c:pt idx="598">
                  <c:v>1704</c:v>
                </c:pt>
                <c:pt idx="599">
                  <c:v>1703.5</c:v>
                </c:pt>
                <c:pt idx="600">
                  <c:v>1703</c:v>
                </c:pt>
                <c:pt idx="601">
                  <c:v>1702.5</c:v>
                </c:pt>
                <c:pt idx="602">
                  <c:v>1702</c:v>
                </c:pt>
                <c:pt idx="603">
                  <c:v>1701.5</c:v>
                </c:pt>
                <c:pt idx="604">
                  <c:v>1701</c:v>
                </c:pt>
                <c:pt idx="605">
                  <c:v>1700.5</c:v>
                </c:pt>
                <c:pt idx="606">
                  <c:v>1700</c:v>
                </c:pt>
                <c:pt idx="607">
                  <c:v>1699.5</c:v>
                </c:pt>
                <c:pt idx="608">
                  <c:v>1699</c:v>
                </c:pt>
                <c:pt idx="609">
                  <c:v>1698.5</c:v>
                </c:pt>
                <c:pt idx="610">
                  <c:v>1698</c:v>
                </c:pt>
                <c:pt idx="611">
                  <c:v>1697.5</c:v>
                </c:pt>
                <c:pt idx="612">
                  <c:v>1697</c:v>
                </c:pt>
                <c:pt idx="613">
                  <c:v>1696.5</c:v>
                </c:pt>
                <c:pt idx="614">
                  <c:v>1696</c:v>
                </c:pt>
                <c:pt idx="615">
                  <c:v>1695.5</c:v>
                </c:pt>
                <c:pt idx="616">
                  <c:v>1695</c:v>
                </c:pt>
                <c:pt idx="617">
                  <c:v>1694.5</c:v>
                </c:pt>
                <c:pt idx="618">
                  <c:v>1694</c:v>
                </c:pt>
                <c:pt idx="619">
                  <c:v>1693.5</c:v>
                </c:pt>
                <c:pt idx="620">
                  <c:v>1693</c:v>
                </c:pt>
                <c:pt idx="621">
                  <c:v>1692.5</c:v>
                </c:pt>
                <c:pt idx="622">
                  <c:v>1692</c:v>
                </c:pt>
                <c:pt idx="623">
                  <c:v>1691.5</c:v>
                </c:pt>
                <c:pt idx="624">
                  <c:v>1691</c:v>
                </c:pt>
                <c:pt idx="625">
                  <c:v>1690.5</c:v>
                </c:pt>
                <c:pt idx="626">
                  <c:v>1690</c:v>
                </c:pt>
                <c:pt idx="627">
                  <c:v>1689.5</c:v>
                </c:pt>
                <c:pt idx="628">
                  <c:v>1689</c:v>
                </c:pt>
                <c:pt idx="629">
                  <c:v>1688.5</c:v>
                </c:pt>
                <c:pt idx="630">
                  <c:v>1688</c:v>
                </c:pt>
                <c:pt idx="631">
                  <c:v>1687.5</c:v>
                </c:pt>
                <c:pt idx="632">
                  <c:v>1687</c:v>
                </c:pt>
                <c:pt idx="633">
                  <c:v>1686.5</c:v>
                </c:pt>
                <c:pt idx="634">
                  <c:v>1686</c:v>
                </c:pt>
                <c:pt idx="635">
                  <c:v>1685.5</c:v>
                </c:pt>
                <c:pt idx="636">
                  <c:v>1685</c:v>
                </c:pt>
                <c:pt idx="637">
                  <c:v>1684.5</c:v>
                </c:pt>
                <c:pt idx="638">
                  <c:v>1684</c:v>
                </c:pt>
                <c:pt idx="639">
                  <c:v>1683.5</c:v>
                </c:pt>
                <c:pt idx="640">
                  <c:v>1683</c:v>
                </c:pt>
                <c:pt idx="641">
                  <c:v>1682.5</c:v>
                </c:pt>
                <c:pt idx="642">
                  <c:v>1682</c:v>
                </c:pt>
                <c:pt idx="643">
                  <c:v>1681.5</c:v>
                </c:pt>
                <c:pt idx="644">
                  <c:v>1681</c:v>
                </c:pt>
                <c:pt idx="645">
                  <c:v>1680.5</c:v>
                </c:pt>
                <c:pt idx="646">
                  <c:v>1680</c:v>
                </c:pt>
                <c:pt idx="647">
                  <c:v>1679.5</c:v>
                </c:pt>
                <c:pt idx="648">
                  <c:v>1679</c:v>
                </c:pt>
                <c:pt idx="649">
                  <c:v>1678.5</c:v>
                </c:pt>
                <c:pt idx="650">
                  <c:v>1678</c:v>
                </c:pt>
                <c:pt idx="651">
                  <c:v>1677.5</c:v>
                </c:pt>
                <c:pt idx="652">
                  <c:v>1677</c:v>
                </c:pt>
                <c:pt idx="653">
                  <c:v>1676.5</c:v>
                </c:pt>
                <c:pt idx="654">
                  <c:v>1676</c:v>
                </c:pt>
                <c:pt idx="655">
                  <c:v>1675.5</c:v>
                </c:pt>
                <c:pt idx="656">
                  <c:v>1675</c:v>
                </c:pt>
                <c:pt idx="657">
                  <c:v>1674.5</c:v>
                </c:pt>
                <c:pt idx="658">
                  <c:v>1674</c:v>
                </c:pt>
                <c:pt idx="659">
                  <c:v>1673.5</c:v>
                </c:pt>
                <c:pt idx="660">
                  <c:v>1673</c:v>
                </c:pt>
                <c:pt idx="661">
                  <c:v>1672.5</c:v>
                </c:pt>
                <c:pt idx="662">
                  <c:v>1672</c:v>
                </c:pt>
                <c:pt idx="663">
                  <c:v>1671.5</c:v>
                </c:pt>
                <c:pt idx="664">
                  <c:v>1671</c:v>
                </c:pt>
                <c:pt idx="665">
                  <c:v>1670.5</c:v>
                </c:pt>
                <c:pt idx="666">
                  <c:v>1670</c:v>
                </c:pt>
                <c:pt idx="667">
                  <c:v>1669.5</c:v>
                </c:pt>
                <c:pt idx="668">
                  <c:v>1669</c:v>
                </c:pt>
                <c:pt idx="669">
                  <c:v>1668.5</c:v>
                </c:pt>
                <c:pt idx="670">
                  <c:v>1668</c:v>
                </c:pt>
                <c:pt idx="671">
                  <c:v>1667.5</c:v>
                </c:pt>
                <c:pt idx="672">
                  <c:v>1667</c:v>
                </c:pt>
                <c:pt idx="673">
                  <c:v>1666.5</c:v>
                </c:pt>
                <c:pt idx="674">
                  <c:v>1666</c:v>
                </c:pt>
                <c:pt idx="675">
                  <c:v>1665.5</c:v>
                </c:pt>
                <c:pt idx="676">
                  <c:v>1665</c:v>
                </c:pt>
                <c:pt idx="677">
                  <c:v>1664.5</c:v>
                </c:pt>
                <c:pt idx="678">
                  <c:v>1664</c:v>
                </c:pt>
                <c:pt idx="679">
                  <c:v>1663.5</c:v>
                </c:pt>
                <c:pt idx="680">
                  <c:v>1663</c:v>
                </c:pt>
                <c:pt idx="681">
                  <c:v>1662.5</c:v>
                </c:pt>
                <c:pt idx="682">
                  <c:v>1662</c:v>
                </c:pt>
                <c:pt idx="683">
                  <c:v>1661.5</c:v>
                </c:pt>
                <c:pt idx="684">
                  <c:v>1661</c:v>
                </c:pt>
                <c:pt idx="685">
                  <c:v>1660.5</c:v>
                </c:pt>
                <c:pt idx="686">
                  <c:v>1660</c:v>
                </c:pt>
                <c:pt idx="687">
                  <c:v>1659.5</c:v>
                </c:pt>
                <c:pt idx="688">
                  <c:v>1659</c:v>
                </c:pt>
                <c:pt idx="689">
                  <c:v>1658.5</c:v>
                </c:pt>
                <c:pt idx="690">
                  <c:v>1658</c:v>
                </c:pt>
                <c:pt idx="691">
                  <c:v>1657.5</c:v>
                </c:pt>
                <c:pt idx="692">
                  <c:v>1657</c:v>
                </c:pt>
                <c:pt idx="693">
                  <c:v>1656.5</c:v>
                </c:pt>
                <c:pt idx="694">
                  <c:v>1656</c:v>
                </c:pt>
                <c:pt idx="695">
                  <c:v>1655.5</c:v>
                </c:pt>
                <c:pt idx="696">
                  <c:v>1655</c:v>
                </c:pt>
                <c:pt idx="697">
                  <c:v>1654.5</c:v>
                </c:pt>
                <c:pt idx="698">
                  <c:v>1654</c:v>
                </c:pt>
                <c:pt idx="699">
                  <c:v>1653.5</c:v>
                </c:pt>
                <c:pt idx="700">
                  <c:v>1653</c:v>
                </c:pt>
                <c:pt idx="701">
                  <c:v>1652.5</c:v>
                </c:pt>
                <c:pt idx="702">
                  <c:v>1652</c:v>
                </c:pt>
                <c:pt idx="703">
                  <c:v>1651.5</c:v>
                </c:pt>
                <c:pt idx="704">
                  <c:v>1651</c:v>
                </c:pt>
                <c:pt idx="705">
                  <c:v>1650.5</c:v>
                </c:pt>
                <c:pt idx="706">
                  <c:v>1650</c:v>
                </c:pt>
                <c:pt idx="707">
                  <c:v>1649.5</c:v>
                </c:pt>
                <c:pt idx="708">
                  <c:v>1649</c:v>
                </c:pt>
                <c:pt idx="709">
                  <c:v>1648.5</c:v>
                </c:pt>
                <c:pt idx="710">
                  <c:v>1648</c:v>
                </c:pt>
                <c:pt idx="711">
                  <c:v>1647.5</c:v>
                </c:pt>
                <c:pt idx="712">
                  <c:v>1647</c:v>
                </c:pt>
                <c:pt idx="713">
                  <c:v>1646.5</c:v>
                </c:pt>
                <c:pt idx="714">
                  <c:v>1646</c:v>
                </c:pt>
                <c:pt idx="715">
                  <c:v>1645.5</c:v>
                </c:pt>
                <c:pt idx="716">
                  <c:v>1645</c:v>
                </c:pt>
                <c:pt idx="717">
                  <c:v>1644.5</c:v>
                </c:pt>
                <c:pt idx="718">
                  <c:v>1644</c:v>
                </c:pt>
                <c:pt idx="719">
                  <c:v>1643.5</c:v>
                </c:pt>
                <c:pt idx="720">
                  <c:v>1643</c:v>
                </c:pt>
                <c:pt idx="721">
                  <c:v>1642.5</c:v>
                </c:pt>
                <c:pt idx="722">
                  <c:v>1642</c:v>
                </c:pt>
                <c:pt idx="723">
                  <c:v>1641.5</c:v>
                </c:pt>
                <c:pt idx="724">
                  <c:v>1641</c:v>
                </c:pt>
                <c:pt idx="725">
                  <c:v>1640.5</c:v>
                </c:pt>
                <c:pt idx="726">
                  <c:v>1640</c:v>
                </c:pt>
                <c:pt idx="727">
                  <c:v>1639.5</c:v>
                </c:pt>
                <c:pt idx="728">
                  <c:v>1639</c:v>
                </c:pt>
                <c:pt idx="729">
                  <c:v>1638.5</c:v>
                </c:pt>
                <c:pt idx="730">
                  <c:v>1638</c:v>
                </c:pt>
                <c:pt idx="731">
                  <c:v>1637.5</c:v>
                </c:pt>
                <c:pt idx="732">
                  <c:v>1637</c:v>
                </c:pt>
                <c:pt idx="733">
                  <c:v>1636.5</c:v>
                </c:pt>
                <c:pt idx="734">
                  <c:v>1636</c:v>
                </c:pt>
                <c:pt idx="735">
                  <c:v>1635.5</c:v>
                </c:pt>
                <c:pt idx="736">
                  <c:v>1635</c:v>
                </c:pt>
                <c:pt idx="737">
                  <c:v>1634.5</c:v>
                </c:pt>
                <c:pt idx="738">
                  <c:v>1634</c:v>
                </c:pt>
                <c:pt idx="739">
                  <c:v>1633.5</c:v>
                </c:pt>
                <c:pt idx="740">
                  <c:v>1633</c:v>
                </c:pt>
                <c:pt idx="741">
                  <c:v>1632.5</c:v>
                </c:pt>
                <c:pt idx="742">
                  <c:v>1632</c:v>
                </c:pt>
                <c:pt idx="743">
                  <c:v>1631.5</c:v>
                </c:pt>
                <c:pt idx="744">
                  <c:v>1631</c:v>
                </c:pt>
                <c:pt idx="745">
                  <c:v>1630.5</c:v>
                </c:pt>
                <c:pt idx="746">
                  <c:v>1630</c:v>
                </c:pt>
                <c:pt idx="747">
                  <c:v>1629.5</c:v>
                </c:pt>
                <c:pt idx="748">
                  <c:v>1629</c:v>
                </c:pt>
                <c:pt idx="749">
                  <c:v>1628.5</c:v>
                </c:pt>
                <c:pt idx="750">
                  <c:v>1628</c:v>
                </c:pt>
                <c:pt idx="751">
                  <c:v>1627.5</c:v>
                </c:pt>
                <c:pt idx="752">
                  <c:v>1627</c:v>
                </c:pt>
                <c:pt idx="753">
                  <c:v>1626.5</c:v>
                </c:pt>
                <c:pt idx="754">
                  <c:v>1626</c:v>
                </c:pt>
                <c:pt idx="755">
                  <c:v>1625.5</c:v>
                </c:pt>
                <c:pt idx="756">
                  <c:v>1625</c:v>
                </c:pt>
                <c:pt idx="757">
                  <c:v>1624.5</c:v>
                </c:pt>
                <c:pt idx="758">
                  <c:v>1624</c:v>
                </c:pt>
                <c:pt idx="759">
                  <c:v>1623.5</c:v>
                </c:pt>
                <c:pt idx="760">
                  <c:v>1623</c:v>
                </c:pt>
                <c:pt idx="761">
                  <c:v>1622.5</c:v>
                </c:pt>
                <c:pt idx="762">
                  <c:v>1622</c:v>
                </c:pt>
                <c:pt idx="763">
                  <c:v>1621.5</c:v>
                </c:pt>
                <c:pt idx="764">
                  <c:v>1621</c:v>
                </c:pt>
                <c:pt idx="765">
                  <c:v>1620.5</c:v>
                </c:pt>
                <c:pt idx="766">
                  <c:v>1620</c:v>
                </c:pt>
                <c:pt idx="767">
                  <c:v>1619.5</c:v>
                </c:pt>
                <c:pt idx="768">
                  <c:v>1619</c:v>
                </c:pt>
                <c:pt idx="769">
                  <c:v>1618.5</c:v>
                </c:pt>
                <c:pt idx="770">
                  <c:v>1618</c:v>
                </c:pt>
                <c:pt idx="771">
                  <c:v>1617.5</c:v>
                </c:pt>
                <c:pt idx="772">
                  <c:v>1617</c:v>
                </c:pt>
                <c:pt idx="773">
                  <c:v>1616.5</c:v>
                </c:pt>
                <c:pt idx="774">
                  <c:v>1616</c:v>
                </c:pt>
                <c:pt idx="775">
                  <c:v>1615.5</c:v>
                </c:pt>
                <c:pt idx="776">
                  <c:v>1615</c:v>
                </c:pt>
                <c:pt idx="777">
                  <c:v>1614.5</c:v>
                </c:pt>
                <c:pt idx="778">
                  <c:v>1614</c:v>
                </c:pt>
                <c:pt idx="779">
                  <c:v>1613.5</c:v>
                </c:pt>
                <c:pt idx="780">
                  <c:v>1613</c:v>
                </c:pt>
                <c:pt idx="781">
                  <c:v>1612.5</c:v>
                </c:pt>
                <c:pt idx="782">
                  <c:v>1612</c:v>
                </c:pt>
                <c:pt idx="783">
                  <c:v>1611.5</c:v>
                </c:pt>
                <c:pt idx="784">
                  <c:v>1611</c:v>
                </c:pt>
                <c:pt idx="785">
                  <c:v>1610.5</c:v>
                </c:pt>
                <c:pt idx="786">
                  <c:v>1610</c:v>
                </c:pt>
                <c:pt idx="787">
                  <c:v>1609.5</c:v>
                </c:pt>
                <c:pt idx="788">
                  <c:v>1609</c:v>
                </c:pt>
                <c:pt idx="789">
                  <c:v>1608.5</c:v>
                </c:pt>
                <c:pt idx="790">
                  <c:v>1608</c:v>
                </c:pt>
                <c:pt idx="791">
                  <c:v>1607.5</c:v>
                </c:pt>
                <c:pt idx="792">
                  <c:v>1607</c:v>
                </c:pt>
                <c:pt idx="793">
                  <c:v>1606.5</c:v>
                </c:pt>
                <c:pt idx="794">
                  <c:v>1606</c:v>
                </c:pt>
                <c:pt idx="795">
                  <c:v>1605.5</c:v>
                </c:pt>
                <c:pt idx="796">
                  <c:v>1605</c:v>
                </c:pt>
                <c:pt idx="797">
                  <c:v>1604.5</c:v>
                </c:pt>
                <c:pt idx="798">
                  <c:v>1604</c:v>
                </c:pt>
                <c:pt idx="799">
                  <c:v>1603.5</c:v>
                </c:pt>
                <c:pt idx="800">
                  <c:v>1603</c:v>
                </c:pt>
                <c:pt idx="801">
                  <c:v>1602.5</c:v>
                </c:pt>
                <c:pt idx="802">
                  <c:v>1602</c:v>
                </c:pt>
                <c:pt idx="803">
                  <c:v>1601.5</c:v>
                </c:pt>
                <c:pt idx="804">
                  <c:v>1601</c:v>
                </c:pt>
                <c:pt idx="805">
                  <c:v>1600.5</c:v>
                </c:pt>
                <c:pt idx="806">
                  <c:v>1600</c:v>
                </c:pt>
                <c:pt idx="807">
                  <c:v>1599.5</c:v>
                </c:pt>
                <c:pt idx="808">
                  <c:v>1599</c:v>
                </c:pt>
                <c:pt idx="809">
                  <c:v>1598.5</c:v>
                </c:pt>
                <c:pt idx="810">
                  <c:v>1598</c:v>
                </c:pt>
                <c:pt idx="811">
                  <c:v>1597.5</c:v>
                </c:pt>
                <c:pt idx="812">
                  <c:v>1597</c:v>
                </c:pt>
                <c:pt idx="813">
                  <c:v>1596.5</c:v>
                </c:pt>
                <c:pt idx="814">
                  <c:v>1596</c:v>
                </c:pt>
                <c:pt idx="815">
                  <c:v>1595.5</c:v>
                </c:pt>
                <c:pt idx="816">
                  <c:v>1595</c:v>
                </c:pt>
                <c:pt idx="817">
                  <c:v>1594.5</c:v>
                </c:pt>
                <c:pt idx="818">
                  <c:v>1594</c:v>
                </c:pt>
                <c:pt idx="819">
                  <c:v>1593.5</c:v>
                </c:pt>
                <c:pt idx="820">
                  <c:v>1593</c:v>
                </c:pt>
                <c:pt idx="821">
                  <c:v>1592.5</c:v>
                </c:pt>
                <c:pt idx="822">
                  <c:v>1592</c:v>
                </c:pt>
                <c:pt idx="823">
                  <c:v>1591.5</c:v>
                </c:pt>
                <c:pt idx="824">
                  <c:v>1591</c:v>
                </c:pt>
                <c:pt idx="825">
                  <c:v>1590.5</c:v>
                </c:pt>
                <c:pt idx="826">
                  <c:v>1590</c:v>
                </c:pt>
                <c:pt idx="827">
                  <c:v>1589.5</c:v>
                </c:pt>
                <c:pt idx="828">
                  <c:v>1589</c:v>
                </c:pt>
                <c:pt idx="829">
                  <c:v>1588.5</c:v>
                </c:pt>
                <c:pt idx="830">
                  <c:v>1588</c:v>
                </c:pt>
                <c:pt idx="831">
                  <c:v>1587.5</c:v>
                </c:pt>
                <c:pt idx="832">
                  <c:v>1587</c:v>
                </c:pt>
                <c:pt idx="833">
                  <c:v>1586.5</c:v>
                </c:pt>
                <c:pt idx="834">
                  <c:v>1586</c:v>
                </c:pt>
                <c:pt idx="835">
                  <c:v>1585.5</c:v>
                </c:pt>
                <c:pt idx="836">
                  <c:v>1585</c:v>
                </c:pt>
                <c:pt idx="837">
                  <c:v>1584.5</c:v>
                </c:pt>
                <c:pt idx="838">
                  <c:v>1584</c:v>
                </c:pt>
                <c:pt idx="839">
                  <c:v>1583.5</c:v>
                </c:pt>
                <c:pt idx="840">
                  <c:v>1583</c:v>
                </c:pt>
                <c:pt idx="841">
                  <c:v>1582.5</c:v>
                </c:pt>
                <c:pt idx="842">
                  <c:v>1582</c:v>
                </c:pt>
                <c:pt idx="843">
                  <c:v>1581.5</c:v>
                </c:pt>
                <c:pt idx="844">
                  <c:v>1581</c:v>
                </c:pt>
                <c:pt idx="845">
                  <c:v>1580.5</c:v>
                </c:pt>
                <c:pt idx="846">
                  <c:v>1580</c:v>
                </c:pt>
                <c:pt idx="847">
                  <c:v>1579.5</c:v>
                </c:pt>
                <c:pt idx="848">
                  <c:v>1579</c:v>
                </c:pt>
                <c:pt idx="849">
                  <c:v>1578.5</c:v>
                </c:pt>
                <c:pt idx="850">
                  <c:v>1578</c:v>
                </c:pt>
                <c:pt idx="851">
                  <c:v>1577.5</c:v>
                </c:pt>
                <c:pt idx="852">
                  <c:v>1577</c:v>
                </c:pt>
                <c:pt idx="853">
                  <c:v>1576.5</c:v>
                </c:pt>
                <c:pt idx="854">
                  <c:v>1576</c:v>
                </c:pt>
                <c:pt idx="855">
                  <c:v>1575.5</c:v>
                </c:pt>
                <c:pt idx="856">
                  <c:v>1575</c:v>
                </c:pt>
                <c:pt idx="857">
                  <c:v>1574.5</c:v>
                </c:pt>
                <c:pt idx="858">
                  <c:v>1574</c:v>
                </c:pt>
                <c:pt idx="859">
                  <c:v>1573.5</c:v>
                </c:pt>
                <c:pt idx="860">
                  <c:v>1573</c:v>
                </c:pt>
                <c:pt idx="861">
                  <c:v>1572.5</c:v>
                </c:pt>
                <c:pt idx="862">
                  <c:v>1572</c:v>
                </c:pt>
                <c:pt idx="863">
                  <c:v>1571.5</c:v>
                </c:pt>
                <c:pt idx="864">
                  <c:v>1571</c:v>
                </c:pt>
                <c:pt idx="865">
                  <c:v>1570.5</c:v>
                </c:pt>
                <c:pt idx="866">
                  <c:v>1570</c:v>
                </c:pt>
                <c:pt idx="867">
                  <c:v>1569.5</c:v>
                </c:pt>
                <c:pt idx="868">
                  <c:v>1569</c:v>
                </c:pt>
                <c:pt idx="869">
                  <c:v>1568.5</c:v>
                </c:pt>
                <c:pt idx="870">
                  <c:v>1568</c:v>
                </c:pt>
                <c:pt idx="871">
                  <c:v>1567.5</c:v>
                </c:pt>
                <c:pt idx="872">
                  <c:v>1567</c:v>
                </c:pt>
                <c:pt idx="873">
                  <c:v>1566.5</c:v>
                </c:pt>
                <c:pt idx="874">
                  <c:v>1566</c:v>
                </c:pt>
                <c:pt idx="875">
                  <c:v>1565.5</c:v>
                </c:pt>
                <c:pt idx="876">
                  <c:v>1565</c:v>
                </c:pt>
                <c:pt idx="877">
                  <c:v>1564.5</c:v>
                </c:pt>
                <c:pt idx="878">
                  <c:v>1564</c:v>
                </c:pt>
                <c:pt idx="879">
                  <c:v>1563.5</c:v>
                </c:pt>
                <c:pt idx="880">
                  <c:v>1563</c:v>
                </c:pt>
                <c:pt idx="881">
                  <c:v>1562.5</c:v>
                </c:pt>
                <c:pt idx="882">
                  <c:v>1562</c:v>
                </c:pt>
                <c:pt idx="883">
                  <c:v>1561.5</c:v>
                </c:pt>
                <c:pt idx="884">
                  <c:v>1561</c:v>
                </c:pt>
                <c:pt idx="885">
                  <c:v>1560.5</c:v>
                </c:pt>
                <c:pt idx="886">
                  <c:v>1560</c:v>
                </c:pt>
                <c:pt idx="887">
                  <c:v>1559.5</c:v>
                </c:pt>
                <c:pt idx="888">
                  <c:v>1559</c:v>
                </c:pt>
                <c:pt idx="889">
                  <c:v>1558.5</c:v>
                </c:pt>
                <c:pt idx="890">
                  <c:v>1558</c:v>
                </c:pt>
                <c:pt idx="891">
                  <c:v>1557.5</c:v>
                </c:pt>
                <c:pt idx="892">
                  <c:v>1557</c:v>
                </c:pt>
                <c:pt idx="893">
                  <c:v>1556.5</c:v>
                </c:pt>
                <c:pt idx="894">
                  <c:v>1556</c:v>
                </c:pt>
                <c:pt idx="895">
                  <c:v>1555.5</c:v>
                </c:pt>
                <c:pt idx="896">
                  <c:v>1555</c:v>
                </c:pt>
                <c:pt idx="897">
                  <c:v>1554.5</c:v>
                </c:pt>
                <c:pt idx="898">
                  <c:v>1554</c:v>
                </c:pt>
                <c:pt idx="899">
                  <c:v>1553.5</c:v>
                </c:pt>
                <c:pt idx="900">
                  <c:v>1553</c:v>
                </c:pt>
                <c:pt idx="901">
                  <c:v>1552.5</c:v>
                </c:pt>
                <c:pt idx="902">
                  <c:v>1552</c:v>
                </c:pt>
                <c:pt idx="903">
                  <c:v>1551.5</c:v>
                </c:pt>
                <c:pt idx="904">
                  <c:v>1551</c:v>
                </c:pt>
                <c:pt idx="905">
                  <c:v>1550.5</c:v>
                </c:pt>
                <c:pt idx="906">
                  <c:v>1550</c:v>
                </c:pt>
                <c:pt idx="907">
                  <c:v>1549.5</c:v>
                </c:pt>
                <c:pt idx="908">
                  <c:v>1549</c:v>
                </c:pt>
                <c:pt idx="909">
                  <c:v>1548.5</c:v>
                </c:pt>
                <c:pt idx="910">
                  <c:v>1548</c:v>
                </c:pt>
                <c:pt idx="911">
                  <c:v>1547.5</c:v>
                </c:pt>
                <c:pt idx="912">
                  <c:v>1547</c:v>
                </c:pt>
                <c:pt idx="913">
                  <c:v>1546.5</c:v>
                </c:pt>
                <c:pt idx="914">
                  <c:v>1546</c:v>
                </c:pt>
                <c:pt idx="915">
                  <c:v>1545.5</c:v>
                </c:pt>
                <c:pt idx="916">
                  <c:v>1545</c:v>
                </c:pt>
                <c:pt idx="917">
                  <c:v>1544.5</c:v>
                </c:pt>
                <c:pt idx="918">
                  <c:v>1544</c:v>
                </c:pt>
                <c:pt idx="919">
                  <c:v>1543.5</c:v>
                </c:pt>
                <c:pt idx="920">
                  <c:v>1543</c:v>
                </c:pt>
                <c:pt idx="921">
                  <c:v>1542.5</c:v>
                </c:pt>
                <c:pt idx="922">
                  <c:v>1542</c:v>
                </c:pt>
                <c:pt idx="923">
                  <c:v>1541.5</c:v>
                </c:pt>
                <c:pt idx="924">
                  <c:v>1541</c:v>
                </c:pt>
                <c:pt idx="925">
                  <c:v>1540.5</c:v>
                </c:pt>
                <c:pt idx="926">
                  <c:v>1540</c:v>
                </c:pt>
                <c:pt idx="927">
                  <c:v>1539.5</c:v>
                </c:pt>
                <c:pt idx="928">
                  <c:v>1539</c:v>
                </c:pt>
                <c:pt idx="929">
                  <c:v>1538.5</c:v>
                </c:pt>
                <c:pt idx="930">
                  <c:v>1538</c:v>
                </c:pt>
                <c:pt idx="931">
                  <c:v>1537.5</c:v>
                </c:pt>
                <c:pt idx="932">
                  <c:v>1537</c:v>
                </c:pt>
                <c:pt idx="933">
                  <c:v>1536.5</c:v>
                </c:pt>
                <c:pt idx="934">
                  <c:v>1536</c:v>
                </c:pt>
                <c:pt idx="935">
                  <c:v>1535.5</c:v>
                </c:pt>
                <c:pt idx="936">
                  <c:v>1535</c:v>
                </c:pt>
                <c:pt idx="937">
                  <c:v>1534.5</c:v>
                </c:pt>
                <c:pt idx="938">
                  <c:v>1534</c:v>
                </c:pt>
                <c:pt idx="939">
                  <c:v>1533.5</c:v>
                </c:pt>
                <c:pt idx="940">
                  <c:v>1533</c:v>
                </c:pt>
                <c:pt idx="941">
                  <c:v>1532.5</c:v>
                </c:pt>
                <c:pt idx="942">
                  <c:v>1532</c:v>
                </c:pt>
                <c:pt idx="943">
                  <c:v>1531.5</c:v>
                </c:pt>
                <c:pt idx="944">
                  <c:v>1531</c:v>
                </c:pt>
                <c:pt idx="945">
                  <c:v>1530.5</c:v>
                </c:pt>
                <c:pt idx="946">
                  <c:v>1530</c:v>
                </c:pt>
                <c:pt idx="947">
                  <c:v>1529.5</c:v>
                </c:pt>
                <c:pt idx="948">
                  <c:v>1529</c:v>
                </c:pt>
                <c:pt idx="949">
                  <c:v>1528.5</c:v>
                </c:pt>
                <c:pt idx="950">
                  <c:v>1528</c:v>
                </c:pt>
                <c:pt idx="951">
                  <c:v>1527.5</c:v>
                </c:pt>
                <c:pt idx="952">
                  <c:v>1527</c:v>
                </c:pt>
                <c:pt idx="953">
                  <c:v>1526.5</c:v>
                </c:pt>
                <c:pt idx="954">
                  <c:v>1526</c:v>
                </c:pt>
                <c:pt idx="955">
                  <c:v>1525.5</c:v>
                </c:pt>
                <c:pt idx="956">
                  <c:v>1525</c:v>
                </c:pt>
                <c:pt idx="957">
                  <c:v>1524.5</c:v>
                </c:pt>
                <c:pt idx="958">
                  <c:v>1524</c:v>
                </c:pt>
                <c:pt idx="959">
                  <c:v>1523.5</c:v>
                </c:pt>
                <c:pt idx="960">
                  <c:v>1523</c:v>
                </c:pt>
                <c:pt idx="961">
                  <c:v>1510.7</c:v>
                </c:pt>
                <c:pt idx="962">
                  <c:v>1498.4</c:v>
                </c:pt>
                <c:pt idx="963">
                  <c:v>1486.1000000000001</c:v>
                </c:pt>
                <c:pt idx="964">
                  <c:v>1473.8000000000002</c:v>
                </c:pt>
                <c:pt idx="965">
                  <c:v>1461.5</c:v>
                </c:pt>
                <c:pt idx="966">
                  <c:v>1449.2</c:v>
                </c:pt>
                <c:pt idx="967">
                  <c:v>1436.9</c:v>
                </c:pt>
                <c:pt idx="968">
                  <c:v>1424.6000000000001</c:v>
                </c:pt>
                <c:pt idx="969">
                  <c:v>1412.3</c:v>
                </c:pt>
                <c:pt idx="970">
                  <c:v>1400</c:v>
                </c:pt>
                <c:pt idx="971">
                  <c:v>1387.7</c:v>
                </c:pt>
                <c:pt idx="972">
                  <c:v>1375.4</c:v>
                </c:pt>
                <c:pt idx="973">
                  <c:v>1363.1000000000001</c:v>
                </c:pt>
                <c:pt idx="974">
                  <c:v>1350.8</c:v>
                </c:pt>
                <c:pt idx="975">
                  <c:v>1338.5</c:v>
                </c:pt>
                <c:pt idx="976">
                  <c:v>1326.2</c:v>
                </c:pt>
                <c:pt idx="977">
                  <c:v>1313.9</c:v>
                </c:pt>
                <c:pt idx="978">
                  <c:v>1301.5999999999999</c:v>
                </c:pt>
                <c:pt idx="979">
                  <c:v>1289.3000000000002</c:v>
                </c:pt>
                <c:pt idx="980">
                  <c:v>1277</c:v>
                </c:pt>
                <c:pt idx="981">
                  <c:v>1264.7</c:v>
                </c:pt>
                <c:pt idx="982">
                  <c:v>1252.4000000000001</c:v>
                </c:pt>
                <c:pt idx="983">
                  <c:v>1240.0999999999999</c:v>
                </c:pt>
                <c:pt idx="984">
                  <c:v>1227.8000000000002</c:v>
                </c:pt>
                <c:pt idx="985">
                  <c:v>1215.5</c:v>
                </c:pt>
                <c:pt idx="986">
                  <c:v>1203.2</c:v>
                </c:pt>
                <c:pt idx="987">
                  <c:v>1190.9000000000001</c:v>
                </c:pt>
                <c:pt idx="988">
                  <c:v>1178.5999999999999</c:v>
                </c:pt>
                <c:pt idx="989">
                  <c:v>1166.3000000000002</c:v>
                </c:pt>
                <c:pt idx="990">
                  <c:v>1154</c:v>
                </c:pt>
                <c:pt idx="991">
                  <c:v>1141.7</c:v>
                </c:pt>
                <c:pt idx="992">
                  <c:v>1129.4000000000001</c:v>
                </c:pt>
                <c:pt idx="993">
                  <c:v>1117.0999999999999</c:v>
                </c:pt>
                <c:pt idx="994">
                  <c:v>1104.8000000000002</c:v>
                </c:pt>
                <c:pt idx="995">
                  <c:v>1092.5</c:v>
                </c:pt>
                <c:pt idx="996">
                  <c:v>1080.2</c:v>
                </c:pt>
                <c:pt idx="997">
                  <c:v>1067.9000000000001</c:v>
                </c:pt>
                <c:pt idx="998">
                  <c:v>1055.5999999999999</c:v>
                </c:pt>
                <c:pt idx="999">
                  <c:v>1043.3000000000002</c:v>
                </c:pt>
                <c:pt idx="1000">
                  <c:v>1031</c:v>
                </c:pt>
                <c:pt idx="1001">
                  <c:v>1018.7</c:v>
                </c:pt>
                <c:pt idx="1002">
                  <c:v>1006.4000000000001</c:v>
                </c:pt>
                <c:pt idx="1003">
                  <c:v>994.1</c:v>
                </c:pt>
                <c:pt idx="1004">
                  <c:v>981.80000000000007</c:v>
                </c:pt>
                <c:pt idx="1005">
                  <c:v>969.5</c:v>
                </c:pt>
                <c:pt idx="1006">
                  <c:v>957.2</c:v>
                </c:pt>
              </c:numCache>
            </c:numRef>
          </c:xVal>
          <c:yVal>
            <c:numRef>
              <c:f>Sheet2!$Q$31:$Q$1037</c:f>
              <c:numCache>
                <c:formatCode>0.00E+00</c:formatCode>
                <c:ptCount val="1007"/>
                <c:pt idx="0">
                  <c:v>2.6966339557549126E+19</c:v>
                </c:pt>
                <c:pt idx="1">
                  <c:v>2.7087903824514953E+19</c:v>
                </c:pt>
                <c:pt idx="2">
                  <c:v>2.721007723572344E+19</c:v>
                </c:pt>
                <c:pt idx="3">
                  <c:v>2.7332863134802829E+19</c:v>
                </c:pt>
                <c:pt idx="4">
                  <c:v>2.7456264885273616E+19</c:v>
                </c:pt>
                <c:pt idx="5">
                  <c:v>2.7580285870673973E+19</c:v>
                </c:pt>
                <c:pt idx="6">
                  <c:v>2.7704929494688965E+19</c:v>
                </c:pt>
                <c:pt idx="7">
                  <c:v>2.7830199181279416E+19</c:v>
                </c:pt>
                <c:pt idx="8">
                  <c:v>2.7956098374811222E+19</c:v>
                </c:pt>
                <c:pt idx="9">
                  <c:v>2.8082630540186354E+19</c:v>
                </c:pt>
                <c:pt idx="10">
                  <c:v>2.8209799162974642E+19</c:v>
                </c:pt>
                <c:pt idx="11">
                  <c:v>2.8337607749545697E+19</c:v>
                </c:pt>
                <c:pt idx="12">
                  <c:v>2.8466059827203285E+19</c:v>
                </c:pt>
                <c:pt idx="13">
                  <c:v>2.8595158944318583E+19</c:v>
                </c:pt>
                <c:pt idx="14">
                  <c:v>2.8724908670466388E+19</c:v>
                </c:pt>
                <c:pt idx="15">
                  <c:v>2.8855312596560409E+19</c:v>
                </c:pt>
                <c:pt idx="16">
                  <c:v>2.8986374334991135E+19</c:v>
                </c:pt>
                <c:pt idx="17">
                  <c:v>2.9118097519763415E+19</c:v>
                </c:pt>
                <c:pt idx="18">
                  <c:v>2.9250485806635606E+19</c:v>
                </c:pt>
                <c:pt idx="19">
                  <c:v>2.9383542873259766E+19</c:v>
                </c:pt>
                <c:pt idx="20">
                  <c:v>2.9517272419321991E+19</c:v>
                </c:pt>
                <c:pt idx="21">
                  <c:v>2.965167816668466E+19</c:v>
                </c:pt>
                <c:pt idx="22">
                  <c:v>2.9786763859529626E+19</c:v>
                </c:pt>
                <c:pt idx="23">
                  <c:v>2.9922533264501383E+19</c:v>
                </c:pt>
                <c:pt idx="24">
                  <c:v>3.0058990170852254E+19</c:v>
                </c:pt>
                <c:pt idx="25">
                  <c:v>3.0196138390588465E+19</c:v>
                </c:pt>
                <c:pt idx="26">
                  <c:v>3.0333981758616166E+19</c:v>
                </c:pt>
                <c:pt idx="27">
                  <c:v>3.0472524132890288E+19</c:v>
                </c:pt>
                <c:pt idx="28">
                  <c:v>3.0611769394562683E+19</c:v>
                </c:pt>
                <c:pt idx="29">
                  <c:v>3.0751721448132407E+19</c:v>
                </c:pt>
                <c:pt idx="30">
                  <c:v>3.0892384221596312E+19</c:v>
                </c:pt>
                <c:pt idx="31">
                  <c:v>3.1033761666601214E+19</c:v>
                </c:pt>
                <c:pt idx="32">
                  <c:v>3.1175857758597132E+19</c:v>
                </c:pt>
                <c:pt idx="33">
                  <c:v>3.1318676496990757E+19</c:v>
                </c:pt>
                <c:pt idx="34">
                  <c:v>3.1462221905301197E+19</c:v>
                </c:pt>
                <c:pt idx="35">
                  <c:v>3.1606498031315968E+19</c:v>
                </c:pt>
                <c:pt idx="36">
                  <c:v>3.1751508947247813E+19</c:v>
                </c:pt>
                <c:pt idx="37">
                  <c:v>3.1897258749894078E+19</c:v>
                </c:pt>
                <c:pt idx="38">
                  <c:v>3.2043751560795275E+19</c:v>
                </c:pt>
                <c:pt idx="39">
                  <c:v>3.219099152639624E+19</c:v>
                </c:pt>
                <c:pt idx="40">
                  <c:v>3.2338982818207384E+19</c:v>
                </c:pt>
                <c:pt idx="41">
                  <c:v>3.2487729632967492E+19</c:v>
                </c:pt>
                <c:pt idx="42">
                  <c:v>3.2637236192808677E+19</c:v>
                </c:pt>
                <c:pt idx="43">
                  <c:v>3.2787506745419833E+19</c:v>
                </c:pt>
                <c:pt idx="44">
                  <c:v>3.2938545564214125E+19</c:v>
                </c:pt>
                <c:pt idx="45">
                  <c:v>3.3090356948495974E+19</c:v>
                </c:pt>
                <c:pt idx="46">
                  <c:v>3.3242945223629038E+19</c:v>
                </c:pt>
                <c:pt idx="47">
                  <c:v>3.3396314741207171E+19</c:v>
                </c:pt>
                <c:pt idx="48">
                  <c:v>3.3550469879224005E+19</c:v>
                </c:pt>
                <c:pt idx="49">
                  <c:v>3.3705415042245964E+19</c:v>
                </c:pt>
                <c:pt idx="50">
                  <c:v>3.3861154661585072E+19</c:v>
                </c:pt>
                <c:pt idx="51">
                  <c:v>3.4017693195473367E+19</c:v>
                </c:pt>
                <c:pt idx="52">
                  <c:v>3.4175035129239011E+19</c:v>
                </c:pt>
                <c:pt idx="53">
                  <c:v>3.4333184975482872E+19</c:v>
                </c:pt>
                <c:pt idx="54">
                  <c:v>3.4492147274257134E+19</c:v>
                </c:pt>
                <c:pt idx="55">
                  <c:v>3.4651926593243701E+19</c:v>
                </c:pt>
                <c:pt idx="56">
                  <c:v>3.4812527527935803E+19</c:v>
                </c:pt>
                <c:pt idx="57">
                  <c:v>3.4973954701819912E+19</c:v>
                </c:pt>
                <c:pt idx="58">
                  <c:v>3.5136212766558122E+19</c:v>
                </c:pt>
                <c:pt idx="59">
                  <c:v>3.5299306402173506E+19</c:v>
                </c:pt>
                <c:pt idx="60">
                  <c:v>3.5463240317235057E+19</c:v>
                </c:pt>
                <c:pt idx="61">
                  <c:v>3.5628019249045254E+19</c:v>
                </c:pt>
                <c:pt idx="62">
                  <c:v>3.5793647963828748E+19</c:v>
                </c:pt>
                <c:pt idx="63">
                  <c:v>3.5960131256920629E+19</c:v>
                </c:pt>
                <c:pt idx="64">
                  <c:v>3.6127473952959443E+19</c:v>
                </c:pt>
                <c:pt idx="65">
                  <c:v>3.629568090607777E+19</c:v>
                </c:pt>
                <c:pt idx="66">
                  <c:v>3.6464757000096666E+19</c:v>
                </c:pt>
                <c:pt idx="67">
                  <c:v>3.6634707148720837E+19</c:v>
                </c:pt>
                <c:pt idx="68">
                  <c:v>3.6805536295734903E+19</c:v>
                </c:pt>
                <c:pt idx="69">
                  <c:v>3.6977249415200883E+19</c:v>
                </c:pt>
                <c:pt idx="70">
                  <c:v>3.7149851511657636E+19</c:v>
                </c:pt>
                <c:pt idx="71">
                  <c:v>3.7323347620321624E+19</c:v>
                </c:pt>
                <c:pt idx="72">
                  <c:v>3.7497742807288717E+19</c:v>
                </c:pt>
                <c:pt idx="73">
                  <c:v>3.7673042169737462E+19</c:v>
                </c:pt>
                <c:pt idx="74">
                  <c:v>3.7849250836133683E+19</c:v>
                </c:pt>
                <c:pt idx="75">
                  <c:v>3.8026373966437794E+19</c:v>
                </c:pt>
                <c:pt idx="76">
                  <c:v>3.8204416752311181E+19</c:v>
                </c:pt>
                <c:pt idx="77">
                  <c:v>3.8383384417326375E+19</c:v>
                </c:pt>
                <c:pt idx="78">
                  <c:v>3.8563282217177522E+19</c:v>
                </c:pt>
                <c:pt idx="79">
                  <c:v>3.8744115439891857E+19</c:v>
                </c:pt>
                <c:pt idx="80">
                  <c:v>3.8925889406044226E+19</c:v>
                </c:pt>
                <c:pt idx="81">
                  <c:v>3.9108609468971704E+19</c:v>
                </c:pt>
                <c:pt idx="82">
                  <c:v>3.9292281014990627E+19</c:v>
                </c:pt>
                <c:pt idx="83">
                  <c:v>3.9476909463614349E+19</c:v>
                </c:pt>
                <c:pt idx="84">
                  <c:v>3.9662500267773231E+19</c:v>
                </c:pt>
                <c:pt idx="85">
                  <c:v>3.9849058914035909E+19</c:v>
                </c:pt>
                <c:pt idx="86">
                  <c:v>4.0036590922832216E+19</c:v>
                </c:pt>
                <c:pt idx="87">
                  <c:v>4.022510184867722E+19</c:v>
                </c:pt>
                <c:pt idx="88">
                  <c:v>4.0414597280397869E+19</c:v>
                </c:pt>
                <c:pt idx="89">
                  <c:v>4.0605082841360179E+19</c:v>
                </c:pt>
                <c:pt idx="90">
                  <c:v>4.0796564189698253E+19</c:v>
                </c:pt>
                <c:pt idx="91">
                  <c:v>4.0989047018545709E+19</c:v>
                </c:pt>
                <c:pt idx="92">
                  <c:v>4.1182537056267674E+19</c:v>
                </c:pt>
                <c:pt idx="93">
                  <c:v>4.1377040066695201E+19</c:v>
                </c:pt>
                <c:pt idx="94">
                  <c:v>4.1572561849360843E+19</c:v>
                </c:pt>
                <c:pt idx="95">
                  <c:v>4.1769108239736136E+19</c:v>
                </c:pt>
                <c:pt idx="96">
                  <c:v>4.1966685109470945E+19</c:v>
                </c:pt>
                <c:pt idx="97">
                  <c:v>4.216529836663423E+19</c:v>
                </c:pt>
                <c:pt idx="98">
                  <c:v>4.2364953955956441E+19</c:v>
                </c:pt>
                <c:pt idx="99">
                  <c:v>4.2565657859073761E+19</c:v>
                </c:pt>
                <c:pt idx="100">
                  <c:v>4.2767416094774542E+19</c:v>
                </c:pt>
                <c:pt idx="101">
                  <c:v>4.2970234719246442E+19</c:v>
                </c:pt>
                <c:pt idx="102">
                  <c:v>4.317411982632652E+19</c:v>
                </c:pt>
                <c:pt idx="103">
                  <c:v>4.337907754775235E+19</c:v>
                </c:pt>
                <c:pt idx="104">
                  <c:v>4.3585114053414961E+19</c:v>
                </c:pt>
                <c:pt idx="105">
                  <c:v>4.3792235551613665E+19</c:v>
                </c:pt>
                <c:pt idx="106">
                  <c:v>4.4000448289313227E+19</c:v>
                </c:pt>
                <c:pt idx="107">
                  <c:v>4.4209758552401871E+19</c:v>
                </c:pt>
                <c:pt idx="108">
                  <c:v>4.4420172665952199E+19</c:v>
                </c:pt>
                <c:pt idx="109">
                  <c:v>4.4631696994482954E+19</c:v>
                </c:pt>
                <c:pt idx="110">
                  <c:v>4.484433794222338E+19</c:v>
                </c:pt>
                <c:pt idx="111">
                  <c:v>4.5058101953378804E+19</c:v>
                </c:pt>
                <c:pt idx="112">
                  <c:v>4.5272995512399684E+19</c:v>
                </c:pt>
                <c:pt idx="113">
                  <c:v>4.5489025144249885E+19</c:v>
                </c:pt>
                <c:pt idx="114">
                  <c:v>4.5706197414679757E+19</c:v>
                </c:pt>
                <c:pt idx="115">
                  <c:v>4.592451893049892E+19</c:v>
                </c:pt>
                <c:pt idx="116">
                  <c:v>4.6143996339852427E+19</c:v>
                </c:pt>
                <c:pt idx="117">
                  <c:v>4.6364636332497977E+19</c:v>
                </c:pt>
                <c:pt idx="118">
                  <c:v>4.6586445640086233E+19</c:v>
                </c:pt>
                <c:pt idx="119">
                  <c:v>4.6809431036441805E+19</c:v>
                </c:pt>
                <c:pt idx="120">
                  <c:v>4.7033599337846637E+19</c:v>
                </c:pt>
                <c:pt idx="121">
                  <c:v>4.725895740332689E+19</c:v>
                </c:pt>
                <c:pt idx="122">
                  <c:v>4.7485512134939189E+19</c:v>
                </c:pt>
                <c:pt idx="123">
                  <c:v>4.7713270478061494E+19</c:v>
                </c:pt>
                <c:pt idx="124">
                  <c:v>4.7942239421684498E+19</c:v>
                </c:pt>
                <c:pt idx="125">
                  <c:v>4.8172425998706016E+19</c:v>
                </c:pt>
                <c:pt idx="126">
                  <c:v>4.8403837286226059E+19</c:v>
                </c:pt>
                <c:pt idx="127">
                  <c:v>4.8636480405846491E+19</c:v>
                </c:pt>
                <c:pt idx="128">
                  <c:v>4.8870362523970036E+19</c:v>
                </c:pt>
                <c:pt idx="129">
                  <c:v>4.9105490852103741E+19</c:v>
                </c:pt>
                <c:pt idx="130">
                  <c:v>4.9341872647163199E+19</c:v>
                </c:pt>
                <c:pt idx="131">
                  <c:v>4.9579515211779826E+19</c:v>
                </c:pt>
                <c:pt idx="132">
                  <c:v>4.9818425894609142E+19</c:v>
                </c:pt>
                <c:pt idx="133">
                  <c:v>5.005861209064344E+19</c:v>
                </c:pt>
                <c:pt idx="134">
                  <c:v>5.0300081241524109E+19</c:v>
                </c:pt>
                <c:pt idx="135">
                  <c:v>5.0542840835858285E+19</c:v>
                </c:pt>
                <c:pt idx="136">
                  <c:v>5.0786898409536324E+19</c:v>
                </c:pt>
                <c:pt idx="137">
                  <c:v>5.1032261546052764E+19</c:v>
                </c:pt>
                <c:pt idx="138">
                  <c:v>5.1278937876829372E+19</c:v>
                </c:pt>
                <c:pt idx="139">
                  <c:v>5.152693508153874E+19</c:v>
                </c:pt>
                <c:pt idx="140">
                  <c:v>5.1776260888433828E+19</c:v>
                </c:pt>
                <c:pt idx="141">
                  <c:v>5.202692307467595E+19</c:v>
                </c:pt>
                <c:pt idx="142">
                  <c:v>5.2278929466667581E+19</c:v>
                </c:pt>
                <c:pt idx="143">
                  <c:v>5.2532287940387529E+19</c:v>
                </c:pt>
                <c:pt idx="144">
                  <c:v>5.2787006421727076E+19</c:v>
                </c:pt>
                <c:pt idx="145">
                  <c:v>5.3043092886830064E+19</c:v>
                </c:pt>
                <c:pt idx="146">
                  <c:v>5.3300555362434302E+19</c:v>
                </c:pt>
                <c:pt idx="147">
                  <c:v>5.3559401926216368E+19</c:v>
                </c:pt>
                <c:pt idx="148">
                  <c:v>5.3819640707138413E+19</c:v>
                </c:pt>
                <c:pt idx="149">
                  <c:v>5.4081279885797401E+19</c:v>
                </c:pt>
                <c:pt idx="150">
                  <c:v>5.4344327694777344E+19</c:v>
                </c:pt>
                <c:pt idx="151">
                  <c:v>5.4608792419003843E+19</c:v>
                </c:pt>
                <c:pt idx="152">
                  <c:v>5.4874682396100305E+19</c:v>
                </c:pt>
                <c:pt idx="153">
                  <c:v>5.5142006016749208E+19</c:v>
                </c:pt>
                <c:pt idx="154">
                  <c:v>5.5410771725053297E+19</c:v>
                </c:pt>
                <c:pt idx="155">
                  <c:v>5.568098801890082E+19</c:v>
                </c:pt>
                <c:pt idx="156">
                  <c:v>5.595266345033293E+19</c:v>
                </c:pt>
                <c:pt idx="157">
                  <c:v>5.6225806625914094E+19</c:v>
                </c:pt>
                <c:pt idx="158">
                  <c:v>5.6500426207105843E+19</c:v>
                </c:pt>
                <c:pt idx="159">
                  <c:v>5.6776530910640824E+19</c:v>
                </c:pt>
                <c:pt idx="160">
                  <c:v>5.7054129508903043E+19</c:v>
                </c:pt>
                <c:pt idx="161">
                  <c:v>5.7333230830307959E+19</c:v>
                </c:pt>
                <c:pt idx="162">
                  <c:v>5.7613843759686713E+19</c:v>
                </c:pt>
                <c:pt idx="163">
                  <c:v>5.7895977238672974E+19</c:v>
                </c:pt>
                <c:pt idx="164">
                  <c:v>5.8179640266092691E+19</c:v>
                </c:pt>
                <c:pt idx="165">
                  <c:v>5.8464841898356736E+19</c:v>
                </c:pt>
                <c:pt idx="166">
                  <c:v>5.8751591249855742E+19</c:v>
                </c:pt>
                <c:pt idx="167">
                  <c:v>5.9039897493358387E+19</c:v>
                </c:pt>
                <c:pt idx="168">
                  <c:v>5.9329769860413284E+19</c:v>
                </c:pt>
                <c:pt idx="169">
                  <c:v>5.962121764175242E+19</c:v>
                </c:pt>
                <c:pt idx="170">
                  <c:v>5.9914250187698135E+19</c:v>
                </c:pt>
                <c:pt idx="171">
                  <c:v>6.0208876908574032E+19</c:v>
                </c:pt>
                <c:pt idx="172">
                  <c:v>6.0505107275117044E+19</c:v>
                </c:pt>
                <c:pt idx="173">
                  <c:v>6.0802950818893554E+19</c:v>
                </c:pt>
                <c:pt idx="174">
                  <c:v>6.1102417132719718E+19</c:v>
                </c:pt>
                <c:pt idx="175">
                  <c:v>6.1403515871082594E+19</c:v>
                </c:pt>
                <c:pt idx="176">
                  <c:v>6.1706256750565556E+19</c:v>
                </c:pt>
                <c:pt idx="177">
                  <c:v>6.2010649550277042E+19</c:v>
                </c:pt>
                <c:pt idx="178">
                  <c:v>6.2316704112282157E+19</c:v>
                </c:pt>
                <c:pt idx="179">
                  <c:v>6.2624430342037357E+19</c:v>
                </c:pt>
                <c:pt idx="180">
                  <c:v>6.2933838208828637E+19</c:v>
                </c:pt>
                <c:pt idx="181">
                  <c:v>6.3244937746212397E+19</c:v>
                </c:pt>
                <c:pt idx="182">
                  <c:v>6.355773905245995E+19</c:v>
                </c:pt>
                <c:pt idx="183">
                  <c:v>6.3872252291005735E+19</c:v>
                </c:pt>
                <c:pt idx="184">
                  <c:v>6.4188487690897555E+19</c:v>
                </c:pt>
                <c:pt idx="185">
                  <c:v>6.4506455547252048E+19</c:v>
                </c:pt>
                <c:pt idx="186">
                  <c:v>6.4826166221711213E+19</c:v>
                </c:pt>
                <c:pt idx="187">
                  <c:v>6.5147630142904615E+19</c:v>
                </c:pt>
                <c:pt idx="188">
                  <c:v>6.547085780691261E+19</c:v>
                </c:pt>
                <c:pt idx="189">
                  <c:v>6.5795859777735475E+19</c:v>
                </c:pt>
                <c:pt idx="190">
                  <c:v>6.6122646687764644E+19</c:v>
                </c:pt>
                <c:pt idx="191">
                  <c:v>6.6451229238257222E+19</c:v>
                </c:pt>
                <c:pt idx="192">
                  <c:v>6.6781618199814136E+19</c:v>
                </c:pt>
                <c:pt idx="193">
                  <c:v>6.7113824412862669E+19</c:v>
                </c:pt>
                <c:pt idx="194">
                  <c:v>6.744785878814199E+19</c:v>
                </c:pt>
                <c:pt idx="195">
                  <c:v>6.7783732307191923E+19</c:v>
                </c:pt>
                <c:pt idx="196">
                  <c:v>6.8121456022845866E+19</c:v>
                </c:pt>
                <c:pt idx="197">
                  <c:v>6.8461041059726877E+19</c:v>
                </c:pt>
                <c:pt idx="198">
                  <c:v>6.8802498614748971E+19</c:v>
                </c:pt>
                <c:pt idx="199">
                  <c:v>6.914583995761877E+19</c:v>
                </c:pt>
                <c:pt idx="200">
                  <c:v>6.9491076431345091E+19</c:v>
                </c:pt>
                <c:pt idx="201">
                  <c:v>6.98382194527493E+19</c:v>
                </c:pt>
                <c:pt idx="202">
                  <c:v>7.0187280512980443E+19</c:v>
                </c:pt>
                <c:pt idx="203">
                  <c:v>7.053827117803461E+19</c:v>
                </c:pt>
                <c:pt idx="204">
                  <c:v>7.0891203089277149E+19</c:v>
                </c:pt>
                <c:pt idx="205">
                  <c:v>7.1246087963970044E+19</c:v>
                </c:pt>
                <c:pt idx="206">
                  <c:v>7.1602937595802001E+19</c:v>
                </c:pt>
                <c:pt idx="207">
                  <c:v>7.1961763855422857E+19</c:v>
                </c:pt>
                <c:pt idx="208">
                  <c:v>7.2322578690983494E+19</c:v>
                </c:pt>
                <c:pt idx="209">
                  <c:v>7.2685394128676356E+19</c:v>
                </c:pt>
                <c:pt idx="210">
                  <c:v>7.305022227328399E+19</c:v>
                </c:pt>
                <c:pt idx="211">
                  <c:v>7.341707530872796E+19</c:v>
                </c:pt>
                <c:pt idx="212">
                  <c:v>7.3785965498626081E+19</c:v>
                </c:pt>
                <c:pt idx="213">
                  <c:v>7.4156905186848555E+19</c:v>
                </c:pt>
                <c:pt idx="214">
                  <c:v>7.4529906798083244E+19</c:v>
                </c:pt>
                <c:pt idx="215">
                  <c:v>7.4904982838401778E+19</c:v>
                </c:pt>
                <c:pt idx="216">
                  <c:v>7.5282145895832584E+19</c:v>
                </c:pt>
                <c:pt idx="217">
                  <c:v>7.5661408640934838E+19</c:v>
                </c:pt>
                <c:pt idx="218">
                  <c:v>7.6042783827380683E+19</c:v>
                </c:pt>
                <c:pt idx="219">
                  <c:v>7.6426284292537598E+19</c:v>
                </c:pt>
                <c:pt idx="220">
                  <c:v>7.6811922958059307E+19</c:v>
                </c:pt>
                <c:pt idx="221">
                  <c:v>7.7199712830478041E+19</c:v>
                </c:pt>
                <c:pt idx="222">
                  <c:v>7.7589667001802981E+19</c:v>
                </c:pt>
                <c:pt idx="223">
                  <c:v>7.7981798650121634E+19</c:v>
                </c:pt>
                <c:pt idx="224">
                  <c:v>7.8376121040207135E+19</c:v>
                </c:pt>
                <c:pt idx="225">
                  <c:v>7.8772647524129735E+19</c:v>
                </c:pt>
                <c:pt idx="226">
                  <c:v>7.9171391541872951E+19</c:v>
                </c:pt>
                <c:pt idx="227">
                  <c:v>7.9572366621953278E+19</c:v>
                </c:pt>
                <c:pt idx="228">
                  <c:v>7.9975586382046609E+19</c:v>
                </c:pt>
                <c:pt idx="229">
                  <c:v>8.0381064529616863E+19</c:v>
                </c:pt>
                <c:pt idx="230">
                  <c:v>8.0788814862551564E+19</c:v>
                </c:pt>
                <c:pt idx="231">
                  <c:v>8.1198851269801591E+19</c:v>
                </c:pt>
                <c:pt idx="232">
                  <c:v>8.1611187732024492E+19</c:v>
                </c:pt>
                <c:pt idx="233">
                  <c:v>8.2025838322234737E+19</c:v>
                </c:pt>
                <c:pt idx="234">
                  <c:v>8.2442817206456402E+19</c:v>
                </c:pt>
                <c:pt idx="235">
                  <c:v>8.28621386443834E+19</c:v>
                </c:pt>
                <c:pt idx="236">
                  <c:v>8.3283816990043095E+19</c:v>
                </c:pt>
                <c:pt idx="237">
                  <c:v>8.3707866692464853E+19</c:v>
                </c:pt>
                <c:pt idx="238">
                  <c:v>8.4134302296354914E+19</c:v>
                </c:pt>
                <c:pt idx="239">
                  <c:v>8.4563138442774725E+19</c:v>
                </c:pt>
                <c:pt idx="240">
                  <c:v>8.4994389869825212E+19</c:v>
                </c:pt>
                <c:pt idx="241">
                  <c:v>8.5428071413336277E+19</c:v>
                </c:pt>
                <c:pt idx="242">
                  <c:v>8.5864198007562715E+19</c:v>
                </c:pt>
                <c:pt idx="243">
                  <c:v>8.6302784685882016E+19</c:v>
                </c:pt>
                <c:pt idx="244">
                  <c:v>8.674384658150151E+19</c:v>
                </c:pt>
                <c:pt idx="245">
                  <c:v>8.718739892816683E+19</c:v>
                </c:pt>
                <c:pt idx="246">
                  <c:v>8.7633457060880253E+19</c:v>
                </c:pt>
                <c:pt idx="247">
                  <c:v>8.808203641662079E+19</c:v>
                </c:pt>
                <c:pt idx="248">
                  <c:v>8.8533152535070917E+19</c:v>
                </c:pt>
                <c:pt idx="249">
                  <c:v>8.8986821059349086E+19</c:v>
                </c:pt>
                <c:pt idx="250">
                  <c:v>8.9443057736747663E+19</c:v>
                </c:pt>
                <c:pt idx="251">
                  <c:v>8.9901878419477512E+19</c:v>
                </c:pt>
                <c:pt idx="252">
                  <c:v>9.0363299065415336E+19</c:v>
                </c:pt>
                <c:pt idx="253">
                  <c:v>9.0827335738860487E+19</c:v>
                </c:pt>
                <c:pt idx="254">
                  <c:v>9.1294004611294151E+19</c:v>
                </c:pt>
                <c:pt idx="255">
                  <c:v>9.1763321962146038E+19</c:v>
                </c:pt>
                <c:pt idx="256">
                  <c:v>9.223530417956746E+19</c:v>
                </c:pt>
                <c:pt idx="257">
                  <c:v>9.270996776120918E+19</c:v>
                </c:pt>
                <c:pt idx="258">
                  <c:v>9.3187329315004858E+19</c:v>
                </c:pt>
                <c:pt idx="259">
                  <c:v>9.3667405559961879E+19</c:v>
                </c:pt>
                <c:pt idx="260">
                  <c:v>9.4150213326957478E+19</c:v>
                </c:pt>
                <c:pt idx="261">
                  <c:v>9.4635769559539712E+19</c:v>
                </c:pt>
                <c:pt idx="262">
                  <c:v>9.5124091314737676E+19</c:v>
                </c:pt>
                <c:pt idx="263">
                  <c:v>9.5615195763874824E+19</c:v>
                </c:pt>
                <c:pt idx="264">
                  <c:v>9.6109100193389347E+19</c:v>
                </c:pt>
                <c:pt idx="265">
                  <c:v>9.6605822005662925E+19</c:v>
                </c:pt>
                <c:pt idx="266">
                  <c:v>9.7105378719851348E+19</c:v>
                </c:pt>
                <c:pt idx="267">
                  <c:v>9.7607787972726931E+19</c:v>
                </c:pt>
                <c:pt idx="268">
                  <c:v>9.81130675195228E+19</c:v>
                </c:pt>
                <c:pt idx="269">
                  <c:v>9.8621235234786787E+19</c:v>
                </c:pt>
                <c:pt idx="270">
                  <c:v>9.9132309113239634E+19</c:v>
                </c:pt>
                <c:pt idx="271">
                  <c:v>9.9646307270640796E+19</c:v>
                </c:pt>
                <c:pt idx="272">
                  <c:v>1.0016324794466116E+20</c:v>
                </c:pt>
                <c:pt idx="273">
                  <c:v>1.0068314949576293E+20</c:v>
                </c:pt>
                <c:pt idx="274">
                  <c:v>1.0120603040808377E+20</c:v>
                </c:pt>
                <c:pt idx="275">
                  <c:v>1.017319092903308E+20</c:v>
                </c:pt>
                <c:pt idx="276">
                  <c:v>1.0226080487667914E+20</c:v>
                </c:pt>
                <c:pt idx="277">
                  <c:v>1.0279273602767942E+20</c:v>
                </c:pt>
                <c:pt idx="278">
                  <c:v>1.0332772173116985E+20</c:v>
                </c:pt>
                <c:pt idx="279">
                  <c:v>1.0386578110319763E+20</c:v>
                </c:pt>
                <c:pt idx="280">
                  <c:v>1.0440693338894737E+20</c:v>
                </c:pt>
                <c:pt idx="281">
                  <c:v>1.0495119796367278E+20</c:v>
                </c:pt>
                <c:pt idx="282">
                  <c:v>1.0549859433364154E+20</c:v>
                </c:pt>
                <c:pt idx="283">
                  <c:v>1.0604914213708266E+20</c:v>
                </c:pt>
                <c:pt idx="284">
                  <c:v>1.0660286114514398E+20</c:v>
                </c:pt>
                <c:pt idx="285">
                  <c:v>1.0715977126285582E+20</c:v>
                </c:pt>
                <c:pt idx="286">
                  <c:v>1.0771989253010065E+20</c:v>
                </c:pt>
                <c:pt idx="287">
                  <c:v>1.0828324512259501E+20</c:v>
                </c:pt>
                <c:pt idx="288">
                  <c:v>1.0884984935287321E+20</c:v>
                </c:pt>
                <c:pt idx="289">
                  <c:v>1.0941972567128213E+20</c:v>
                </c:pt>
                <c:pt idx="290">
                  <c:v>1.0999289466698328E+20</c:v>
                </c:pt>
                <c:pt idx="291">
                  <c:v>1.1056937706896184E+20</c:v>
                </c:pt>
                <c:pt idx="292">
                  <c:v>1.1114919374704327E+20</c:v>
                </c:pt>
                <c:pt idx="293">
                  <c:v>1.1173236571292059E+20</c:v>
                </c:pt>
                <c:pt idx="294">
                  <c:v>1.1231891412118461E+20</c:v>
                </c:pt>
                <c:pt idx="295">
                  <c:v>1.1290886027036675E+20</c:v>
                </c:pt>
                <c:pt idx="296">
                  <c:v>1.1350222560398878E+20</c:v>
                </c:pt>
                <c:pt idx="297">
                  <c:v>1.1409903171161771E+20</c:v>
                </c:pt>
                <c:pt idx="298">
                  <c:v>1.1469930032993329E+20</c:v>
                </c:pt>
                <c:pt idx="299">
                  <c:v>1.1530305334380184E+20</c:v>
                </c:pt>
                <c:pt idx="300">
                  <c:v>1.1591031278735683E+20</c:v>
                </c:pt>
                <c:pt idx="301">
                  <c:v>1.1652110084509185E+20</c:v>
                </c:pt>
                <c:pt idx="302">
                  <c:v>1.1713543985295596E+20</c:v>
                </c:pt>
                <c:pt idx="303">
                  <c:v>1.1775335229946546E+20</c:v>
                </c:pt>
                <c:pt idx="304">
                  <c:v>1.1837486082681718E+20</c:v>
                </c:pt>
                <c:pt idx="305">
                  <c:v>1.1899998823201466E+20</c:v>
                </c:pt>
                <c:pt idx="306">
                  <c:v>1.1962875746800144E+20</c:v>
                </c:pt>
                <c:pt idx="307">
                  <c:v>1.2026119164480315E+20</c:v>
                </c:pt>
                <c:pt idx="308">
                  <c:v>1.2089731403067983E+20</c:v>
                </c:pt>
                <c:pt idx="309">
                  <c:v>1.2153714805328585E+20</c:v>
                </c:pt>
                <c:pt idx="310">
                  <c:v>1.2218071730083991E+20</c:v>
                </c:pt>
                <c:pt idx="311">
                  <c:v>1.2282804552330191E+20</c:v>
                </c:pt>
                <c:pt idx="312">
                  <c:v>1.2347915663356296E+20</c:v>
                </c:pt>
                <c:pt idx="313">
                  <c:v>1.2413407470864065E+20</c:v>
                </c:pt>
                <c:pt idx="314">
                  <c:v>1.2479282399088786E+20</c:v>
                </c:pt>
                <c:pt idx="315">
                  <c:v>1.2545542888920601E+20</c:v>
                </c:pt>
                <c:pt idx="316">
                  <c:v>1.2612191398027182E+20</c:v>
                </c:pt>
                <c:pt idx="317">
                  <c:v>1.2679230400977227E+20</c:v>
                </c:pt>
                <c:pt idx="318">
                  <c:v>1.2746662389364892E+20</c:v>
                </c:pt>
                <c:pt idx="319">
                  <c:v>1.2814489871935341E+20</c:v>
                </c:pt>
                <c:pt idx="320">
                  <c:v>1.2882715374711018E+20</c:v>
                </c:pt>
                <c:pt idx="321">
                  <c:v>1.2951341441119186E+20</c:v>
                </c:pt>
                <c:pt idx="322">
                  <c:v>1.3020370632120376E+20</c:v>
                </c:pt>
                <c:pt idx="323">
                  <c:v>1.3089805526337603E+20</c:v>
                </c:pt>
                <c:pt idx="324">
                  <c:v>1.3159648720187136E+20</c:v>
                </c:pt>
                <c:pt idx="325">
                  <c:v>1.3229902828009647E+20</c:v>
                </c:pt>
                <c:pt idx="326">
                  <c:v>1.3300570482203045E+20</c:v>
                </c:pt>
                <c:pt idx="327">
                  <c:v>1.3371654333355798E+20</c:v>
                </c:pt>
                <c:pt idx="328">
                  <c:v>1.3443157050381441E+20</c:v>
                </c:pt>
                <c:pt idx="329">
                  <c:v>1.3515081320654661E+20</c:v>
                </c:pt>
                <c:pt idx="330">
                  <c:v>1.3587429850147516E+20</c:v>
                </c:pt>
                <c:pt idx="331">
                  <c:v>1.3660205363567713E+20</c:v>
                </c:pt>
                <c:pt idx="332">
                  <c:v>1.3733410604497127E+20</c:v>
                </c:pt>
                <c:pt idx="333">
                  <c:v>1.3807048335531989E+20</c:v>
                </c:pt>
                <c:pt idx="334">
                  <c:v>1.3881121338423932E+20</c:v>
                </c:pt>
                <c:pt idx="335">
                  <c:v>1.39556324142223E+20</c:v>
                </c:pt>
                <c:pt idx="336">
                  <c:v>1.4030584383417296E+20</c:v>
                </c:pt>
                <c:pt idx="337">
                  <c:v>1.4105980086084647E+20</c:v>
                </c:pt>
                <c:pt idx="338">
                  <c:v>1.4181822382031009E+20</c:v>
                </c:pt>
                <c:pt idx="339">
                  <c:v>1.4258114150940993E+20</c:v>
                </c:pt>
                <c:pt idx="340">
                  <c:v>1.4334858292524836E+20</c:v>
                </c:pt>
                <c:pt idx="341">
                  <c:v>1.4412057726667651E+20</c:v>
                </c:pt>
                <c:pt idx="342">
                  <c:v>1.4489715393579757E+20</c:v>
                </c:pt>
                <c:pt idx="343">
                  <c:v>1.4567834253947843E+20</c:v>
                </c:pt>
                <c:pt idx="344">
                  <c:v>1.4646417289087998E+20</c:v>
                </c:pt>
                <c:pt idx="345">
                  <c:v>1.4725467501099496E+20</c:v>
                </c:pt>
                <c:pt idx="346">
                  <c:v>1.4804987913019851E+20</c:v>
                </c:pt>
                <c:pt idx="347">
                  <c:v>1.4884981568980995E+20</c:v>
                </c:pt>
                <c:pt idx="348">
                  <c:v>1.4965451534367267E+20</c:v>
                </c:pt>
                <c:pt idx="349">
                  <c:v>1.5046400895973838E+20</c:v>
                </c:pt>
                <c:pt idx="350">
                  <c:v>1.5127832762167021E+20</c:v>
                </c:pt>
                <c:pt idx="351">
                  <c:v>1.5209750263045675E+20</c:v>
                </c:pt>
                <c:pt idx="352">
                  <c:v>1.5292156550603607E+20</c:v>
                </c:pt>
                <c:pt idx="353">
                  <c:v>1.5375054798893951E+20</c:v>
                </c:pt>
                <c:pt idx="354">
                  <c:v>1.5458448204193933E+20</c:v>
                </c:pt>
                <c:pt idx="355">
                  <c:v>1.5542339985171762E+20</c:v>
                </c:pt>
                <c:pt idx="356">
                  <c:v>1.5626733383054501E+20</c:v>
                </c:pt>
                <c:pt idx="357">
                  <c:v>1.5711631661797281E+20</c:v>
                </c:pt>
                <c:pt idx="358">
                  <c:v>1.5797038108253861E+20</c:v>
                </c:pt>
                <c:pt idx="359">
                  <c:v>1.5882956032348465E+20</c:v>
                </c:pt>
                <c:pt idx="360">
                  <c:v>1.5969388767249374E+20</c:v>
                </c:pt>
                <c:pt idx="361">
                  <c:v>1.6056339669543617E+20</c:v>
                </c:pt>
                <c:pt idx="362">
                  <c:v>1.6143812119412828E+20</c:v>
                </c:pt>
                <c:pt idx="363">
                  <c:v>1.6231809520811072E+20</c:v>
                </c:pt>
                <c:pt idx="364">
                  <c:v>1.6320335301643374E+20</c:v>
                </c:pt>
                <c:pt idx="365">
                  <c:v>1.6409392913946788E+20</c:v>
                </c:pt>
                <c:pt idx="366">
                  <c:v>1.6498985834071418E+20</c:v>
                </c:pt>
                <c:pt idx="367">
                  <c:v>1.6589117562864324E+20</c:v>
                </c:pt>
                <c:pt idx="368">
                  <c:v>1.6679791625853993E+20</c:v>
                </c:pt>
                <c:pt idx="369">
                  <c:v>1.6771011573436547E+20</c:v>
                </c:pt>
                <c:pt idx="370">
                  <c:v>1.6862780981063559E+20</c:v>
                </c:pt>
                <c:pt idx="371">
                  <c:v>1.6955103449431382E+20</c:v>
                </c:pt>
                <c:pt idx="372">
                  <c:v>1.7047982604671622E+20</c:v>
                </c:pt>
                <c:pt idx="373">
                  <c:v>1.714142209854389E+20</c:v>
                </c:pt>
                <c:pt idx="374">
                  <c:v>1.7235425608628991E+20</c:v>
                </c:pt>
                <c:pt idx="375">
                  <c:v>1.7329996838524918E+20</c:v>
                </c:pt>
                <c:pt idx="376">
                  <c:v>1.7425139518043632E+20</c:v>
                </c:pt>
                <c:pt idx="377">
                  <c:v>1.7520857403409377E+20</c:v>
                </c:pt>
                <c:pt idx="378">
                  <c:v>1.7617154277459339E+20</c:v>
                </c:pt>
                <c:pt idx="379">
                  <c:v>1.7714033949844888E+20</c:v>
                </c:pt>
                <c:pt idx="380">
                  <c:v>1.7811500257235262E+20</c:v>
                </c:pt>
                <c:pt idx="381">
                  <c:v>1.79095570635227E+20</c:v>
                </c:pt>
                <c:pt idx="382">
                  <c:v>1.800820826002877E+20</c:v>
                </c:pt>
                <c:pt idx="383">
                  <c:v>1.8107457765713163E+20</c:v>
                </c:pt>
                <c:pt idx="384">
                  <c:v>1.8207309527383569E+20</c:v>
                </c:pt>
                <c:pt idx="385">
                  <c:v>1.8307767519907152E+20</c:v>
                </c:pt>
                <c:pt idx="386">
                  <c:v>1.840883574642458E+20</c:v>
                </c:pt>
                <c:pt idx="387">
                  <c:v>1.8510518238564762E+20</c:v>
                </c:pt>
                <c:pt idx="388">
                  <c:v>1.8612819056661787E+20</c:v>
                </c:pt>
                <c:pt idx="389">
                  <c:v>1.8715742289974054E+20</c:v>
                </c:pt>
                <c:pt idx="390">
                  <c:v>1.8819292056904126E+20</c:v>
                </c:pt>
                <c:pt idx="391">
                  <c:v>1.8923472505221395E+20</c:v>
                </c:pt>
                <c:pt idx="392">
                  <c:v>1.9028287812286176E+20</c:v>
                </c:pt>
                <c:pt idx="393">
                  <c:v>1.9133742185275113E+20</c:v>
                </c:pt>
                <c:pt idx="394">
                  <c:v>1.9239839861409477E+20</c:v>
                </c:pt>
                <c:pt idx="395">
                  <c:v>1.934658510818417E+20</c:v>
                </c:pt>
                <c:pt idx="396">
                  <c:v>1.9453982223599704E+20</c:v>
                </c:pt>
                <c:pt idx="397">
                  <c:v>1.9562035536394922E+20</c:v>
                </c:pt>
                <c:pt idx="398">
                  <c:v>1.9670749406282754E+20</c:v>
                </c:pt>
                <c:pt idx="399">
                  <c:v>1.9780128224186915E+20</c:v>
                </c:pt>
                <c:pt idx="400">
                  <c:v>1.9890176412481002E+20</c:v>
                </c:pt>
                <c:pt idx="401">
                  <c:v>2.0000898425229767E+20</c:v>
                </c:pt>
                <c:pt idx="402">
                  <c:v>2.011229874843185E+20</c:v>
                </c:pt>
                <c:pt idx="403">
                  <c:v>2.0224381900264712E+20</c:v>
                </c:pt>
                <c:pt idx="404">
                  <c:v>2.0337152431331633E+20</c:v>
                </c:pt>
                <c:pt idx="405">
                  <c:v>2.0450614924910671E+20</c:v>
                </c:pt>
                <c:pt idx="406">
                  <c:v>2.0564773997205527E+20</c:v>
                </c:pt>
                <c:pt idx="407">
                  <c:v>2.0679634297598919E+20</c:v>
                </c:pt>
                <c:pt idx="408">
                  <c:v>2.0795200508907117E+20</c:v>
                </c:pt>
                <c:pt idx="409">
                  <c:v>2.0911477347637736E+20</c:v>
                </c:pt>
                <c:pt idx="410">
                  <c:v>2.1028469564248723E+20</c:v>
                </c:pt>
                <c:pt idx="411">
                  <c:v>2.1146181943409544E+20</c:v>
                </c:pt>
                <c:pt idx="412">
                  <c:v>2.1264619304265322E+20</c:v>
                </c:pt>
                <c:pt idx="413">
                  <c:v>2.138378650070209E+20</c:v>
                </c:pt>
                <c:pt idx="414">
                  <c:v>2.1503688421614856E+20</c:v>
                </c:pt>
                <c:pt idx="415">
                  <c:v>2.1624329991177798E+20</c:v>
                </c:pt>
                <c:pt idx="416">
                  <c:v>2.1745716169116136E+20</c:v>
                </c:pt>
                <c:pt idx="417">
                  <c:v>2.186785195098134E+20</c:v>
                </c:pt>
                <c:pt idx="418">
                  <c:v>2.1990742368427298E+20</c:v>
                </c:pt>
                <c:pt idx="419">
                  <c:v>2.2114392489489865E+20</c:v>
                </c:pt>
                <c:pt idx="420">
                  <c:v>2.2238807418867954E+20</c:v>
                </c:pt>
                <c:pt idx="421">
                  <c:v>2.236399229820732E+20</c:v>
                </c:pt>
                <c:pt idx="422">
                  <c:v>2.2489952306386452E+20</c:v>
                </c:pt>
                <c:pt idx="423">
                  <c:v>2.2616692659805192E+20</c:v>
                </c:pt>
                <c:pt idx="424">
                  <c:v>2.2744218612675301E+20</c:v>
                </c:pt>
                <c:pt idx="425">
                  <c:v>2.287253545731359E+20</c:v>
                </c:pt>
                <c:pt idx="426">
                  <c:v>2.3001648524437465E+20</c:v>
                </c:pt>
                <c:pt idx="427">
                  <c:v>2.3131563183463068E+20</c:v>
                </c:pt>
                <c:pt idx="428">
                  <c:v>2.3262284842805651E+20</c:v>
                </c:pt>
                <c:pt idx="429">
                  <c:v>2.3393818950182568E+20</c:v>
                </c:pt>
                <c:pt idx="430">
                  <c:v>2.3526170992918371E+20</c:v>
                </c:pt>
                <c:pt idx="431">
                  <c:v>2.3659346498253337E+20</c:v>
                </c:pt>
                <c:pt idx="432">
                  <c:v>2.3793351033653569E+20</c:v>
                </c:pt>
                <c:pt idx="433">
                  <c:v>2.3928190207124275E+20</c:v>
                </c:pt>
                <c:pt idx="434">
                  <c:v>2.4063869667525106E+20</c:v>
                </c:pt>
                <c:pt idx="435">
                  <c:v>2.4200395104889094E+20</c:v>
                </c:pt>
                <c:pt idx="436">
                  <c:v>2.43377722507428E+20</c:v>
                </c:pt>
                <c:pt idx="437">
                  <c:v>2.4476006878430278E+20</c:v>
                </c:pt>
                <c:pt idx="438">
                  <c:v>2.4615104803439605E+20</c:v>
                </c:pt>
                <c:pt idx="439">
                  <c:v>2.4755071883731304E+20</c:v>
                </c:pt>
                <c:pt idx="440">
                  <c:v>2.489591402007029E+20</c:v>
                </c:pt>
                <c:pt idx="441">
                  <c:v>2.5037637156360566E+20</c:v>
                </c:pt>
                <c:pt idx="442">
                  <c:v>2.5180247279981724E+20</c:v>
                </c:pt>
                <c:pt idx="443">
                  <c:v>2.5323750422129944E+20</c:v>
                </c:pt>
                <c:pt idx="444">
                  <c:v>2.5468152658160137E+20</c:v>
                </c:pt>
                <c:pt idx="445">
                  <c:v>2.5613460107932067E+20</c:v>
                </c:pt>
                <c:pt idx="446">
                  <c:v>2.5759678936158568E+20</c:v>
                </c:pt>
                <c:pt idx="447">
                  <c:v>2.5906815352757237E+20</c:v>
                </c:pt>
                <c:pt idx="448">
                  <c:v>2.6054875613205044E+20</c:v>
                </c:pt>
                <c:pt idx="449">
                  <c:v>2.620386601889538E+20</c:v>
                </c:pt>
                <c:pt idx="450">
                  <c:v>2.6353792917498662E+20</c:v>
                </c:pt>
                <c:pt idx="451">
                  <c:v>2.6504662703325567E+20</c:v>
                </c:pt>
                <c:pt idx="452">
                  <c:v>2.6656481817693235E+20</c:v>
                </c:pt>
                <c:pt idx="453">
                  <c:v>2.6809256749295256E+20</c:v>
                </c:pt>
                <c:pt idx="454">
                  <c:v>2.6962994034573754E+20</c:v>
                </c:pt>
                <c:pt idx="455">
                  <c:v>2.7117700258095186E+20</c:v>
                </c:pt>
                <c:pt idx="456">
                  <c:v>2.7273382052929313E+20</c:v>
                </c:pt>
                <c:pt idx="457">
                  <c:v>2.7430046101030689E+20</c:v>
                </c:pt>
                <c:pt idx="458">
                  <c:v>2.7587699133624369E+20</c:v>
                </c:pt>
                <c:pt idx="459">
                  <c:v>2.7746347931593995E+20</c:v>
                </c:pt>
                <c:pt idx="460">
                  <c:v>2.7905999325873622E+20</c:v>
                </c:pt>
                <c:pt idx="461">
                  <c:v>2.8066660197842626E+20</c:v>
                </c:pt>
                <c:pt idx="462">
                  <c:v>2.8228337479723526E+20</c:v>
                </c:pt>
                <c:pt idx="463">
                  <c:v>2.8391038154984256E+20</c:v>
                </c:pt>
                <c:pt idx="464">
                  <c:v>2.8554769258742576E+20</c:v>
                </c:pt>
                <c:pt idx="465">
                  <c:v>2.8719537878174944E+20</c:v>
                </c:pt>
                <c:pt idx="466">
                  <c:v>2.8885351152927755E+20</c:v>
                </c:pt>
                <c:pt idx="467">
                  <c:v>2.9052216275532779E+20</c:v>
                </c:pt>
                <c:pt idx="468">
                  <c:v>2.9220140491826309E+20</c:v>
                </c:pt>
                <c:pt idx="469">
                  <c:v>2.9389131101370653E+20</c:v>
                </c:pt>
                <c:pt idx="470">
                  <c:v>2.9559195457880903E+20</c:v>
                </c:pt>
                <c:pt idx="471">
                  <c:v>2.9730340969653489E+20</c:v>
                </c:pt>
                <c:pt idx="472">
                  <c:v>2.9902575099999892E+20</c:v>
                </c:pt>
                <c:pt idx="473">
                  <c:v>3.0075905367682594E+20</c:v>
                </c:pt>
                <c:pt idx="474">
                  <c:v>3.0250339347356254E+20</c:v>
                </c:pt>
                <c:pt idx="475">
                  <c:v>3.0425884670011251E+20</c:v>
                </c:pt>
                <c:pt idx="476">
                  <c:v>3.0602549023421687E+20</c:v>
                </c:pt>
                <c:pt idx="477">
                  <c:v>3.0780340152597217E+20</c:v>
                </c:pt>
                <c:pt idx="478">
                  <c:v>3.0959265860238017E+20</c:v>
                </c:pt>
                <c:pt idx="479">
                  <c:v>3.1139334007194255E+20</c:v>
                </c:pt>
                <c:pt idx="480">
                  <c:v>3.1320552512929707E+20</c:v>
                </c:pt>
                <c:pt idx="481">
                  <c:v>3.1502929355988219E+20</c:v>
                </c:pt>
                <c:pt idx="482">
                  <c:v>3.1686472574465245E+20</c:v>
                </c:pt>
                <c:pt idx="483">
                  <c:v>3.1871190266482367E+20</c:v>
                </c:pt>
                <c:pt idx="484">
                  <c:v>3.2057090590667021E+20</c:v>
                </c:pt>
                <c:pt idx="485">
                  <c:v>3.2244181766635166E+20</c:v>
                </c:pt>
                <c:pt idx="486">
                  <c:v>3.2432472075478689E+20</c:v>
                </c:pt>
                <c:pt idx="487">
                  <c:v>3.2621969860256537E+20</c:v>
                </c:pt>
                <c:pt idx="488">
                  <c:v>3.2812683526490817E+20</c:v>
                </c:pt>
                <c:pt idx="489">
                  <c:v>3.3004621542665912E+20</c:v>
                </c:pt>
                <c:pt idx="490">
                  <c:v>3.3197792440732929E+20</c:v>
                </c:pt>
                <c:pt idx="491">
                  <c:v>3.3392204816617767E+20</c:v>
                </c:pt>
                <c:pt idx="492">
                  <c:v>3.3587867330733985E+20</c:v>
                </c:pt>
                <c:pt idx="493">
                  <c:v>3.3784788708499345E+20</c:v>
                </c:pt>
                <c:pt idx="494">
                  <c:v>3.3982977740857718E+20</c:v>
                </c:pt>
                <c:pt idx="495">
                  <c:v>3.4182443284804678E+20</c:v>
                </c:pt>
                <c:pt idx="496">
                  <c:v>3.4383194263917383E+20</c:v>
                </c:pt>
                <c:pt idx="497">
                  <c:v>3.4585239668890757E+20</c:v>
                </c:pt>
                <c:pt idx="498">
                  <c:v>3.4788588558074878E+20</c:v>
                </c:pt>
                <c:pt idx="499">
                  <c:v>3.4993250058020926E+20</c:v>
                </c:pt>
                <c:pt idx="500">
                  <c:v>3.5199233364028699E+20</c:v>
                </c:pt>
                <c:pt idx="501">
                  <c:v>3.5406547740700318E+20</c:v>
                </c:pt>
                <c:pt idx="502">
                  <c:v>3.5615202522498472E+20</c:v>
                </c:pt>
                <c:pt idx="503">
                  <c:v>3.5825207114309062E+20</c:v>
                </c:pt>
                <c:pt idx="504">
                  <c:v>3.6036570992008371E+20</c:v>
                </c:pt>
                <c:pt idx="505">
                  <c:v>3.6249303703036926E+20</c:v>
                </c:pt>
                <c:pt idx="506">
                  <c:v>3.6463414866975556E+20</c:v>
                </c:pt>
                <c:pt idx="507">
                  <c:v>3.6678914176128949E+20</c:v>
                </c:pt>
                <c:pt idx="508">
                  <c:v>3.6895811396112069E+20</c:v>
                </c:pt>
                <c:pt idx="509">
                  <c:v>3.7114116366442968E+20</c:v>
                </c:pt>
                <c:pt idx="510">
                  <c:v>3.7333839001140756E+20</c:v>
                </c:pt>
                <c:pt idx="511">
                  <c:v>3.7554989289327565E+20</c:v>
                </c:pt>
                <c:pt idx="512">
                  <c:v>3.777757729583663E+20</c:v>
                </c:pt>
                <c:pt idx="513">
                  <c:v>3.8001613161825914E+20</c:v>
                </c:pt>
                <c:pt idx="514">
                  <c:v>3.8227107105394983E+20</c:v>
                </c:pt>
                <c:pt idx="515">
                  <c:v>3.8454069422210325E+20</c:v>
                </c:pt>
                <c:pt idx="516">
                  <c:v>3.8682510486133401E+20</c:v>
                </c:pt>
                <c:pt idx="517">
                  <c:v>3.8912440749855572E+20</c:v>
                </c:pt>
                <c:pt idx="518">
                  <c:v>3.9143870745537452E+20</c:v>
                </c:pt>
                <c:pt idx="519">
                  <c:v>3.9376811085454803E+20</c:v>
                </c:pt>
                <c:pt idx="520">
                  <c:v>3.961127246264938E+20</c:v>
                </c:pt>
                <c:pt idx="521">
                  <c:v>3.9847265651585633E+20</c:v>
                </c:pt>
                <c:pt idx="522">
                  <c:v>4.0084801508812947E+20</c:v>
                </c:pt>
                <c:pt idx="523">
                  <c:v>4.0323890973633741E+20</c:v>
                </c:pt>
                <c:pt idx="524">
                  <c:v>4.056454506877681E+20</c:v>
                </c:pt>
                <c:pt idx="525">
                  <c:v>4.0806774901077711E+20</c:v>
                </c:pt>
                <c:pt idx="526">
                  <c:v>4.1050591662163827E+20</c:v>
                </c:pt>
                <c:pt idx="527">
                  <c:v>4.1296006629145405E+20</c:v>
                </c:pt>
                <c:pt idx="528">
                  <c:v>4.1543031165313994E+20</c:v>
                </c:pt>
                <c:pt idx="529">
                  <c:v>4.1791676720845239E+20</c:v>
                </c:pt>
                <c:pt idx="530">
                  <c:v>4.2041954833507838E+20</c:v>
                </c:pt>
                <c:pt idx="531">
                  <c:v>4.229387712938079E+20</c:v>
                </c:pt>
                <c:pt idx="532">
                  <c:v>4.2547455323574292E+20</c:v>
                </c:pt>
                <c:pt idx="533">
                  <c:v>4.2802701220958156E+20</c:v>
                </c:pt>
                <c:pt idx="534">
                  <c:v>4.305962671689612E+20</c:v>
                </c:pt>
                <c:pt idx="535">
                  <c:v>4.3318243797987184E+20</c:v>
                </c:pt>
                <c:pt idx="536">
                  <c:v>4.3578564542812901E+20</c:v>
                </c:pt>
                <c:pt idx="537">
                  <c:v>4.3840601122690892E+20</c:v>
                </c:pt>
                <c:pt idx="538">
                  <c:v>4.4104365802435628E+20</c:v>
                </c:pt>
                <c:pt idx="539">
                  <c:v>4.4369870941125621E+20</c:v>
                </c:pt>
                <c:pt idx="540">
                  <c:v>4.4637128992875957E+20</c:v>
                </c:pt>
                <c:pt idx="541">
                  <c:v>4.4906152507620825E+20</c:v>
                </c:pt>
                <c:pt idx="542">
                  <c:v>4.51769541318992E+20</c:v>
                </c:pt>
                <c:pt idx="543">
                  <c:v>4.5449546609649215E+20</c:v>
                </c:pt>
                <c:pt idx="544">
                  <c:v>4.5723942783010072E+20</c:v>
                </c:pt>
                <c:pt idx="545">
                  <c:v>4.6000155593129106E+20</c:v>
                </c:pt>
                <c:pt idx="546">
                  <c:v>4.6278198080977705E+20</c:v>
                </c:pt>
                <c:pt idx="547">
                  <c:v>4.6558083388172835E+20</c:v>
                </c:pt>
                <c:pt idx="548">
                  <c:v>4.6839824757807776E+20</c:v>
                </c:pt>
                <c:pt idx="549">
                  <c:v>4.7123435535287301E+20</c:v>
                </c:pt>
                <c:pt idx="550">
                  <c:v>4.7408929169172634E+20</c:v>
                </c:pt>
                <c:pt idx="551">
                  <c:v>4.7696319212032878E+20</c:v>
                </c:pt>
                <c:pt idx="552">
                  <c:v>4.7985619321303964E+20</c:v>
                </c:pt>
                <c:pt idx="553">
                  <c:v>4.8276843260154407E+20</c:v>
                </c:pt>
                <c:pt idx="554">
                  <c:v>4.8570004898360472E+20</c:v>
                </c:pt>
                <c:pt idx="555">
                  <c:v>4.8865118213186938E+20</c:v>
                </c:pt>
                <c:pt idx="556">
                  <c:v>4.9162197290277025E+20</c:v>
                </c:pt>
                <c:pt idx="557">
                  <c:v>4.9461256324549444E+20</c:v>
                </c:pt>
                <c:pt idx="558">
                  <c:v>4.9762309621104325E+20</c:v>
                </c:pt>
                <c:pt idx="559">
                  <c:v>5.0065371596135124E+20</c:v>
                </c:pt>
                <c:pt idx="560">
                  <c:v>5.0370456777850716E+20</c:v>
                </c:pt>
                <c:pt idx="561">
                  <c:v>5.0677579807404052E+20</c:v>
                </c:pt>
                <c:pt idx="562">
                  <c:v>5.0986755439830493E+20</c:v>
                </c:pt>
                <c:pt idx="563">
                  <c:v>5.1297998544992921E+20</c:v>
                </c:pt>
                <c:pt idx="564">
                  <c:v>5.161132410853551E+20</c:v>
                </c:pt>
                <c:pt idx="565">
                  <c:v>5.1926747232847063E+20</c:v>
                </c:pt>
                <c:pt idx="566">
                  <c:v>5.2244283138031387E+20</c:v>
                </c:pt>
                <c:pt idx="567">
                  <c:v>5.2563947162886904E+20</c:v>
                </c:pt>
                <c:pt idx="568">
                  <c:v>5.2885754765895211E+20</c:v>
                </c:pt>
                <c:pt idx="569">
                  <c:v>5.320972152621769E+20</c:v>
                </c:pt>
                <c:pt idx="570">
                  <c:v>5.3535863144701834E+20</c:v>
                </c:pt>
                <c:pt idx="571">
                  <c:v>5.3864195444894459E+20</c:v>
                </c:pt>
                <c:pt idx="572">
                  <c:v>5.4194734374067536E+20</c:v>
                </c:pt>
                <c:pt idx="573">
                  <c:v>5.4527496004248941E+20</c:v>
                </c:pt>
                <c:pt idx="574">
                  <c:v>5.4862496533265973E+20</c:v>
                </c:pt>
                <c:pt idx="575">
                  <c:v>5.5199752285794776E+20</c:v>
                </c:pt>
                <c:pt idx="576">
                  <c:v>5.5539279714422102E+20</c:v>
                </c:pt>
                <c:pt idx="577">
                  <c:v>5.5881095400714849E+20</c:v>
                </c:pt>
                <c:pt idx="578">
                  <c:v>5.6225216056298891E+20</c:v>
                </c:pt>
                <c:pt idx="579">
                  <c:v>5.6571658523948954E+20</c:v>
                </c:pt>
                <c:pt idx="580">
                  <c:v>5.6920439778686108E+20</c:v>
                </c:pt>
                <c:pt idx="581">
                  <c:v>5.7271576928886876E+20</c:v>
                </c:pt>
                <c:pt idx="582">
                  <c:v>5.76250872174016E+20</c:v>
                </c:pt>
                <c:pt idx="583">
                  <c:v>5.7980988022682282E+20</c:v>
                </c:pt>
                <c:pt idx="584">
                  <c:v>5.8339296859921023E+20</c:v>
                </c:pt>
                <c:pt idx="585">
                  <c:v>5.8700031382198052E+20</c:v>
                </c:pt>
                <c:pt idx="586">
                  <c:v>5.9063209381640916E+20</c:v>
                </c:pt>
                <c:pt idx="587">
                  <c:v>5.942884879059309E+20</c:v>
                </c:pt>
                <c:pt idx="588">
                  <c:v>5.979696768279397E+20</c:v>
                </c:pt>
                <c:pt idx="589">
                  <c:v>6.0167584274567397E+20</c:v>
                </c:pt>
                <c:pt idx="590">
                  <c:v>6.0540716926024011E+20</c:v>
                </c:pt>
                <c:pt idx="591">
                  <c:v>6.0916384142271827E+20</c:v>
                </c:pt>
                <c:pt idx="592">
                  <c:v>6.1294604574637162E+20</c:v>
                </c:pt>
                <c:pt idx="593">
                  <c:v>6.1675397021899778E+20</c:v>
                </c:pt>
                <c:pt idx="594">
                  <c:v>6.2058780431535951E+20</c:v>
                </c:pt>
                <c:pt idx="595">
                  <c:v>6.2444773900973205E+20</c:v>
                </c:pt>
                <c:pt idx="596">
                  <c:v>6.2833396678857982E+20</c:v>
                </c:pt>
                <c:pt idx="597">
                  <c:v>6.3224668166332534E+20</c:v>
                </c:pt>
                <c:pt idx="598">
                  <c:v>6.3618607918324698E+20</c:v>
                </c:pt>
                <c:pt idx="599">
                  <c:v>6.401523564484876E+20</c:v>
                </c:pt>
                <c:pt idx="600">
                  <c:v>6.4414571212317563E+20</c:v>
                </c:pt>
                <c:pt idx="601">
                  <c:v>6.4816634644868183E+20</c:v>
                </c:pt>
                <c:pt idx="602">
                  <c:v>6.5221446125695756E+20</c:v>
                </c:pt>
                <c:pt idx="603">
                  <c:v>6.5629025998404334E+20</c:v>
                </c:pt>
                <c:pt idx="604">
                  <c:v>6.6039394768366037E+20</c:v>
                </c:pt>
                <c:pt idx="605">
                  <c:v>6.6452573104093607E+20</c:v>
                </c:pt>
                <c:pt idx="606">
                  <c:v>6.6868581838626174E+20</c:v>
                </c:pt>
                <c:pt idx="607">
                  <c:v>6.7287441970925234E+20</c:v>
                </c:pt>
                <c:pt idx="608">
                  <c:v>6.7709174667286911E+20</c:v>
                </c:pt>
                <c:pt idx="609">
                  <c:v>6.8133801262762859E+20</c:v>
                </c:pt>
                <c:pt idx="610">
                  <c:v>6.8561343262596792E+20</c:v>
                </c:pt>
                <c:pt idx="611">
                  <c:v>6.8991822343673584E+20</c:v>
                </c:pt>
                <c:pt idx="612">
                  <c:v>6.9425260355979313E+20</c:v>
                </c:pt>
                <c:pt idx="613">
                  <c:v>6.9861679324077975E+20</c:v>
                </c:pt>
                <c:pt idx="614">
                  <c:v>7.0301101448598874E+20</c:v>
                </c:pt>
                <c:pt idx="615">
                  <c:v>7.0743549107738169E+20</c:v>
                </c:pt>
                <c:pt idx="616">
                  <c:v>7.1189044858774998E+20</c:v>
                </c:pt>
                <c:pt idx="617">
                  <c:v>7.1637611439599177E+20</c:v>
                </c:pt>
                <c:pt idx="618">
                  <c:v>7.2089271770255144E+20</c:v>
                </c:pt>
                <c:pt idx="619">
                  <c:v>7.2544048954498902E+20</c:v>
                </c:pt>
                <c:pt idx="620">
                  <c:v>7.3001966281368404E+20</c:v>
                </c:pt>
                <c:pt idx="621">
                  <c:v>7.3463047226768871E+20</c:v>
                </c:pt>
                <c:pt idx="622">
                  <c:v>7.3927315455073033E+20</c:v>
                </c:pt>
                <c:pt idx="623">
                  <c:v>7.4394794820734419E+20</c:v>
                </c:pt>
                <c:pt idx="624">
                  <c:v>7.4865509369916988E+20</c:v>
                </c:pt>
                <c:pt idx="625">
                  <c:v>7.533948334213818E+20</c:v>
                </c:pt>
                <c:pt idx="626">
                  <c:v>7.5816741171928393E+20</c:v>
                </c:pt>
                <c:pt idx="627">
                  <c:v>7.6297307490503452E+20</c:v>
                </c:pt>
                <c:pt idx="628">
                  <c:v>7.6781207127454135E+20</c:v>
                </c:pt>
                <c:pt idx="629">
                  <c:v>7.7268465112451292E+20</c:v>
                </c:pt>
                <c:pt idx="630">
                  <c:v>7.7759106676964275E+20</c:v>
                </c:pt>
                <c:pt idx="631">
                  <c:v>7.8253157255997856E+20</c:v>
                </c:pt>
                <c:pt idx="632">
                  <c:v>7.8750642489842545E+20</c:v>
                </c:pt>
                <c:pt idx="633">
                  <c:v>7.9251588225842623E+20</c:v>
                </c:pt>
                <c:pt idx="634">
                  <c:v>7.9756020520179545E+20</c:v>
                </c:pt>
                <c:pt idx="635">
                  <c:v>8.0263965639671284E+20</c:v>
                </c:pt>
                <c:pt idx="636">
                  <c:v>8.0775450063590169E+20</c:v>
                </c:pt>
                <c:pt idx="637">
                  <c:v>8.1290500485493817E+20</c:v>
                </c:pt>
                <c:pt idx="638">
                  <c:v>8.1809143815075634E+20</c:v>
                </c:pt>
                <c:pt idx="639">
                  <c:v>8.2331407180031721E+20</c:v>
                </c:pt>
                <c:pt idx="640">
                  <c:v>8.2857317927945018E+20</c:v>
                </c:pt>
                <c:pt idx="641">
                  <c:v>8.3386903628184709E+20</c:v>
                </c:pt>
                <c:pt idx="642">
                  <c:v>8.3920192073826448E+20</c:v>
                </c:pt>
                <c:pt idx="643">
                  <c:v>8.4457211283587387E+20</c:v>
                </c:pt>
                <c:pt idx="644">
                  <c:v>8.4997989503780048E+20</c:v>
                </c:pt>
                <c:pt idx="645">
                  <c:v>8.5542555210284519E+20</c:v>
                </c:pt>
                <c:pt idx="646">
                  <c:v>8.6090937110538132E+20</c:v>
                </c:pt>
                <c:pt idx="647">
                  <c:v>8.6643164145543492E+20</c:v>
                </c:pt>
                <c:pt idx="648">
                  <c:v>8.7199265491895465E+20</c:v>
                </c:pt>
                <c:pt idx="649">
                  <c:v>8.7759270563826355E+20</c:v>
                </c:pt>
                <c:pt idx="650">
                  <c:v>8.8323209015269877E+20</c:v>
                </c:pt>
                <c:pt idx="651">
                  <c:v>8.8891110741944684E+20</c:v>
                </c:pt>
                <c:pt idx="652">
                  <c:v>8.9463005883456881E+20</c:v>
                </c:pt>
                <c:pt idx="653">
                  <c:v>9.0038924825421637E+20</c:v>
                </c:pt>
                <c:pt idx="654">
                  <c:v>9.0618898201603002E+20</c:v>
                </c:pt>
                <c:pt idx="655">
                  <c:v>9.120295689607866E+20</c:v>
                </c:pt>
                <c:pt idx="656">
                  <c:v>9.1791132045417277E+20</c:v>
                </c:pt>
                <c:pt idx="657">
                  <c:v>9.2383455040882475E+20</c:v>
                </c:pt>
                <c:pt idx="658">
                  <c:v>9.2979957530652928E+20</c:v>
                </c:pt>
                <c:pt idx="659">
                  <c:v>9.358067142206423E+20</c:v>
                </c:pt>
                <c:pt idx="660">
                  <c:v>9.4185628883874297E+20</c:v>
                </c:pt>
                <c:pt idx="661">
                  <c:v>9.4794862348543721E+20</c:v>
                </c:pt>
                <c:pt idx="662">
                  <c:v>9.5408404514544196E+20</c:v>
                </c:pt>
                <c:pt idx="663">
                  <c:v>9.6026288348683082E+20</c:v>
                </c:pt>
                <c:pt idx="664">
                  <c:v>9.6648547088450519E+20</c:v>
                </c:pt>
                <c:pt idx="665">
                  <c:v>9.7275214244391944E+20</c:v>
                </c:pt>
                <c:pt idx="666">
                  <c:v>9.7906323602498073E+20</c:v>
                </c:pt>
                <c:pt idx="667">
                  <c:v>9.8541909226619562E+20</c:v>
                </c:pt>
                <c:pt idx="668">
                  <c:v>9.9182005460902701E+20</c:v>
                </c:pt>
                <c:pt idx="669">
                  <c:v>9.9826646932249248E+20</c:v>
                </c:pt>
                <c:pt idx="670">
                  <c:v>1.0047586855279852E+21</c:v>
                </c:pt>
                <c:pt idx="671">
                  <c:v>1.0112970552243231E+21</c:v>
                </c:pt>
                <c:pt idx="672">
                  <c:v>1.0178819333130342E+21</c:v>
                </c:pt>
                <c:pt idx="673">
                  <c:v>1.0245136776238807E+21</c:v>
                </c:pt>
                <c:pt idx="674">
                  <c:v>1.0311926489405979E+21</c:v>
                </c:pt>
                <c:pt idx="675">
                  <c:v>1.0379192110269251E+21</c:v>
                </c:pt>
                <c:pt idx="676">
                  <c:v>1.0446937306528184E+21</c:v>
                </c:pt>
                <c:pt idx="677">
                  <c:v>1.0515165776209573E+21</c:v>
                </c:pt>
                <c:pt idx="678">
                  <c:v>1.0583881247934634E+21</c:v>
                </c:pt>
                <c:pt idx="679">
                  <c:v>1.0653087481188971E+21</c:v>
                </c:pt>
                <c:pt idx="680">
                  <c:v>1.072278826659475E+21</c:v>
                </c:pt>
                <c:pt idx="681">
                  <c:v>1.0792987426185808E+21</c:v>
                </c:pt>
                <c:pt idx="682">
                  <c:v>1.0863688813685074E+21</c:v>
                </c:pt>
                <c:pt idx="683">
                  <c:v>1.0934896314784654E+21</c:v>
                </c:pt>
                <c:pt idx="684">
                  <c:v>1.1006613847428513E+21</c:v>
                </c:pt>
                <c:pt idx="685">
                  <c:v>1.1078845362097733E+21</c:v>
                </c:pt>
                <c:pt idx="686">
                  <c:v>1.1151594842098813E+21</c:v>
                </c:pt>
                <c:pt idx="687">
                  <c:v>1.1224866303854244E+21</c:v>
                </c:pt>
                <c:pt idx="688">
                  <c:v>1.1298663797195933E+21</c:v>
                </c:pt>
                <c:pt idx="689">
                  <c:v>1.1372991405661613E+21</c:v>
                </c:pt>
                <c:pt idx="690">
                  <c:v>1.1447853246793573E+21</c:v>
                </c:pt>
                <c:pt idx="691">
                  <c:v>1.1523253472440867E+21</c:v>
                </c:pt>
                <c:pt idx="692">
                  <c:v>1.1599196269063617E+21</c:v>
                </c:pt>
                <c:pt idx="693">
                  <c:v>1.1675685858040807E+21</c:v>
                </c:pt>
                <c:pt idx="694">
                  <c:v>1.1752726495980652E+21</c:v>
                </c:pt>
                <c:pt idx="695">
                  <c:v>1.1830322475033829E+21</c:v>
                </c:pt>
                <c:pt idx="696">
                  <c:v>1.1908478123209932E+21</c:v>
                </c:pt>
                <c:pt idx="697">
                  <c:v>1.198719780469683E+21</c:v>
                </c:pt>
                <c:pt idx="698">
                  <c:v>1.2066485920182855E+21</c:v>
                </c:pt>
                <c:pt idx="699">
                  <c:v>1.2146346907182175E+21</c:v>
                </c:pt>
                <c:pt idx="700">
                  <c:v>1.222678524036324E+21</c:v>
                </c:pt>
                <c:pt idx="701">
                  <c:v>1.2307805431880462E+21</c:v>
                </c:pt>
                <c:pt idx="702">
                  <c:v>1.2389412031708712E+21</c:v>
                </c:pt>
                <c:pt idx="703">
                  <c:v>1.2471609627981243E+21</c:v>
                </c:pt>
                <c:pt idx="704">
                  <c:v>1.2554402847330767E+21</c:v>
                </c:pt>
                <c:pt idx="705">
                  <c:v>1.2637796355233667E+21</c:v>
                </c:pt>
                <c:pt idx="706">
                  <c:v>1.2721794856357622E+21</c:v>
                </c:pt>
                <c:pt idx="707">
                  <c:v>1.2806403094912329E+21</c:v>
                </c:pt>
                <c:pt idx="708">
                  <c:v>1.289162585500385E+21</c:v>
                </c:pt>
                <c:pt idx="709">
                  <c:v>1.2977467960992027E+21</c:v>
                </c:pt>
                <c:pt idx="710">
                  <c:v>1.3063934277851415E+21</c:v>
                </c:pt>
                <c:pt idx="711">
                  <c:v>1.3151029711535541E+21</c:v>
                </c:pt>
                <c:pt idx="712">
                  <c:v>1.3238759209345029E+21</c:v>
                </c:pt>
                <c:pt idx="713">
                  <c:v>1.3327127760298702E+21</c:v>
                </c:pt>
                <c:pt idx="714">
                  <c:v>1.3416140395508426E+21</c:v>
                </c:pt>
                <c:pt idx="715">
                  <c:v>1.3505802188557677E+21</c:v>
                </c:pt>
                <c:pt idx="716">
                  <c:v>1.35961182558835E+21</c:v>
                </c:pt>
                <c:pt idx="717">
                  <c:v>1.3687093757162131E+21</c:v>
                </c:pt>
                <c:pt idx="718">
                  <c:v>1.3778733895698486E+21</c:v>
                </c:pt>
                <c:pt idx="719">
                  <c:v>1.3871043918819308E+21</c:v>
                </c:pt>
                <c:pt idx="720">
                  <c:v>1.396402911826966E+21</c:v>
                </c:pt>
                <c:pt idx="721">
                  <c:v>1.4057694830613934E+21</c:v>
                </c:pt>
                <c:pt idx="722">
                  <c:v>1.4152046437640029E+21</c:v>
                </c:pt>
                <c:pt idx="723">
                  <c:v>1.4247089366767876E+21</c:v>
                </c:pt>
                <c:pt idx="724">
                  <c:v>1.4342829091461561E+21</c:v>
                </c:pt>
                <c:pt idx="725">
                  <c:v>1.4439271131645529E+21</c:v>
                </c:pt>
                <c:pt idx="726">
                  <c:v>1.4536421054124783E+21</c:v>
                </c:pt>
                <c:pt idx="727">
                  <c:v>1.4634284473008946E+21</c:v>
                </c:pt>
                <c:pt idx="728">
                  <c:v>1.4732867050140719E+21</c:v>
                </c:pt>
                <c:pt idx="729">
                  <c:v>1.4832174495528172E+21</c:v>
                </c:pt>
                <c:pt idx="730">
                  <c:v>1.4932212567781304E+21</c:v>
                </c:pt>
                <c:pt idx="731">
                  <c:v>1.5032987074552503E+21</c:v>
                </c:pt>
                <c:pt idx="732">
                  <c:v>1.5134503872981943E+21</c:v>
                </c:pt>
                <c:pt idx="733">
                  <c:v>1.5236768870146522E+21</c:v>
                </c:pt>
                <c:pt idx="734">
                  <c:v>1.5339788023513395E+21</c:v>
                </c:pt>
                <c:pt idx="735">
                  <c:v>1.5443567341398199E+21</c:v>
                </c:pt>
                <c:pt idx="736">
                  <c:v>1.5548112883426845E+21</c:v>
                </c:pt>
                <c:pt idx="737">
                  <c:v>1.5653430761002975E+21</c:v>
                </c:pt>
                <c:pt idx="738">
                  <c:v>1.5759527137778632E+21</c:v>
                </c:pt>
                <c:pt idx="739">
                  <c:v>1.5866408230130478E+21</c:v>
                </c:pt>
                <c:pt idx="740">
                  <c:v>1.5974080307640234E+21</c:v>
                </c:pt>
                <c:pt idx="741">
                  <c:v>1.6082549693579408E+21</c:v>
                </c:pt>
                <c:pt idx="742">
                  <c:v>1.6191822765399257E+21</c:v>
                </c:pt>
                <c:pt idx="743">
                  <c:v>1.6301905955225519E+21</c:v>
                </c:pt>
                <c:pt idx="744">
                  <c:v>1.6412805750357156E+21</c:v>
                </c:pt>
                <c:pt idx="745">
                  <c:v>1.6524528693770985E+21</c:v>
                </c:pt>
                <c:pt idx="746">
                  <c:v>1.6637081384630299E+21</c:v>
                </c:pt>
                <c:pt idx="747">
                  <c:v>1.6750470478798785E+21</c:v>
                </c:pt>
                <c:pt idx="748">
                  <c:v>1.686470268935977E+21</c:v>
                </c:pt>
                <c:pt idx="749">
                  <c:v>1.6979784787139787E+21</c:v>
                </c:pt>
                <c:pt idx="750">
                  <c:v>1.7095723601237658E+21</c:v>
                </c:pt>
                <c:pt idx="751">
                  <c:v>1.721252601955879E+21</c:v>
                </c:pt>
                <c:pt idx="752">
                  <c:v>1.7330198989354356E+21</c:v>
                </c:pt>
                <c:pt idx="753">
                  <c:v>1.7448749517765914E+21</c:v>
                </c:pt>
                <c:pt idx="754">
                  <c:v>1.7568184672375393E+21</c:v>
                </c:pt>
                <c:pt idx="755">
                  <c:v>1.768851158176008E+21</c:v>
                </c:pt>
                <c:pt idx="756">
                  <c:v>1.7809737436053541E+21</c:v>
                </c:pt>
                <c:pt idx="757">
                  <c:v>1.7931869487511335E+21</c:v>
                </c:pt>
                <c:pt idx="758">
                  <c:v>1.8054915051082982E+21</c:v>
                </c:pt>
                <c:pt idx="759">
                  <c:v>1.8178881504988955E+21</c:v>
                </c:pt>
                <c:pt idx="760">
                  <c:v>1.8303776291303457E+21</c:v>
                </c:pt>
                <c:pt idx="761">
                  <c:v>1.8429606916543073E+21</c:v>
                </c:pt>
                <c:pt idx="762">
                  <c:v>1.8556380952260785E+21</c:v>
                </c:pt>
                <c:pt idx="763">
                  <c:v>1.8684106035646279E+21</c:v>
                </c:pt>
                <c:pt idx="764">
                  <c:v>1.881278987013152E+21</c:v>
                </c:pt>
                <c:pt idx="765">
                  <c:v>1.8942440226003065E+21</c:v>
                </c:pt>
                <c:pt idx="766">
                  <c:v>1.9073064941019385E+21</c:v>
                </c:pt>
                <c:pt idx="767">
                  <c:v>1.9204671921035037E+21</c:v>
                </c:pt>
                <c:pt idx="768">
                  <c:v>1.9337269140630602E+21</c:v>
                </c:pt>
                <c:pt idx="769">
                  <c:v>1.9470864643748816E+21</c:v>
                </c:pt>
                <c:pt idx="770">
                  <c:v>1.9605466544337E+21</c:v>
                </c:pt>
                <c:pt idx="771">
                  <c:v>1.9741083026995623E+21</c:v>
                </c:pt>
                <c:pt idx="772">
                  <c:v>1.9877722347633791E+21</c:v>
                </c:pt>
                <c:pt idx="773">
                  <c:v>2.0015392834130045E+21</c:v>
                </c:pt>
                <c:pt idx="774">
                  <c:v>2.0154102887001122E+21</c:v>
                </c:pt>
                <c:pt idx="775">
                  <c:v>2.0293860980076045E+21</c:v>
                </c:pt>
                <c:pt idx="776">
                  <c:v>2.0434675661177451E+21</c:v>
                </c:pt>
                <c:pt idx="777">
                  <c:v>2.0576555552809794E+21</c:v>
                </c:pt>
                <c:pt idx="778">
                  <c:v>2.0719509352853317E+21</c:v>
                </c:pt>
                <c:pt idx="779">
                  <c:v>2.0863545835266431E+21</c:v>
                </c:pt>
                <c:pt idx="780">
                  <c:v>2.1008673850793824E+21</c:v>
                </c:pt>
                <c:pt idx="781">
                  <c:v>2.1154902327681643E+21</c:v>
                </c:pt>
                <c:pt idx="782">
                  <c:v>2.1302240272400455E+21</c:v>
                </c:pt>
                <c:pt idx="783">
                  <c:v>2.1450696770374575E+21</c:v>
                </c:pt>
                <c:pt idx="784">
                  <c:v>2.1600280986718972E+21</c:v>
                </c:pt>
                <c:pt idx="785">
                  <c:v>2.1751002166983467E+21</c:v>
                </c:pt>
                <c:pt idx="786">
                  <c:v>2.1902869637904463E+21</c:v>
                </c:pt>
                <c:pt idx="787">
                  <c:v>2.205589280816338E+21</c:v>
                </c:pt>
                <c:pt idx="788">
                  <c:v>2.2210081169153262E+21</c:v>
                </c:pt>
                <c:pt idx="789">
                  <c:v>2.2365444295753183E+21</c:v>
                </c:pt>
                <c:pt idx="790">
                  <c:v>2.2521991847109552E+21</c:v>
                </c:pt>
                <c:pt idx="791">
                  <c:v>2.2679733567425652E+21</c:v>
                </c:pt>
                <c:pt idx="792">
                  <c:v>2.2838679286759251E+21</c:v>
                </c:pt>
                <c:pt idx="793">
                  <c:v>2.2998838921827134E+21</c:v>
                </c:pt>
                <c:pt idx="794">
                  <c:v>2.31602224768193E+21</c:v>
                </c:pt>
                <c:pt idx="795">
                  <c:v>2.332284004421934E+21</c:v>
                </c:pt>
                <c:pt idx="796">
                  <c:v>2.348670180563437E+21</c:v>
                </c:pt>
                <c:pt idx="797">
                  <c:v>2.3651818032632902E+21</c:v>
                </c:pt>
                <c:pt idx="798">
                  <c:v>2.3818199087590151E+21</c:v>
                </c:pt>
                <c:pt idx="799">
                  <c:v>2.3985855424543567E+21</c:v>
                </c:pt>
                <c:pt idx="800">
                  <c:v>2.4154797590055061E+21</c:v>
                </c:pt>
                <c:pt idx="801">
                  <c:v>2.4325036224082886E+21</c:v>
                </c:pt>
                <c:pt idx="802">
                  <c:v>2.4496582060861948E+21</c:v>
                </c:pt>
                <c:pt idx="803">
                  <c:v>2.4669445929792936E+21</c:v>
                </c:pt>
                <c:pt idx="804">
                  <c:v>2.4843638756339949E+21</c:v>
                </c:pt>
                <c:pt idx="805">
                  <c:v>2.5019171562937993E+21</c:v>
                </c:pt>
                <c:pt idx="806">
                  <c:v>2.5196055469908684E+21</c:v>
                </c:pt>
                <c:pt idx="807">
                  <c:v>2.5374301696385415E+21</c:v>
                </c:pt>
                <c:pt idx="808">
                  <c:v>2.5553921561247844E+21</c:v>
                </c:pt>
                <c:pt idx="809">
                  <c:v>2.5734926484065569E+21</c:v>
                </c:pt>
                <c:pt idx="810">
                  <c:v>2.5917327986051661E+21</c:v>
                </c:pt>
                <c:pt idx="811">
                  <c:v>2.6101137691025128E+21</c:v>
                </c:pt>
                <c:pt idx="812">
                  <c:v>2.6286367326383836E+21</c:v>
                </c:pt>
                <c:pt idx="813">
                  <c:v>2.6473028724086365E+21</c:v>
                </c:pt>
                <c:pt idx="814">
                  <c:v>2.6661133821643734E+21</c:v>
                </c:pt>
                <c:pt idx="815">
                  <c:v>2.6850694663122521E+21</c:v>
                </c:pt>
                <c:pt idx="816">
                  <c:v>2.7041723400156254E+21</c:v>
                </c:pt>
                <c:pt idx="817">
                  <c:v>2.7234232292967553E+21</c:v>
                </c:pt>
                <c:pt idx="818">
                  <c:v>2.7428233711401414E+21</c:v>
                </c:pt>
                <c:pt idx="819">
                  <c:v>2.762374013596754E+21</c:v>
                </c:pt>
                <c:pt idx="820">
                  <c:v>2.7820764158894282E+21</c:v>
                </c:pt>
                <c:pt idx="821">
                  <c:v>2.801931848519254E+21</c:v>
                </c:pt>
                <c:pt idx="822">
                  <c:v>2.8219415933730779E+21</c:v>
                </c:pt>
                <c:pt idx="823">
                  <c:v>2.8421069438320498E+21</c:v>
                </c:pt>
                <c:pt idx="824">
                  <c:v>2.8624292048813194E+21</c:v>
                </c:pt>
                <c:pt idx="825">
                  <c:v>2.8829096932207703E+21</c:v>
                </c:pt>
                <c:pt idx="826">
                  <c:v>2.9035497373769757E+21</c:v>
                </c:pt>
                <c:pt idx="827">
                  <c:v>2.9243506778161603E+21</c:v>
                </c:pt>
                <c:pt idx="828">
                  <c:v>2.9453138670584133E+21</c:v>
                </c:pt>
                <c:pt idx="829">
                  <c:v>2.9664406697929506E+21</c:v>
                </c:pt>
                <c:pt idx="830">
                  <c:v>2.9877324629947156E+21</c:v>
                </c:pt>
                <c:pt idx="831">
                  <c:v>3.0091906360419596E+21</c:v>
                </c:pt>
                <c:pt idx="832">
                  <c:v>3.0308165908351303E+21</c:v>
                </c:pt>
                <c:pt idx="833">
                  <c:v>3.052611741916969E+21</c:v>
                </c:pt>
                <c:pt idx="834">
                  <c:v>3.0745775165937937E+21</c:v>
                </c:pt>
                <c:pt idx="835">
                  <c:v>3.096715355058009E+21</c:v>
                </c:pt>
                <c:pt idx="836">
                  <c:v>3.119026710511875E+21</c:v>
                </c:pt>
                <c:pt idx="837">
                  <c:v>3.1415130492925567E+21</c:v>
                </c:pt>
                <c:pt idx="838">
                  <c:v>3.1641758509984147E+21</c:v>
                </c:pt>
                <c:pt idx="839">
                  <c:v>3.1870166086165945E+21</c:v>
                </c:pt>
                <c:pt idx="840">
                  <c:v>3.2100368286518618E+21</c:v>
                </c:pt>
                <c:pt idx="841">
                  <c:v>3.2332380312568757E+21</c:v>
                </c:pt>
                <c:pt idx="842">
                  <c:v>3.2566217503636985E+21</c:v>
                </c:pt>
                <c:pt idx="843">
                  <c:v>3.2801895338166122E+21</c:v>
                </c:pt>
                <c:pt idx="844">
                  <c:v>3.3039429435064084E+21</c:v>
                </c:pt>
                <c:pt idx="845">
                  <c:v>3.3278835555059169E+21</c:v>
                </c:pt>
                <c:pt idx="846">
                  <c:v>3.3520129602070297E+21</c:v>
                </c:pt>
                <c:pt idx="847">
                  <c:v>3.3763327624591112E+21</c:v>
                </c:pt>
                <c:pt idx="848">
                  <c:v>3.4008445817087077E+21</c:v>
                </c:pt>
                <c:pt idx="849">
                  <c:v>3.4255500521408493E+21</c:v>
                </c:pt>
                <c:pt idx="850">
                  <c:v>3.4504508228216742E+21</c:v>
                </c:pt>
                <c:pt idx="851">
                  <c:v>3.4755485578426162E+21</c:v>
                </c:pt>
                <c:pt idx="852">
                  <c:v>3.5008449364659756E+21</c:v>
                </c:pt>
                <c:pt idx="853">
                  <c:v>3.5263416532720335E+21</c:v>
                </c:pt>
                <c:pt idx="854">
                  <c:v>3.5520404183076899E+21</c:v>
                </c:pt>
                <c:pt idx="855">
                  <c:v>3.5779429572365438E+21</c:v>
                </c:pt>
                <c:pt idx="856">
                  <c:v>3.604051011490705E+21</c:v>
                </c:pt>
                <c:pt idx="857">
                  <c:v>3.6303663384238762E+21</c:v>
                </c:pt>
                <c:pt idx="858">
                  <c:v>3.6568907114663248E+21</c:v>
                </c:pt>
                <c:pt idx="859">
                  <c:v>3.6836259202811848E+21</c:v>
                </c:pt>
                <c:pt idx="860">
                  <c:v>3.7105737709225572E+21</c:v>
                </c:pt>
                <c:pt idx="861">
                  <c:v>3.7377360859950985E+21</c:v>
                </c:pt>
                <c:pt idx="862">
                  <c:v>3.7651147048153991E+21</c:v>
                </c:pt>
                <c:pt idx="863">
                  <c:v>3.7927114835748533E+21</c:v>
                </c:pt>
                <c:pt idx="864">
                  <c:v>3.8205282955043977E+21</c:v>
                </c:pt>
                <c:pt idx="865">
                  <c:v>3.848567031040801E+21</c:v>
                </c:pt>
                <c:pt idx="866">
                  <c:v>3.8768295979946963E+21</c:v>
                </c:pt>
                <c:pt idx="867">
                  <c:v>3.9053179217204745E+21</c:v>
                </c:pt>
                <c:pt idx="868">
                  <c:v>3.9340339452877566E+21</c:v>
                </c:pt>
                <c:pt idx="869">
                  <c:v>3.9629796296547815E+21</c:v>
                </c:pt>
                <c:pt idx="870">
                  <c:v>3.9921569538435045E+21</c:v>
                </c:pt>
                <c:pt idx="871">
                  <c:v>4.0215679151165245E+21</c:v>
                </c:pt>
                <c:pt idx="872">
                  <c:v>4.0512145291558881E+21</c:v>
                </c:pt>
                <c:pt idx="873">
                  <c:v>4.081098830243756E+21</c:v>
                </c:pt>
                <c:pt idx="874">
                  <c:v>4.1112228714447855E+21</c:v>
                </c:pt>
                <c:pt idx="875">
                  <c:v>4.1415887247906796E+21</c:v>
                </c:pt>
                <c:pt idx="876">
                  <c:v>4.1721984814663766E+21</c:v>
                </c:pt>
                <c:pt idx="877">
                  <c:v>4.2030542519983795E+21</c:v>
                </c:pt>
                <c:pt idx="878">
                  <c:v>4.2341581664449169E+21</c:v>
                </c:pt>
                <c:pt idx="879">
                  <c:v>4.2655123745881918E+21</c:v>
                </c:pt>
                <c:pt idx="880">
                  <c:v>4.2971190461285374E+21</c:v>
                </c:pt>
                <c:pt idx="881">
                  <c:v>4.3289803708805441E+21</c:v>
                </c:pt>
                <c:pt idx="882">
                  <c:v>4.3610985589715013E+21</c:v>
                </c:pt>
                <c:pt idx="883">
                  <c:v>4.3934758410415678E+21</c:v>
                </c:pt>
                <c:pt idx="884">
                  <c:v>4.4261144684462672E+21</c:v>
                </c:pt>
                <c:pt idx="885">
                  <c:v>4.4590167134609914E+21</c:v>
                </c:pt>
                <c:pt idx="886">
                  <c:v>4.492184869487628E+21</c:v>
                </c:pt>
                <c:pt idx="887">
                  <c:v>4.5256212512634852E+21</c:v>
                </c:pt>
                <c:pt idx="888">
                  <c:v>4.5593281950721974E+21</c:v>
                </c:pt>
                <c:pt idx="889">
                  <c:v>4.5933080589570152E+21</c:v>
                </c:pt>
                <c:pt idx="890">
                  <c:v>4.6275632229362403E+21</c:v>
                </c:pt>
                <c:pt idx="891">
                  <c:v>4.6620960892209149E+21</c:v>
                </c:pt>
                <c:pt idx="892">
                  <c:v>4.6969090824347913E+21</c:v>
                </c:pt>
                <c:pt idx="893">
                  <c:v>4.7320046498366903E+21</c:v>
                </c:pt>
                <c:pt idx="894">
                  <c:v>4.7673852615450847E+21</c:v>
                </c:pt>
                <c:pt idx="895">
                  <c:v>4.8030534107651218E+21</c:v>
                </c:pt>
                <c:pt idx="896">
                  <c:v>4.8390116140179605E+21</c:v>
                </c:pt>
                <c:pt idx="897">
                  <c:v>4.8752624113725662E+21</c:v>
                </c:pt>
                <c:pt idx="898">
                  <c:v>4.9118083666799084E+21</c:v>
                </c:pt>
                <c:pt idx="899">
                  <c:v>4.9486520678097554E+21</c:v>
                </c:pt>
                <c:pt idx="900">
                  <c:v>4.9857961268896795E+21</c:v>
                </c:pt>
                <c:pt idx="901">
                  <c:v>5.0232431805468865E+21</c:v>
                </c:pt>
                <c:pt idx="902">
                  <c:v>5.0609958901524254E+21</c:v>
                </c:pt>
                <c:pt idx="903">
                  <c:v>5.0990569420679482E+21</c:v>
                </c:pt>
                <c:pt idx="904">
                  <c:v>5.1374290478952748E+21</c:v>
                </c:pt>
                <c:pt idx="905">
                  <c:v>5.1761149447282685E+21</c:v>
                </c:pt>
                <c:pt idx="906">
                  <c:v>5.2151173954077542E+21</c:v>
                </c:pt>
                <c:pt idx="907">
                  <c:v>5.2544391887787173E+21</c:v>
                </c:pt>
                <c:pt idx="908">
                  <c:v>5.2940831399506315E+21</c:v>
                </c:pt>
                <c:pt idx="909">
                  <c:v>5.3340520905602404E+21</c:v>
                </c:pt>
                <c:pt idx="910">
                  <c:v>5.3743489090372879E+21</c:v>
                </c:pt>
                <c:pt idx="911">
                  <c:v>5.4149764908729353E+21</c:v>
                </c:pt>
                <c:pt idx="912">
                  <c:v>5.4559377588911331E+21</c:v>
                </c:pt>
                <c:pt idx="913">
                  <c:v>5.4972356635228394E+21</c:v>
                </c:pt>
                <c:pt idx="914">
                  <c:v>5.5388731830831594E+21</c:v>
                </c:pt>
                <c:pt idx="915">
                  <c:v>5.580853324051334E+21</c:v>
                </c:pt>
                <c:pt idx="916">
                  <c:v>5.6231791213538422E+21</c:v>
                </c:pt>
                <c:pt idx="917">
                  <c:v>5.6658536386503838E+21</c:v>
                </c:pt>
                <c:pt idx="918">
                  <c:v>5.7088799686230435E+21</c:v>
                </c:pt>
                <c:pt idx="919">
                  <c:v>5.7522612332684441E+21</c:v>
                </c:pt>
                <c:pt idx="920">
                  <c:v>5.796000584192934E+21</c:v>
                </c:pt>
                <c:pt idx="921">
                  <c:v>5.8401012029111098E+21</c:v>
                </c:pt>
                <c:pt idx="922">
                  <c:v>5.8845663011473593E+21</c:v>
                </c:pt>
                <c:pt idx="923">
                  <c:v>5.9293991211406805E+21</c:v>
                </c:pt>
                <c:pt idx="924">
                  <c:v>5.9746029359528023E+21</c:v>
                </c:pt>
                <c:pt idx="925">
                  <c:v>6.0201810497794579E+21</c:v>
                </c:pt>
                <c:pt idx="926">
                  <c:v>6.0661367982652056E+21</c:v>
                </c:pt>
                <c:pt idx="927">
                  <c:v>6.1124735488213123E+21</c:v>
                </c:pt>
                <c:pt idx="928">
                  <c:v>6.1591947009472888E+21</c:v>
                </c:pt>
                <c:pt idx="929">
                  <c:v>6.2063036865558537E+21</c:v>
                </c:pt>
                <c:pt idx="930">
                  <c:v>6.2538039703011517E+21</c:v>
                </c:pt>
                <c:pt idx="931">
                  <c:v>6.3016990499107787E+21</c:v>
                </c:pt>
                <c:pt idx="932">
                  <c:v>6.3499924565211417E+21</c:v>
                </c:pt>
                <c:pt idx="933">
                  <c:v>6.3986877550165051E+21</c:v>
                </c:pt>
                <c:pt idx="934">
                  <c:v>6.4477885443717391E+21</c:v>
                </c:pt>
                <c:pt idx="935">
                  <c:v>6.4972984579986461E+21</c:v>
                </c:pt>
                <c:pt idx="936">
                  <c:v>6.5472211640960187E+21</c:v>
                </c:pt>
                <c:pt idx="937">
                  <c:v>6.597560366003488E+21</c:v>
                </c:pt>
                <c:pt idx="938">
                  <c:v>6.6483198025592304E+21</c:v>
                </c:pt>
                <c:pt idx="939">
                  <c:v>6.6995032484613928E+21</c:v>
                </c:pt>
                <c:pt idx="940">
                  <c:v>6.7511145146335877E+21</c:v>
                </c:pt>
                <c:pt idx="941">
                  <c:v>6.8031574485941113E+21</c:v>
                </c:pt>
                <c:pt idx="942">
                  <c:v>6.8556359348293185E+21</c:v>
                </c:pt>
                <c:pt idx="943">
                  <c:v>6.9085538951709778E+21</c:v>
                </c:pt>
                <c:pt idx="944">
                  <c:v>6.9619152891776273E+21</c:v>
                </c:pt>
                <c:pt idx="945">
                  <c:v>7.0157241145201797E+21</c:v>
                </c:pt>
                <c:pt idx="946">
                  <c:v>7.0699844073715023E+21</c:v>
                </c:pt>
                <c:pt idx="947">
                  <c:v>7.1247002428005218E+21</c:v>
                </c:pt>
                <c:pt idx="948">
                  <c:v>7.1798757351701254E+21</c:v>
                </c:pt>
                <c:pt idx="949">
                  <c:v>7.2355150385399076E+21</c:v>
                </c:pt>
                <c:pt idx="950">
                  <c:v>7.2916223470728202E+21</c:v>
                </c:pt>
                <c:pt idx="951">
                  <c:v>7.3482018954465132E+21</c:v>
                </c:pt>
                <c:pt idx="952">
                  <c:v>7.4052579592690446E+21</c:v>
                </c:pt>
                <c:pt idx="953">
                  <c:v>7.4627948554990691E+21</c:v>
                </c:pt>
                <c:pt idx="954">
                  <c:v>7.5208169428704842E+21</c:v>
                </c:pt>
                <c:pt idx="955">
                  <c:v>7.579328622322128E+21</c:v>
                </c:pt>
                <c:pt idx="956">
                  <c:v>7.6383343374315605E+21</c:v>
                </c:pt>
                <c:pt idx="957">
                  <c:v>7.6978385748539516E+21</c:v>
                </c:pt>
                <c:pt idx="958">
                  <c:v>7.7578458647656483E+21</c:v>
                </c:pt>
                <c:pt idx="959">
                  <c:v>7.818360781312393E+21</c:v>
                </c:pt>
                <c:pt idx="960">
                  <c:v>7.8793879430628786E+21</c:v>
                </c:pt>
                <c:pt idx="961">
                  <c:v>9.555755154521616E+21</c:v>
                </c:pt>
                <c:pt idx="962">
                  <c:v>1.1625533171405706E+22</c:v>
                </c:pt>
                <c:pt idx="963">
                  <c:v>1.4189602588260517E+22</c:v>
                </c:pt>
                <c:pt idx="964">
                  <c:v>1.7376902357996058E+22</c:v>
                </c:pt>
                <c:pt idx="965">
                  <c:v>2.1352844782384194E+22</c:v>
                </c:pt>
                <c:pt idx="966">
                  <c:v>2.6330438715260872E+22</c:v>
                </c:pt>
                <c:pt idx="967">
                  <c:v>3.2585052501100686E+22</c:v>
                </c:pt>
                <c:pt idx="968">
                  <c:v>4.0474089438211224E+22</c:v>
                </c:pt>
                <c:pt idx="969">
                  <c:v>5.0463322592705977E+22</c:v>
                </c:pt>
                <c:pt idx="970">
                  <c:v>6.3162297310887929E+22</c:v>
                </c:pt>
                <c:pt idx="971">
                  <c:v>7.937213732763326E+22</c:v>
                </c:pt>
                <c:pt idx="972">
                  <c:v>1.0015039726702094E+23</c:v>
                </c:pt>
                <c:pt idx="973">
                  <c:v>1.2689945491710781E+23</c:v>
                </c:pt>
                <c:pt idx="974">
                  <c:v>1.6148757051830948E+23</c:v>
                </c:pt>
                <c:pt idx="975">
                  <c:v>2.0641550861087001E+23</c:v>
                </c:pt>
                <c:pt idx="976">
                  <c:v>2.6504703834200431E+23</c:v>
                </c:pt>
                <c:pt idx="977">
                  <c:v>3.4192946776869642E+23</c:v>
                </c:pt>
                <c:pt idx="978">
                  <c:v>4.4324177049283641E+23</c:v>
                </c:pt>
                <c:pt idx="979">
                  <c:v>5.7742454457175662E+23</c:v>
                </c:pt>
                <c:pt idx="980">
                  <c:v>7.5607059301518261E+23</c:v>
                </c:pt>
                <c:pt idx="981">
                  <c:v>9.9519126369393311E+23</c:v>
                </c:pt>
                <c:pt idx="982">
                  <c:v>1.3170278425686401E+24</c:v>
                </c:pt>
                <c:pt idx="983">
                  <c:v>1.7526585014266132E+24</c:v>
                </c:pt>
                <c:pt idx="984">
                  <c:v>2.3457738773301334E+24</c:v>
                </c:pt>
                <c:pt idx="985">
                  <c:v>3.1581806371877304E+24</c:v>
                </c:pt>
                <c:pt idx="986">
                  <c:v>4.2778774381725529E+24</c:v>
                </c:pt>
                <c:pt idx="987">
                  <c:v>5.8309870487500958E+24</c:v>
                </c:pt>
                <c:pt idx="988">
                  <c:v>7.9995105652565049E+24</c:v>
                </c:pt>
                <c:pt idx="989">
                  <c:v>1.1047936889045101E+25</c:v>
                </c:pt>
                <c:pt idx="990">
                  <c:v>1.5363423325749713E+25</c:v>
                </c:pt>
                <c:pt idx="991">
                  <c:v>2.1516937621568906E+25</c:v>
                </c:pt>
                <c:pt idx="992">
                  <c:v>3.035703771895104E+25</c:v>
                </c:pt>
                <c:pt idx="993">
                  <c:v>4.3154892666245312E+25</c:v>
                </c:pt>
                <c:pt idx="994">
                  <c:v>6.1830442551026265E+25</c:v>
                </c:pt>
                <c:pt idx="995">
                  <c:v>8.9308177430863012E+25</c:v>
                </c:pt>
                <c:pt idx="996">
                  <c:v>1.3008187321700203E+26</c:v>
                </c:pt>
                <c:pt idx="997">
                  <c:v>1.9111936043361323E+26</c:v>
                </c:pt>
                <c:pt idx="998">
                  <c:v>2.8332601163045576E+26</c:v>
                </c:pt>
                <c:pt idx="999">
                  <c:v>4.2393551084021636E+26</c:v>
                </c:pt>
                <c:pt idx="1000">
                  <c:v>6.4045559117690152E+26</c:v>
                </c:pt>
                <c:pt idx="1001">
                  <c:v>9.7724933505379903E+26</c:v>
                </c:pt>
                <c:pt idx="1002">
                  <c:v>1.5066332207079947E+27</c:v>
                </c:pt>
                <c:pt idx="1003">
                  <c:v>2.3478048556614854E+27</c:v>
                </c:pt>
                <c:pt idx="1004">
                  <c:v>3.6995049058921006E+27</c:v>
                </c:pt>
                <c:pt idx="1005">
                  <c:v>5.8970674894426043E+27</c:v>
                </c:pt>
                <c:pt idx="1006">
                  <c:v>9.5133316501007908E+27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8694-954C-A7F8-D50D2C502A6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04480416"/>
        <c:axId val="604482928"/>
      </c:scatterChart>
      <c:valAx>
        <c:axId val="604480416"/>
        <c:scaling>
          <c:orientation val="minMax"/>
          <c:max val="2000"/>
          <c:min val="11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1600"/>
                  <a:t>Temperature</a:t>
                </a:r>
                <a:r>
                  <a:rPr lang="en-GB" sz="1600" baseline="0"/>
                  <a:t> [K]</a:t>
                </a:r>
                <a:endParaRPr lang="en-GB" sz="1600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E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ES"/>
          </a:p>
        </c:txPr>
        <c:crossAx val="604482928"/>
        <c:crosses val="autoZero"/>
        <c:crossBetween val="midCat"/>
      </c:valAx>
      <c:valAx>
        <c:axId val="604482928"/>
        <c:scaling>
          <c:logBase val="10"/>
          <c:orientation val="minMax"/>
          <c:max val="9.9999999999999988E+25"/>
          <c:min val="1E+18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6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1600"/>
                  <a:t>µ [Pa</a:t>
                </a:r>
                <a:r>
                  <a:rPr lang="en-GB" sz="1600" baseline="0"/>
                  <a:t> s]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6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ES"/>
            </a:p>
          </c:txPr>
        </c:title>
        <c:numFmt formatCode="0.00E+00" sourceLinked="1"/>
        <c:majorTickMark val="none"/>
        <c:minorTickMark val="none"/>
        <c:tickLblPos val="nextTo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ES"/>
          </a:p>
        </c:txPr>
        <c:crossAx val="604480416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E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E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4.png"/><Relationship Id="rId4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27609</xdr:colOff>
      <xdr:row>5</xdr:row>
      <xdr:rowOff>38590</xdr:rowOff>
    </xdr:from>
    <xdr:to>
      <xdr:col>17</xdr:col>
      <xdr:colOff>458305</xdr:colOff>
      <xdr:row>18</xdr:row>
      <xdr:rowOff>115579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F84D5E7-90C3-0B29-AF30-E11C9024C03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12</xdr:col>
      <xdr:colOff>0</xdr:colOff>
      <xdr:row>19</xdr:row>
      <xdr:rowOff>205093</xdr:rowOff>
    </xdr:from>
    <xdr:to>
      <xdr:col>17</xdr:col>
      <xdr:colOff>430697</xdr:colOff>
      <xdr:row>33</xdr:row>
      <xdr:rowOff>76988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8E2FDA32-4D83-734E-8AEA-AE57E7A9CB4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29</xdr:col>
      <xdr:colOff>419100</xdr:colOff>
      <xdr:row>47</xdr:row>
      <xdr:rowOff>25400</xdr:rowOff>
    </xdr:from>
    <xdr:to>
      <xdr:col>33</xdr:col>
      <xdr:colOff>139699</xdr:colOff>
      <xdr:row>49</xdr:row>
      <xdr:rowOff>101600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CC28D3AF-D24A-CFDE-8743-D3168A20EAB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0873700" y="9677400"/>
          <a:ext cx="3073400" cy="482600"/>
        </a:xfrm>
        <a:prstGeom prst="rect">
          <a:avLst/>
        </a:prstGeom>
      </xdr:spPr>
    </xdr:pic>
    <xdr:clientData/>
  </xdr:twoCellAnchor>
  <xdr:twoCellAnchor editAs="oneCell">
    <xdr:from>
      <xdr:col>28</xdr:col>
      <xdr:colOff>533400</xdr:colOff>
      <xdr:row>17</xdr:row>
      <xdr:rowOff>127000</xdr:rowOff>
    </xdr:from>
    <xdr:to>
      <xdr:col>38</xdr:col>
      <xdr:colOff>38100</xdr:colOff>
      <xdr:row>42</xdr:row>
      <xdr:rowOff>115956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696DC021-110A-6ABC-1A41-FE7F41A083E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0149800" y="3657600"/>
          <a:ext cx="7886700" cy="5094356"/>
        </a:xfrm>
        <a:prstGeom prst="rect">
          <a:avLst/>
        </a:prstGeom>
      </xdr:spPr>
    </xdr:pic>
    <xdr:clientData/>
  </xdr:twoCellAnchor>
  <xdr:twoCellAnchor editAs="oneCell">
    <xdr:from>
      <xdr:col>28</xdr:col>
      <xdr:colOff>622300</xdr:colOff>
      <xdr:row>2</xdr:row>
      <xdr:rowOff>76200</xdr:rowOff>
    </xdr:from>
    <xdr:to>
      <xdr:col>38</xdr:col>
      <xdr:colOff>127000</xdr:colOff>
      <xdr:row>17</xdr:row>
      <xdr:rowOff>96030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326DDBE7-260E-1636-8A95-5B22D1FC2F1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0238700" y="482600"/>
          <a:ext cx="7886700" cy="3144030"/>
        </a:xfrm>
        <a:prstGeom prst="rect">
          <a:avLst/>
        </a:prstGeom>
      </xdr:spPr>
    </xdr:pic>
    <xdr:clientData/>
  </xdr:twoCellAnchor>
  <xdr:twoCellAnchor>
    <xdr:from>
      <xdr:col>10</xdr:col>
      <xdr:colOff>76200</xdr:colOff>
      <xdr:row>0</xdr:row>
      <xdr:rowOff>38100</xdr:rowOff>
    </xdr:from>
    <xdr:to>
      <xdr:col>17</xdr:col>
      <xdr:colOff>723900</xdr:colOff>
      <xdr:row>22</xdr:row>
      <xdr:rowOff>177800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8C6B3658-7063-ADC4-802D-E14D45749CD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oneCell">
    <xdr:from>
      <xdr:col>20</xdr:col>
      <xdr:colOff>495300</xdr:colOff>
      <xdr:row>0</xdr:row>
      <xdr:rowOff>0</xdr:rowOff>
    </xdr:from>
    <xdr:to>
      <xdr:col>30</xdr:col>
      <xdr:colOff>12700</xdr:colOff>
      <xdr:row>37</xdr:row>
      <xdr:rowOff>177231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C56DA49D-6163-CAED-0E79-9A23F3480D6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23406100" y="0"/>
          <a:ext cx="7899400" cy="779723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7AB9FB-50B3-084B-8819-A7026C144068}">
  <dimension ref="A1:R141"/>
  <sheetViews>
    <sheetView tabSelected="1" topLeftCell="F17" zoomScale="150" workbookViewId="0">
      <selection activeCell="J3" sqref="J3"/>
    </sheetView>
  </sheetViews>
  <sheetFormatPr baseColWidth="10" defaultRowHeight="16" x14ac:dyDescent="0.2"/>
  <cols>
    <col min="1" max="1" width="12.5" bestFit="1" customWidth="1"/>
    <col min="4" max="4" width="13.1640625" bestFit="1" customWidth="1"/>
    <col min="5" max="5" width="16.83203125" bestFit="1" customWidth="1"/>
    <col min="6" max="6" width="14.83203125" customWidth="1"/>
    <col min="7" max="7" width="12.1640625" bestFit="1" customWidth="1"/>
    <col min="9" max="9" width="18.1640625" bestFit="1" customWidth="1"/>
  </cols>
  <sheetData>
    <row r="1" spans="1:10" x14ac:dyDescent="0.2">
      <c r="A1" t="s">
        <v>6</v>
      </c>
      <c r="B1">
        <v>3000</v>
      </c>
      <c r="E1" t="s">
        <v>11</v>
      </c>
      <c r="F1" s="2">
        <v>1.0000000000000001E-5</v>
      </c>
      <c r="I1" t="s">
        <v>18</v>
      </c>
      <c r="J1">
        <v>14</v>
      </c>
    </row>
    <row r="2" spans="1:10" x14ac:dyDescent="0.2">
      <c r="A2" t="s">
        <v>2</v>
      </c>
      <c r="B2">
        <v>1523</v>
      </c>
      <c r="E2" t="s">
        <v>12</v>
      </c>
      <c r="F2" s="2">
        <v>1.0000000000000001E-5</v>
      </c>
      <c r="I2" t="s">
        <v>19</v>
      </c>
      <c r="J2">
        <v>8.3140000000000001</v>
      </c>
    </row>
    <row r="3" spans="1:10" x14ac:dyDescent="0.2">
      <c r="A3" t="s">
        <v>3</v>
      </c>
      <c r="B3">
        <v>9.81</v>
      </c>
      <c r="E3" t="s">
        <v>14</v>
      </c>
      <c r="F3" s="2">
        <v>1.0000000000000001E+25</v>
      </c>
      <c r="I3" t="s">
        <v>20</v>
      </c>
      <c r="J3">
        <v>3.5</v>
      </c>
    </row>
    <row r="4" spans="1:10" x14ac:dyDescent="0.2">
      <c r="A4" t="s">
        <v>7</v>
      </c>
      <c r="B4">
        <v>120</v>
      </c>
      <c r="C4">
        <f>+B4</f>
        <v>120</v>
      </c>
      <c r="E4" t="s">
        <v>15</v>
      </c>
      <c r="F4" s="2">
        <v>110000</v>
      </c>
    </row>
    <row r="5" spans="1:10" x14ac:dyDescent="0.2">
      <c r="A5" t="s">
        <v>10</v>
      </c>
      <c r="B5">
        <v>0.5</v>
      </c>
      <c r="E5" t="s">
        <v>16</v>
      </c>
      <c r="F5" s="2">
        <v>1.0000000000000001E-15</v>
      </c>
    </row>
    <row r="6" spans="1:10" x14ac:dyDescent="0.2">
      <c r="A6" t="s">
        <v>9</v>
      </c>
      <c r="B6">
        <v>293</v>
      </c>
      <c r="E6" t="s">
        <v>17</v>
      </c>
      <c r="F6" s="2">
        <v>530000</v>
      </c>
    </row>
    <row r="8" spans="1:10" x14ac:dyDescent="0.2">
      <c r="B8" t="s">
        <v>0</v>
      </c>
      <c r="C8" t="s">
        <v>1</v>
      </c>
      <c r="D8" t="s">
        <v>4</v>
      </c>
      <c r="E8" t="s">
        <v>8</v>
      </c>
      <c r="F8" t="s">
        <v>5</v>
      </c>
      <c r="G8" t="s">
        <v>13</v>
      </c>
    </row>
    <row r="9" spans="1:10" x14ac:dyDescent="0.2">
      <c r="B9">
        <v>660</v>
      </c>
      <c r="C9">
        <f>B9*1000</f>
        <v>660000</v>
      </c>
      <c r="D9" s="1">
        <f>$B$1*$B$3*C9*(0.000001)</f>
        <v>19423.8</v>
      </c>
      <c r="E9">
        <f>IF(B9&gt;$B$4,$B$2+(B9-$B$4)*$B$5,$B$6+(($B$2-$B$6)/$B$4)*(B9))</f>
        <v>1793</v>
      </c>
      <c r="F9" s="2">
        <f>$B$1*(1-$F$1*(E9-$B$6)+$F$2*D9)</f>
        <v>3537.7139999999999</v>
      </c>
      <c r="G9">
        <f>MIN($F$3,(1000000)*$F$4^(-1/$J$3)*$F$5^(1/$J$3-1)*EXP(($F$6+D9*$J$1)/($J$3*$J$2*E9)))</f>
        <v>8.8937677044705846E+21</v>
      </c>
    </row>
    <row r="10" spans="1:10" x14ac:dyDescent="0.2">
      <c r="B10">
        <f>B9-5</f>
        <v>655</v>
      </c>
      <c r="C10">
        <f t="shared" ref="C10:C73" si="0">B10*1000</f>
        <v>655000</v>
      </c>
      <c r="D10" s="1">
        <f t="shared" ref="D10:D73" si="1">$B$1*$B$3*C10*(0.000001)</f>
        <v>19276.649999999998</v>
      </c>
      <c r="E10">
        <f t="shared" ref="E10:E73" si="2">IF(B10&gt;$B$4,$B$2+(B10-$B$4)*$B$5,$B$6+(($B$2-$B$6)/$B$4)*(B10))</f>
        <v>1790.5</v>
      </c>
      <c r="F10" s="2">
        <f t="shared" ref="F10:F73" si="3">$B$1*(1-$F$1*(E10-$B$6)+$F$2*D10)</f>
        <v>3533.3745000000004</v>
      </c>
      <c r="G10">
        <f t="shared" ref="G10:G73" si="4">MIN($F$3,(1000000)*$F$4^(-1/$J$3)*$F$5^(1/$J$3-1)*EXP(($F$6+D10*$J$1)/($J$3*$J$2*E10)))</f>
        <v>8.7344207093789926E+21</v>
      </c>
    </row>
    <row r="11" spans="1:10" x14ac:dyDescent="0.2">
      <c r="B11">
        <f t="shared" ref="B11:B74" si="5">B10-5</f>
        <v>650</v>
      </c>
      <c r="C11">
        <f t="shared" si="0"/>
        <v>650000</v>
      </c>
      <c r="D11" s="1">
        <f t="shared" si="1"/>
        <v>19129.5</v>
      </c>
      <c r="E11">
        <f t="shared" si="2"/>
        <v>1788</v>
      </c>
      <c r="F11" s="2">
        <f t="shared" si="3"/>
        <v>3529.0349999999999</v>
      </c>
      <c r="G11">
        <f t="shared" si="4"/>
        <v>8.5774950244898748E+21</v>
      </c>
    </row>
    <row r="12" spans="1:10" x14ac:dyDescent="0.2">
      <c r="B12">
        <f t="shared" si="5"/>
        <v>645</v>
      </c>
      <c r="C12">
        <f t="shared" si="0"/>
        <v>645000</v>
      </c>
      <c r="D12" s="1">
        <f t="shared" si="1"/>
        <v>18982.349999999999</v>
      </c>
      <c r="E12">
        <f t="shared" si="2"/>
        <v>1785.5</v>
      </c>
      <c r="F12" s="2">
        <f t="shared" si="3"/>
        <v>3524.6955000000003</v>
      </c>
      <c r="G12">
        <f t="shared" si="4"/>
        <v>8.422961083369733E+21</v>
      </c>
    </row>
    <row r="13" spans="1:10" x14ac:dyDescent="0.2">
      <c r="B13">
        <f t="shared" si="5"/>
        <v>640</v>
      </c>
      <c r="C13">
        <f t="shared" si="0"/>
        <v>640000</v>
      </c>
      <c r="D13" s="1">
        <f t="shared" si="1"/>
        <v>18835.2</v>
      </c>
      <c r="E13">
        <f t="shared" si="2"/>
        <v>1783</v>
      </c>
      <c r="F13" s="2">
        <f t="shared" si="3"/>
        <v>3520.3559999999998</v>
      </c>
      <c r="G13">
        <f t="shared" si="4"/>
        <v>8.2707895789997334E+21</v>
      </c>
    </row>
    <row r="14" spans="1:10" x14ac:dyDescent="0.2">
      <c r="B14">
        <f t="shared" si="5"/>
        <v>635</v>
      </c>
      <c r="C14">
        <f t="shared" si="0"/>
        <v>635000</v>
      </c>
      <c r="D14" s="1">
        <f t="shared" si="1"/>
        <v>18688.05</v>
      </c>
      <c r="E14">
        <f t="shared" si="2"/>
        <v>1780.5</v>
      </c>
      <c r="F14" s="2">
        <f t="shared" si="3"/>
        <v>3516.0165000000002</v>
      </c>
      <c r="G14">
        <f t="shared" si="4"/>
        <v>8.1209514626554517E+21</v>
      </c>
    </row>
    <row r="15" spans="1:10" x14ac:dyDescent="0.2">
      <c r="B15">
        <f t="shared" si="5"/>
        <v>630</v>
      </c>
      <c r="C15">
        <f t="shared" si="0"/>
        <v>630000</v>
      </c>
      <c r="D15" s="1">
        <f t="shared" si="1"/>
        <v>18540.899999999998</v>
      </c>
      <c r="E15">
        <f t="shared" si="2"/>
        <v>1778</v>
      </c>
      <c r="F15" s="2">
        <f t="shared" si="3"/>
        <v>3511.6769999999997</v>
      </c>
      <c r="G15">
        <f t="shared" si="4"/>
        <v>7.9734179427815659E+21</v>
      </c>
    </row>
    <row r="16" spans="1:10" x14ac:dyDescent="0.2">
      <c r="B16">
        <f t="shared" si="5"/>
        <v>625</v>
      </c>
      <c r="C16">
        <f t="shared" si="0"/>
        <v>625000</v>
      </c>
      <c r="D16" s="1">
        <f t="shared" si="1"/>
        <v>18393.75</v>
      </c>
      <c r="E16">
        <f t="shared" si="2"/>
        <v>1775.5</v>
      </c>
      <c r="F16" s="2">
        <f t="shared" si="3"/>
        <v>3507.3375000000001</v>
      </c>
      <c r="G16">
        <f t="shared" si="4"/>
        <v>7.8281604838607857E+21</v>
      </c>
    </row>
    <row r="17" spans="2:18" x14ac:dyDescent="0.2">
      <c r="B17">
        <f t="shared" si="5"/>
        <v>620</v>
      </c>
      <c r="C17">
        <f t="shared" si="0"/>
        <v>620000</v>
      </c>
      <c r="D17" s="1">
        <f t="shared" si="1"/>
        <v>18246.599999999999</v>
      </c>
      <c r="E17">
        <f t="shared" si="2"/>
        <v>1773</v>
      </c>
      <c r="F17" s="2">
        <f t="shared" si="3"/>
        <v>3502.9979999999996</v>
      </c>
      <c r="G17">
        <f t="shared" si="4"/>
        <v>7.6851508052778927E+21</v>
      </c>
    </row>
    <row r="18" spans="2:18" x14ac:dyDescent="0.2">
      <c r="B18">
        <f t="shared" si="5"/>
        <v>615</v>
      </c>
      <c r="C18">
        <f t="shared" si="0"/>
        <v>615000</v>
      </c>
      <c r="D18" s="1">
        <f t="shared" si="1"/>
        <v>18099.45</v>
      </c>
      <c r="E18">
        <f t="shared" si="2"/>
        <v>1770.5</v>
      </c>
      <c r="F18" s="2">
        <f t="shared" si="3"/>
        <v>3498.6585</v>
      </c>
      <c r="G18">
        <f t="shared" si="4"/>
        <v>7.5443608801785319E+21</v>
      </c>
    </row>
    <row r="19" spans="2:18" x14ac:dyDescent="0.2">
      <c r="B19">
        <f t="shared" si="5"/>
        <v>610</v>
      </c>
      <c r="C19">
        <f t="shared" si="0"/>
        <v>610000</v>
      </c>
      <c r="D19" s="1">
        <f t="shared" si="1"/>
        <v>17952.3</v>
      </c>
      <c r="E19">
        <f t="shared" si="2"/>
        <v>1768</v>
      </c>
      <c r="F19" s="2">
        <f t="shared" si="3"/>
        <v>3494.319</v>
      </c>
      <c r="G19">
        <f t="shared" si="4"/>
        <v>7.4057629343225123E+21</v>
      </c>
    </row>
    <row r="20" spans="2:18" x14ac:dyDescent="0.2">
      <c r="B20">
        <f t="shared" si="5"/>
        <v>605</v>
      </c>
      <c r="C20">
        <f t="shared" si="0"/>
        <v>605000</v>
      </c>
      <c r="D20" s="1">
        <f t="shared" si="1"/>
        <v>17805.149999999998</v>
      </c>
      <c r="E20">
        <f t="shared" si="2"/>
        <v>1765.5</v>
      </c>
      <c r="F20" s="2">
        <f t="shared" si="3"/>
        <v>3489.9794999999999</v>
      </c>
      <c r="G20">
        <f t="shared" si="4"/>
        <v>7.2693294449327373E+21</v>
      </c>
      <c r="R20" t="s">
        <v>21</v>
      </c>
    </row>
    <row r="21" spans="2:18" x14ac:dyDescent="0.2">
      <c r="B21">
        <f t="shared" si="5"/>
        <v>600</v>
      </c>
      <c r="C21">
        <f t="shared" si="0"/>
        <v>600000</v>
      </c>
      <c r="D21" s="1">
        <f t="shared" si="1"/>
        <v>17658</v>
      </c>
      <c r="E21">
        <f t="shared" si="2"/>
        <v>1763</v>
      </c>
      <c r="F21" s="2">
        <f t="shared" si="3"/>
        <v>3485.64</v>
      </c>
      <c r="G21">
        <f t="shared" si="4"/>
        <v>7.1350331395386303E+21</v>
      </c>
    </row>
    <row r="22" spans="2:18" x14ac:dyDescent="0.2">
      <c r="B22">
        <f t="shared" si="5"/>
        <v>595</v>
      </c>
      <c r="C22">
        <f t="shared" si="0"/>
        <v>595000</v>
      </c>
      <c r="D22" s="1">
        <f t="shared" si="1"/>
        <v>17510.849999999999</v>
      </c>
      <c r="E22">
        <f t="shared" si="2"/>
        <v>1760.5</v>
      </c>
      <c r="F22" s="2">
        <f t="shared" si="3"/>
        <v>3481.3004999999998</v>
      </c>
      <c r="G22">
        <f t="shared" si="4"/>
        <v>7.0028469948148802E+21</v>
      </c>
    </row>
    <row r="23" spans="2:18" x14ac:dyDescent="0.2">
      <c r="B23">
        <f t="shared" si="5"/>
        <v>590</v>
      </c>
      <c r="C23">
        <f t="shared" si="0"/>
        <v>590000</v>
      </c>
      <c r="D23" s="1">
        <f t="shared" si="1"/>
        <v>17363.7</v>
      </c>
      <c r="E23">
        <f t="shared" si="2"/>
        <v>1758</v>
      </c>
      <c r="F23" s="2">
        <f t="shared" si="3"/>
        <v>3476.9609999999998</v>
      </c>
      <c r="G23">
        <f t="shared" si="4"/>
        <v>6.872744235415463E+21</v>
      </c>
    </row>
    <row r="24" spans="2:18" x14ac:dyDescent="0.2">
      <c r="B24">
        <f t="shared" si="5"/>
        <v>585</v>
      </c>
      <c r="C24">
        <f t="shared" si="0"/>
        <v>585000</v>
      </c>
      <c r="D24" s="1">
        <f t="shared" si="1"/>
        <v>17216.55</v>
      </c>
      <c r="E24">
        <f t="shared" si="2"/>
        <v>1755.5</v>
      </c>
      <c r="F24" s="2">
        <f t="shared" si="3"/>
        <v>3472.6215000000002</v>
      </c>
      <c r="G24">
        <f t="shared" si="4"/>
        <v>6.7446983328027472E+21</v>
      </c>
    </row>
    <row r="25" spans="2:18" x14ac:dyDescent="0.2">
      <c r="B25">
        <f t="shared" si="5"/>
        <v>580</v>
      </c>
      <c r="C25">
        <f t="shared" si="0"/>
        <v>580000</v>
      </c>
      <c r="D25" s="1">
        <f t="shared" si="1"/>
        <v>17069.399999999998</v>
      </c>
      <c r="E25">
        <f t="shared" si="2"/>
        <v>1753</v>
      </c>
      <c r="F25" s="2">
        <f t="shared" si="3"/>
        <v>3468.2819999999997</v>
      </c>
      <c r="G25">
        <f t="shared" si="4"/>
        <v>6.6186830040722309E+21</v>
      </c>
    </row>
    <row r="26" spans="2:18" x14ac:dyDescent="0.2">
      <c r="B26">
        <f t="shared" si="5"/>
        <v>575</v>
      </c>
      <c r="C26">
        <f t="shared" si="0"/>
        <v>575000</v>
      </c>
      <c r="D26" s="1">
        <f t="shared" si="1"/>
        <v>16922.25</v>
      </c>
      <c r="E26">
        <f t="shared" si="2"/>
        <v>1750.5</v>
      </c>
      <c r="F26" s="2">
        <f t="shared" si="3"/>
        <v>3463.9425000000001</v>
      </c>
      <c r="G26">
        <f t="shared" si="4"/>
        <v>6.4946722107723612E+21</v>
      </c>
    </row>
    <row r="27" spans="2:18" x14ac:dyDescent="0.2">
      <c r="B27">
        <f t="shared" si="5"/>
        <v>570</v>
      </c>
      <c r="C27">
        <f t="shared" si="0"/>
        <v>570000</v>
      </c>
      <c r="D27" s="1">
        <f t="shared" si="1"/>
        <v>16775.099999999999</v>
      </c>
      <c r="E27">
        <f t="shared" si="2"/>
        <v>1748</v>
      </c>
      <c r="F27" s="2">
        <f t="shared" si="3"/>
        <v>3459.6030000000005</v>
      </c>
      <c r="G27">
        <f t="shared" si="4"/>
        <v>6.3726401577201655E+21</v>
      </c>
    </row>
    <row r="28" spans="2:18" x14ac:dyDescent="0.2">
      <c r="B28">
        <f t="shared" si="5"/>
        <v>565</v>
      </c>
      <c r="C28">
        <f t="shared" si="0"/>
        <v>565000</v>
      </c>
      <c r="D28" s="1">
        <f t="shared" si="1"/>
        <v>16627.95</v>
      </c>
      <c r="E28">
        <f t="shared" si="2"/>
        <v>1745.5</v>
      </c>
      <c r="F28" s="2">
        <f t="shared" si="3"/>
        <v>3455.2635</v>
      </c>
      <c r="G28">
        <f t="shared" si="4"/>
        <v>6.2525612918124461E+21</v>
      </c>
    </row>
    <row r="29" spans="2:18" x14ac:dyDescent="0.2">
      <c r="B29">
        <f t="shared" si="5"/>
        <v>560</v>
      </c>
      <c r="C29">
        <f t="shared" si="0"/>
        <v>560000</v>
      </c>
      <c r="D29" s="1">
        <f t="shared" si="1"/>
        <v>16480.8</v>
      </c>
      <c r="E29">
        <f t="shared" si="2"/>
        <v>1743</v>
      </c>
      <c r="F29" s="2">
        <f t="shared" si="3"/>
        <v>3450.9240000000004</v>
      </c>
      <c r="G29">
        <f t="shared" si="4"/>
        <v>6.1344103008323051E+21</v>
      </c>
    </row>
    <row r="30" spans="2:18" x14ac:dyDescent="0.2">
      <c r="B30">
        <f t="shared" si="5"/>
        <v>555</v>
      </c>
      <c r="C30">
        <f t="shared" si="0"/>
        <v>555000</v>
      </c>
      <c r="D30" s="1">
        <f t="shared" si="1"/>
        <v>16333.65</v>
      </c>
      <c r="E30">
        <f t="shared" si="2"/>
        <v>1740.5</v>
      </c>
      <c r="F30" s="2">
        <f t="shared" si="3"/>
        <v>3446.5844999999999</v>
      </c>
      <c r="G30">
        <f t="shared" si="4"/>
        <v>6.0181621122520349E+21</v>
      </c>
    </row>
    <row r="31" spans="2:18" x14ac:dyDescent="0.2">
      <c r="B31">
        <f t="shared" si="5"/>
        <v>550</v>
      </c>
      <c r="C31">
        <f t="shared" si="0"/>
        <v>550000</v>
      </c>
      <c r="D31" s="1">
        <f t="shared" si="1"/>
        <v>16186.5</v>
      </c>
      <c r="E31">
        <f t="shared" si="2"/>
        <v>1738</v>
      </c>
      <c r="F31" s="2">
        <f t="shared" si="3"/>
        <v>3442.2450000000003</v>
      </c>
      <c r="G31">
        <f t="shared" si="4"/>
        <v>5.9037918920312609E+21</v>
      </c>
    </row>
    <row r="32" spans="2:18" x14ac:dyDescent="0.2">
      <c r="B32">
        <f t="shared" si="5"/>
        <v>545</v>
      </c>
      <c r="C32">
        <f t="shared" si="0"/>
        <v>545000</v>
      </c>
      <c r="D32" s="1">
        <f t="shared" si="1"/>
        <v>16039.349999999999</v>
      </c>
      <c r="E32">
        <f t="shared" si="2"/>
        <v>1735.5</v>
      </c>
      <c r="F32" s="2">
        <f t="shared" si="3"/>
        <v>3437.9054999999998</v>
      </c>
      <c r="G32">
        <f t="shared" si="4"/>
        <v>5.7912750434112829E+21</v>
      </c>
    </row>
    <row r="33" spans="2:7" x14ac:dyDescent="0.2">
      <c r="B33">
        <f t="shared" si="5"/>
        <v>540</v>
      </c>
      <c r="C33">
        <f t="shared" si="0"/>
        <v>540000</v>
      </c>
      <c r="D33" s="1">
        <f t="shared" si="1"/>
        <v>15892.199999999999</v>
      </c>
      <c r="E33">
        <f t="shared" si="2"/>
        <v>1733</v>
      </c>
      <c r="F33" s="2">
        <f t="shared" si="3"/>
        <v>3433.5660000000003</v>
      </c>
      <c r="G33">
        <f t="shared" si="4"/>
        <v>5.6805872057055183E+21</v>
      </c>
    </row>
    <row r="34" spans="2:7" x14ac:dyDescent="0.2">
      <c r="B34">
        <f t="shared" si="5"/>
        <v>535</v>
      </c>
      <c r="C34">
        <f t="shared" si="0"/>
        <v>535000</v>
      </c>
      <c r="D34" s="1">
        <f t="shared" si="1"/>
        <v>15745.05</v>
      </c>
      <c r="E34">
        <f t="shared" si="2"/>
        <v>1730.5</v>
      </c>
      <c r="F34" s="2">
        <f t="shared" si="3"/>
        <v>3429.2264999999998</v>
      </c>
      <c r="G34">
        <f t="shared" si="4"/>
        <v>5.5717042530856825E+21</v>
      </c>
    </row>
    <row r="35" spans="2:7" x14ac:dyDescent="0.2">
      <c r="B35">
        <f t="shared" si="5"/>
        <v>530</v>
      </c>
      <c r="C35">
        <f t="shared" si="0"/>
        <v>530000</v>
      </c>
      <c r="D35" s="1">
        <f t="shared" si="1"/>
        <v>15597.9</v>
      </c>
      <c r="E35">
        <f t="shared" si="2"/>
        <v>1728</v>
      </c>
      <c r="F35" s="2">
        <f t="shared" si="3"/>
        <v>3424.8870000000002</v>
      </c>
      <c r="G35">
        <f t="shared" si="4"/>
        <v>5.4646022933645172E+21</v>
      </c>
    </row>
    <row r="36" spans="2:7" x14ac:dyDescent="0.2">
      <c r="B36">
        <f t="shared" si="5"/>
        <v>525</v>
      </c>
      <c r="C36">
        <f t="shared" si="0"/>
        <v>525000</v>
      </c>
      <c r="D36" s="1">
        <f t="shared" si="1"/>
        <v>15450.75</v>
      </c>
      <c r="E36">
        <f t="shared" si="2"/>
        <v>1725.5</v>
      </c>
      <c r="F36" s="2">
        <f t="shared" si="3"/>
        <v>3420.5474999999997</v>
      </c>
      <c r="G36">
        <f t="shared" si="4"/>
        <v>5.3592576667745067E+21</v>
      </c>
    </row>
    <row r="37" spans="2:7" x14ac:dyDescent="0.2">
      <c r="B37">
        <f t="shared" si="5"/>
        <v>520</v>
      </c>
      <c r="C37">
        <f t="shared" si="0"/>
        <v>520000</v>
      </c>
      <c r="D37" s="1">
        <f t="shared" si="1"/>
        <v>15303.599999999999</v>
      </c>
      <c r="E37">
        <f t="shared" si="2"/>
        <v>1723</v>
      </c>
      <c r="F37" s="2">
        <f t="shared" si="3"/>
        <v>3416.2080000000001</v>
      </c>
      <c r="G37">
        <f t="shared" si="4"/>
        <v>5.2556469447430693E+21</v>
      </c>
    </row>
    <row r="38" spans="2:7" x14ac:dyDescent="0.2">
      <c r="B38">
        <f t="shared" si="5"/>
        <v>515</v>
      </c>
      <c r="C38">
        <f t="shared" si="0"/>
        <v>515000</v>
      </c>
      <c r="D38" s="1">
        <f t="shared" si="1"/>
        <v>15156.449999999999</v>
      </c>
      <c r="E38">
        <f t="shared" si="2"/>
        <v>1720.5</v>
      </c>
      <c r="F38" s="2">
        <f t="shared" si="3"/>
        <v>3411.8685</v>
      </c>
      <c r="G38">
        <f t="shared" si="4"/>
        <v>5.1537469286640727E+21</v>
      </c>
    </row>
    <row r="39" spans="2:7" x14ac:dyDescent="0.2">
      <c r="B39">
        <f t="shared" si="5"/>
        <v>510</v>
      </c>
      <c r="C39">
        <f t="shared" si="0"/>
        <v>510000</v>
      </c>
      <c r="D39" s="1">
        <f t="shared" si="1"/>
        <v>15009.3</v>
      </c>
      <c r="E39">
        <f t="shared" si="2"/>
        <v>1718</v>
      </c>
      <c r="F39" s="2">
        <f t="shared" si="3"/>
        <v>3407.529</v>
      </c>
      <c r="G39">
        <f t="shared" si="4"/>
        <v>5.0535346486658791E+21</v>
      </c>
    </row>
    <row r="40" spans="2:7" x14ac:dyDescent="0.2">
      <c r="B40">
        <f t="shared" si="5"/>
        <v>505</v>
      </c>
      <c r="C40">
        <f t="shared" si="0"/>
        <v>505000</v>
      </c>
      <c r="D40" s="1">
        <f t="shared" si="1"/>
        <v>14862.15</v>
      </c>
      <c r="E40">
        <f t="shared" si="2"/>
        <v>1715.5</v>
      </c>
      <c r="F40" s="2">
        <f t="shared" si="3"/>
        <v>3403.1895</v>
      </c>
      <c r="G40">
        <f t="shared" si="4"/>
        <v>4.9549873623761053E+21</v>
      </c>
    </row>
    <row r="41" spans="2:7" x14ac:dyDescent="0.2">
      <c r="B41">
        <f t="shared" si="5"/>
        <v>500</v>
      </c>
      <c r="C41">
        <f t="shared" si="0"/>
        <v>500000</v>
      </c>
      <c r="D41" s="1">
        <f t="shared" si="1"/>
        <v>14715</v>
      </c>
      <c r="E41">
        <f t="shared" si="2"/>
        <v>1713</v>
      </c>
      <c r="F41" s="2">
        <f t="shared" si="3"/>
        <v>3398.8500000000004</v>
      </c>
      <c r="G41">
        <f t="shared" si="4"/>
        <v>4.8580825536828172E+21</v>
      </c>
    </row>
    <row r="42" spans="2:7" x14ac:dyDescent="0.2">
      <c r="B42">
        <f t="shared" si="5"/>
        <v>495</v>
      </c>
      <c r="C42">
        <f t="shared" si="0"/>
        <v>495000</v>
      </c>
      <c r="D42" s="1">
        <f t="shared" si="1"/>
        <v>14567.849999999999</v>
      </c>
      <c r="E42">
        <f t="shared" si="2"/>
        <v>1710.5</v>
      </c>
      <c r="F42" s="2">
        <f t="shared" si="3"/>
        <v>3394.5104999999999</v>
      </c>
      <c r="G42">
        <f t="shared" si="4"/>
        <v>4.7627979314926579E+21</v>
      </c>
    </row>
    <row r="43" spans="2:7" x14ac:dyDescent="0.2">
      <c r="B43">
        <f t="shared" si="5"/>
        <v>490</v>
      </c>
      <c r="C43">
        <f t="shared" si="0"/>
        <v>490000</v>
      </c>
      <c r="D43" s="1">
        <f t="shared" si="1"/>
        <v>14420.699999999999</v>
      </c>
      <c r="E43">
        <f t="shared" si="2"/>
        <v>1708</v>
      </c>
      <c r="F43" s="2">
        <f t="shared" si="3"/>
        <v>3390.1710000000003</v>
      </c>
      <c r="G43">
        <f t="shared" si="4"/>
        <v>4.6691114284858621E+21</v>
      </c>
    </row>
    <row r="44" spans="2:7" x14ac:dyDescent="0.2">
      <c r="B44">
        <f t="shared" si="5"/>
        <v>485</v>
      </c>
      <c r="C44">
        <f t="shared" si="0"/>
        <v>485000</v>
      </c>
      <c r="D44" s="1">
        <f t="shared" si="1"/>
        <v>14273.55</v>
      </c>
      <c r="E44">
        <f t="shared" si="2"/>
        <v>1705.5</v>
      </c>
      <c r="F44" s="2">
        <f t="shared" si="3"/>
        <v>3385.8314999999998</v>
      </c>
      <c r="G44">
        <f t="shared" si="4"/>
        <v>4.5770011998679151E+21</v>
      </c>
    </row>
    <row r="45" spans="2:7" x14ac:dyDescent="0.2">
      <c r="B45">
        <f t="shared" si="5"/>
        <v>480</v>
      </c>
      <c r="C45">
        <f t="shared" si="0"/>
        <v>480000</v>
      </c>
      <c r="D45" s="1">
        <f t="shared" si="1"/>
        <v>14126.4</v>
      </c>
      <c r="E45">
        <f t="shared" si="2"/>
        <v>1703</v>
      </c>
      <c r="F45" s="2">
        <f t="shared" si="3"/>
        <v>3381.4920000000002</v>
      </c>
      <c r="G45">
        <f t="shared" si="4"/>
        <v>4.4864456221186772E+21</v>
      </c>
    </row>
    <row r="46" spans="2:7" x14ac:dyDescent="0.2">
      <c r="B46">
        <f t="shared" si="5"/>
        <v>475</v>
      </c>
      <c r="C46">
        <f t="shared" si="0"/>
        <v>475000</v>
      </c>
      <c r="D46" s="1">
        <f t="shared" si="1"/>
        <v>13979.25</v>
      </c>
      <c r="E46">
        <f t="shared" si="2"/>
        <v>1700.5</v>
      </c>
      <c r="F46" s="2">
        <f t="shared" si="3"/>
        <v>3377.1525000000006</v>
      </c>
      <c r="G46">
        <f t="shared" si="4"/>
        <v>4.3974232917381706E+21</v>
      </c>
    </row>
    <row r="47" spans="2:7" x14ac:dyDescent="0.2">
      <c r="B47">
        <f t="shared" si="5"/>
        <v>470</v>
      </c>
      <c r="C47">
        <f t="shared" si="0"/>
        <v>470000</v>
      </c>
      <c r="D47" s="1">
        <f t="shared" si="1"/>
        <v>13832.099999999999</v>
      </c>
      <c r="E47">
        <f t="shared" si="2"/>
        <v>1698</v>
      </c>
      <c r="F47" s="2">
        <f t="shared" si="3"/>
        <v>3372.8130000000001</v>
      </c>
      <c r="G47">
        <f t="shared" si="4"/>
        <v>4.3099130239898679E+21</v>
      </c>
    </row>
    <row r="48" spans="2:7" x14ac:dyDescent="0.2">
      <c r="B48">
        <f t="shared" si="5"/>
        <v>465</v>
      </c>
      <c r="C48">
        <f t="shared" si="0"/>
        <v>465000</v>
      </c>
      <c r="D48" s="1">
        <f t="shared" si="1"/>
        <v>13684.949999999999</v>
      </c>
      <c r="E48">
        <f t="shared" si="2"/>
        <v>1695.5</v>
      </c>
      <c r="F48" s="2">
        <f t="shared" si="3"/>
        <v>3368.4735000000005</v>
      </c>
      <c r="G48">
        <f t="shared" si="4"/>
        <v>4.2238938516411085E+21</v>
      </c>
    </row>
    <row r="49" spans="2:7" x14ac:dyDescent="0.2">
      <c r="B49">
        <f t="shared" si="5"/>
        <v>460</v>
      </c>
      <c r="C49">
        <f t="shared" si="0"/>
        <v>460000</v>
      </c>
      <c r="D49" s="1">
        <f t="shared" si="1"/>
        <v>13537.8</v>
      </c>
      <c r="E49">
        <f t="shared" si="2"/>
        <v>1693</v>
      </c>
      <c r="F49" s="2">
        <f t="shared" si="3"/>
        <v>3364.134</v>
      </c>
      <c r="G49">
        <f t="shared" si="4"/>
        <v>4.1393450237009147E+21</v>
      </c>
    </row>
    <row r="50" spans="2:7" x14ac:dyDescent="0.2">
      <c r="B50">
        <f t="shared" si="5"/>
        <v>455</v>
      </c>
      <c r="C50">
        <f t="shared" si="0"/>
        <v>455000</v>
      </c>
      <c r="D50" s="1">
        <f t="shared" si="1"/>
        <v>13390.65</v>
      </c>
      <c r="E50">
        <f t="shared" si="2"/>
        <v>1690.5</v>
      </c>
      <c r="F50" s="2">
        <f t="shared" si="3"/>
        <v>3359.7945000000004</v>
      </c>
      <c r="G50">
        <f t="shared" si="4"/>
        <v>4.0562460041553327E+21</v>
      </c>
    </row>
    <row r="51" spans="2:7" x14ac:dyDescent="0.2">
      <c r="B51">
        <f t="shared" si="5"/>
        <v>450</v>
      </c>
      <c r="C51">
        <f t="shared" si="0"/>
        <v>450000</v>
      </c>
      <c r="D51" s="1">
        <f t="shared" si="1"/>
        <v>13243.5</v>
      </c>
      <c r="E51">
        <f t="shared" si="2"/>
        <v>1688</v>
      </c>
      <c r="F51" s="2">
        <f t="shared" si="3"/>
        <v>3355.4549999999999</v>
      </c>
      <c r="G51">
        <f t="shared" si="4"/>
        <v>3.9745764707001969E+21</v>
      </c>
    </row>
    <row r="52" spans="2:7" x14ac:dyDescent="0.2">
      <c r="B52">
        <f t="shared" si="5"/>
        <v>445</v>
      </c>
      <c r="C52">
        <f t="shared" si="0"/>
        <v>445000</v>
      </c>
      <c r="D52" s="1">
        <f t="shared" si="1"/>
        <v>13096.349999999999</v>
      </c>
      <c r="E52">
        <f t="shared" si="2"/>
        <v>1685.5</v>
      </c>
      <c r="F52" s="2">
        <f t="shared" si="3"/>
        <v>3351.1155000000003</v>
      </c>
      <c r="G52">
        <f t="shared" si="4"/>
        <v>3.8943163134716228E+21</v>
      </c>
    </row>
    <row r="53" spans="2:7" x14ac:dyDescent="0.2">
      <c r="B53">
        <f t="shared" si="5"/>
        <v>440</v>
      </c>
      <c r="C53">
        <f t="shared" si="0"/>
        <v>440000</v>
      </c>
      <c r="D53" s="1">
        <f t="shared" si="1"/>
        <v>12949.199999999999</v>
      </c>
      <c r="E53">
        <f t="shared" si="2"/>
        <v>1683</v>
      </c>
      <c r="F53" s="2">
        <f t="shared" si="3"/>
        <v>3346.7759999999998</v>
      </c>
      <c r="G53">
        <f t="shared" si="4"/>
        <v>3.8154456337742362E+21</v>
      </c>
    </row>
    <row r="54" spans="2:7" x14ac:dyDescent="0.2">
      <c r="B54">
        <f t="shared" si="5"/>
        <v>435</v>
      </c>
      <c r="C54">
        <f t="shared" si="0"/>
        <v>435000</v>
      </c>
      <c r="D54" s="1">
        <f t="shared" si="1"/>
        <v>12802.05</v>
      </c>
      <c r="E54">
        <f t="shared" si="2"/>
        <v>1680.5</v>
      </c>
      <c r="F54" s="2">
        <f t="shared" si="3"/>
        <v>3342.4365000000003</v>
      </c>
      <c r="G54">
        <f t="shared" si="4"/>
        <v>3.737944742807059E+21</v>
      </c>
    </row>
    <row r="55" spans="2:7" x14ac:dyDescent="0.2">
      <c r="B55">
        <f t="shared" si="5"/>
        <v>430</v>
      </c>
      <c r="C55">
        <f t="shared" si="0"/>
        <v>430000</v>
      </c>
      <c r="D55" s="1">
        <f t="shared" si="1"/>
        <v>12654.9</v>
      </c>
      <c r="E55">
        <f t="shared" si="2"/>
        <v>1678</v>
      </c>
      <c r="F55" s="2">
        <f t="shared" si="3"/>
        <v>3338.0969999999998</v>
      </c>
      <c r="G55">
        <f t="shared" si="4"/>
        <v>3.6617941603875559E+21</v>
      </c>
    </row>
    <row r="56" spans="2:7" x14ac:dyDescent="0.2">
      <c r="B56">
        <f t="shared" si="5"/>
        <v>425</v>
      </c>
      <c r="C56">
        <f t="shared" si="0"/>
        <v>425000</v>
      </c>
      <c r="D56" s="1">
        <f t="shared" si="1"/>
        <v>12507.75</v>
      </c>
      <c r="E56">
        <f t="shared" si="2"/>
        <v>1675.5</v>
      </c>
      <c r="F56" s="2">
        <f t="shared" si="3"/>
        <v>3333.7574999999997</v>
      </c>
      <c r="G56">
        <f t="shared" si="4"/>
        <v>3.5869746136734483E+21</v>
      </c>
    </row>
    <row r="57" spans="2:7" x14ac:dyDescent="0.2">
      <c r="B57">
        <f t="shared" si="5"/>
        <v>420</v>
      </c>
      <c r="C57">
        <f t="shared" si="0"/>
        <v>420000</v>
      </c>
      <c r="D57" s="1">
        <f t="shared" si="1"/>
        <v>12360.599999999999</v>
      </c>
      <c r="E57">
        <f t="shared" si="2"/>
        <v>1673</v>
      </c>
      <c r="F57" s="2">
        <f t="shared" si="3"/>
        <v>3329.4179999999997</v>
      </c>
      <c r="G57">
        <f t="shared" si="4"/>
        <v>3.5134670358826697E+21</v>
      </c>
    </row>
    <row r="58" spans="2:7" x14ac:dyDescent="0.2">
      <c r="B58">
        <f t="shared" si="5"/>
        <v>415</v>
      </c>
      <c r="C58">
        <f t="shared" si="0"/>
        <v>415000</v>
      </c>
      <c r="D58" s="1">
        <f t="shared" si="1"/>
        <v>12213.449999999999</v>
      </c>
      <c r="E58">
        <f t="shared" si="2"/>
        <v>1670.5</v>
      </c>
      <c r="F58" s="2">
        <f t="shared" si="3"/>
        <v>3325.0784999999996</v>
      </c>
      <c r="G58">
        <f t="shared" si="4"/>
        <v>3.4412525650116078E+21</v>
      </c>
    </row>
    <row r="59" spans="2:7" x14ac:dyDescent="0.2">
      <c r="B59">
        <f t="shared" si="5"/>
        <v>410</v>
      </c>
      <c r="C59">
        <f t="shared" si="0"/>
        <v>410000</v>
      </c>
      <c r="D59" s="1">
        <f t="shared" si="1"/>
        <v>12066.3</v>
      </c>
      <c r="E59">
        <f t="shared" si="2"/>
        <v>1668</v>
      </c>
      <c r="F59" s="2">
        <f t="shared" si="3"/>
        <v>3320.739</v>
      </c>
      <c r="G59">
        <f t="shared" si="4"/>
        <v>3.3703125425514107E+21</v>
      </c>
    </row>
    <row r="60" spans="2:7" x14ac:dyDescent="0.2">
      <c r="B60">
        <f t="shared" si="5"/>
        <v>405</v>
      </c>
      <c r="C60">
        <f t="shared" si="0"/>
        <v>405000</v>
      </c>
      <c r="D60" s="1">
        <f t="shared" si="1"/>
        <v>11919.15</v>
      </c>
      <c r="E60">
        <f t="shared" si="2"/>
        <v>1665.5</v>
      </c>
      <c r="F60" s="2">
        <f t="shared" si="3"/>
        <v>3316.3994999999995</v>
      </c>
      <c r="G60">
        <f t="shared" si="4"/>
        <v>3.3006285122028422E+21</v>
      </c>
    </row>
    <row r="61" spans="2:7" x14ac:dyDescent="0.2">
      <c r="B61">
        <f t="shared" si="5"/>
        <v>400</v>
      </c>
      <c r="C61">
        <f t="shared" si="0"/>
        <v>400000</v>
      </c>
      <c r="D61" s="1">
        <f t="shared" si="1"/>
        <v>11772</v>
      </c>
      <c r="E61">
        <f t="shared" si="2"/>
        <v>1663</v>
      </c>
      <c r="F61" s="2">
        <f t="shared" si="3"/>
        <v>3312.06</v>
      </c>
      <c r="G61">
        <f t="shared" si="4"/>
        <v>3.2321822185894503E+21</v>
      </c>
    </row>
    <row r="62" spans="2:7" x14ac:dyDescent="0.2">
      <c r="B62">
        <f t="shared" si="5"/>
        <v>395</v>
      </c>
      <c r="C62">
        <f t="shared" si="0"/>
        <v>395000</v>
      </c>
      <c r="D62" s="1">
        <f t="shared" si="1"/>
        <v>11624.85</v>
      </c>
      <c r="E62">
        <f t="shared" si="2"/>
        <v>1660.5</v>
      </c>
      <c r="F62" s="2">
        <f t="shared" si="3"/>
        <v>3307.7205000000004</v>
      </c>
      <c r="G62">
        <f t="shared" si="4"/>
        <v>3.1649556059693232E+21</v>
      </c>
    </row>
    <row r="63" spans="2:7" x14ac:dyDescent="0.2">
      <c r="B63">
        <f t="shared" si="5"/>
        <v>390</v>
      </c>
      <c r="C63">
        <f t="shared" si="0"/>
        <v>390000</v>
      </c>
      <c r="D63" s="1">
        <f t="shared" si="1"/>
        <v>11477.699999999999</v>
      </c>
      <c r="E63">
        <f t="shared" si="2"/>
        <v>1658</v>
      </c>
      <c r="F63" s="2">
        <f t="shared" si="3"/>
        <v>3303.3809999999999</v>
      </c>
      <c r="G63">
        <f t="shared" si="4"/>
        <v>3.0989308169454354E+21</v>
      </c>
    </row>
    <row r="64" spans="2:7" x14ac:dyDescent="0.2">
      <c r="B64">
        <f t="shared" si="5"/>
        <v>385</v>
      </c>
      <c r="C64">
        <f t="shared" si="0"/>
        <v>385000</v>
      </c>
      <c r="D64" s="1">
        <f t="shared" si="1"/>
        <v>11330.55</v>
      </c>
      <c r="E64">
        <f t="shared" si="2"/>
        <v>1655.5</v>
      </c>
      <c r="F64" s="2">
        <f t="shared" si="3"/>
        <v>3299.0415000000003</v>
      </c>
      <c r="G64">
        <f t="shared" si="4"/>
        <v>3.0340901911747787E+21</v>
      </c>
    </row>
    <row r="65" spans="2:7" x14ac:dyDescent="0.2">
      <c r="B65">
        <f t="shared" si="5"/>
        <v>380</v>
      </c>
      <c r="C65">
        <f t="shared" si="0"/>
        <v>380000</v>
      </c>
      <c r="D65" s="1">
        <f t="shared" si="1"/>
        <v>11183.4</v>
      </c>
      <c r="E65">
        <f t="shared" si="2"/>
        <v>1653</v>
      </c>
      <c r="F65" s="2">
        <f t="shared" si="3"/>
        <v>3294.7019999999998</v>
      </c>
      <c r="G65">
        <f t="shared" si="4"/>
        <v>2.9704162640762655E+21</v>
      </c>
    </row>
    <row r="66" spans="2:7" x14ac:dyDescent="0.2">
      <c r="B66">
        <f t="shared" si="5"/>
        <v>375</v>
      </c>
      <c r="C66">
        <f t="shared" si="0"/>
        <v>375000</v>
      </c>
      <c r="D66" s="1">
        <f t="shared" si="1"/>
        <v>11036.25</v>
      </c>
      <c r="E66">
        <f t="shared" si="2"/>
        <v>1650.5</v>
      </c>
      <c r="F66" s="2">
        <f t="shared" si="3"/>
        <v>3290.3625000000002</v>
      </c>
      <c r="G66">
        <f t="shared" si="4"/>
        <v>2.9078917655374494E+21</v>
      </c>
    </row>
    <row r="67" spans="2:7" x14ac:dyDescent="0.2">
      <c r="B67">
        <f t="shared" si="5"/>
        <v>370</v>
      </c>
      <c r="C67">
        <f t="shared" si="0"/>
        <v>370000</v>
      </c>
      <c r="D67" s="1">
        <f t="shared" si="1"/>
        <v>10889.1</v>
      </c>
      <c r="E67">
        <f t="shared" si="2"/>
        <v>1648</v>
      </c>
      <c r="F67" s="2">
        <f t="shared" si="3"/>
        <v>3286.0230000000001</v>
      </c>
      <c r="G67">
        <f t="shared" si="4"/>
        <v>2.846499618620418E+21</v>
      </c>
    </row>
    <row r="68" spans="2:7" x14ac:dyDescent="0.2">
      <c r="B68">
        <f t="shared" si="5"/>
        <v>365</v>
      </c>
      <c r="C68">
        <f t="shared" si="0"/>
        <v>365000</v>
      </c>
      <c r="D68" s="1">
        <f t="shared" si="1"/>
        <v>10741.949999999999</v>
      </c>
      <c r="E68">
        <f t="shared" si="2"/>
        <v>1645.5</v>
      </c>
      <c r="F68" s="2">
        <f t="shared" si="3"/>
        <v>3281.6835000000001</v>
      </c>
      <c r="G68">
        <f t="shared" si="4"/>
        <v>2.7862229382666052E+21</v>
      </c>
    </row>
    <row r="69" spans="2:7" x14ac:dyDescent="0.2">
      <c r="B69">
        <f t="shared" si="5"/>
        <v>360</v>
      </c>
      <c r="C69">
        <f t="shared" si="0"/>
        <v>360000</v>
      </c>
      <c r="D69" s="1">
        <f t="shared" si="1"/>
        <v>10594.8</v>
      </c>
      <c r="E69">
        <f t="shared" si="2"/>
        <v>1643</v>
      </c>
      <c r="F69" s="2">
        <f t="shared" si="3"/>
        <v>3277.3440000000001</v>
      </c>
      <c r="G69">
        <f t="shared" si="4"/>
        <v>2.72704503000082E+21</v>
      </c>
    </row>
    <row r="70" spans="2:7" x14ac:dyDescent="0.2">
      <c r="B70">
        <f t="shared" si="5"/>
        <v>355</v>
      </c>
      <c r="C70">
        <f t="shared" si="0"/>
        <v>355000</v>
      </c>
      <c r="D70" s="1">
        <f t="shared" si="1"/>
        <v>10447.65</v>
      </c>
      <c r="E70">
        <f t="shared" si="2"/>
        <v>1640.5</v>
      </c>
      <c r="F70" s="2">
        <f t="shared" si="3"/>
        <v>3273.0045</v>
      </c>
      <c r="G70">
        <f t="shared" si="4"/>
        <v>2.6689493886346393E+21</v>
      </c>
    </row>
    <row r="71" spans="2:7" x14ac:dyDescent="0.2">
      <c r="B71">
        <f t="shared" si="5"/>
        <v>350</v>
      </c>
      <c r="C71">
        <f t="shared" si="0"/>
        <v>350000</v>
      </c>
      <c r="D71" s="1">
        <f t="shared" si="1"/>
        <v>10300.5</v>
      </c>
      <c r="E71">
        <f t="shared" si="2"/>
        <v>1638</v>
      </c>
      <c r="F71" s="2">
        <f t="shared" si="3"/>
        <v>3268.665</v>
      </c>
      <c r="G71">
        <f t="shared" si="4"/>
        <v>2.6119196969690139E+21</v>
      </c>
    </row>
    <row r="72" spans="2:7" x14ac:dyDescent="0.2">
      <c r="B72">
        <f t="shared" si="5"/>
        <v>345</v>
      </c>
      <c r="C72">
        <f t="shared" si="0"/>
        <v>345000</v>
      </c>
      <c r="D72" s="1">
        <f t="shared" si="1"/>
        <v>10153.35</v>
      </c>
      <c r="E72">
        <f t="shared" si="2"/>
        <v>1635.5</v>
      </c>
      <c r="F72" s="2">
        <f t="shared" si="3"/>
        <v>3264.3254999999999</v>
      </c>
      <c r="G72">
        <f t="shared" si="4"/>
        <v>2.555939824496418E+21</v>
      </c>
    </row>
    <row r="73" spans="2:7" x14ac:dyDescent="0.2">
      <c r="B73">
        <f t="shared" si="5"/>
        <v>340</v>
      </c>
      <c r="C73">
        <f t="shared" si="0"/>
        <v>340000</v>
      </c>
      <c r="D73" s="1">
        <f t="shared" si="1"/>
        <v>10006.199999999999</v>
      </c>
      <c r="E73">
        <f t="shared" si="2"/>
        <v>1633</v>
      </c>
      <c r="F73" s="2">
        <f t="shared" si="3"/>
        <v>3259.9859999999999</v>
      </c>
      <c r="G73">
        <f t="shared" si="4"/>
        <v>2.5009938261024928E+21</v>
      </c>
    </row>
    <row r="74" spans="2:7" x14ac:dyDescent="0.2">
      <c r="B74">
        <f t="shared" si="5"/>
        <v>335</v>
      </c>
      <c r="C74">
        <f t="shared" ref="C74:C137" si="6">B74*1000</f>
        <v>335000</v>
      </c>
      <c r="D74" s="1">
        <f t="shared" ref="D74:D137" si="7">$B$1*$B$3*C74*(0.000001)</f>
        <v>9859.0499999999993</v>
      </c>
      <c r="E74">
        <f t="shared" ref="E74:E137" si="8">IF(B74&gt;$B$4,$B$2+(B74-$B$4)*$B$5,$B$6+(($B$2-$B$6)/$B$4)*(B74))</f>
        <v>1630.5</v>
      </c>
      <c r="F74" s="2">
        <f t="shared" ref="F74:F137" si="9">$B$1*(1-$F$1*(E74-$B$6)+$F$2*D74)</f>
        <v>3255.6464999999998</v>
      </c>
      <c r="G74">
        <f t="shared" ref="G74:G137" si="10">MIN($F$3,(1000000)*$F$4^(-1/$J$3)*$F$5^(1/$J$3-1)*EXP(($F$6+D74*$J$1)/($J$3*$J$2*E74)))</f>
        <v>2.4470659407673819E+21</v>
      </c>
    </row>
    <row r="75" spans="2:7" x14ac:dyDescent="0.2">
      <c r="B75">
        <f t="shared" ref="B75:B138" si="11">B74-5</f>
        <v>330</v>
      </c>
      <c r="C75">
        <f t="shared" si="6"/>
        <v>330000</v>
      </c>
      <c r="D75" s="1">
        <f t="shared" si="7"/>
        <v>9711.9</v>
      </c>
      <c r="E75">
        <f t="shared" si="8"/>
        <v>1628</v>
      </c>
      <c r="F75" s="2">
        <f t="shared" si="9"/>
        <v>3251.3069999999998</v>
      </c>
      <c r="G75">
        <f t="shared" si="10"/>
        <v>2.3941405902667577E+21</v>
      </c>
    </row>
    <row r="76" spans="2:7" x14ac:dyDescent="0.2">
      <c r="B76">
        <f t="shared" si="11"/>
        <v>325</v>
      </c>
      <c r="C76">
        <f t="shared" si="6"/>
        <v>325000</v>
      </c>
      <c r="D76" s="1">
        <f t="shared" si="7"/>
        <v>9564.75</v>
      </c>
      <c r="E76">
        <f t="shared" si="8"/>
        <v>1625.5</v>
      </c>
      <c r="F76" s="2">
        <f t="shared" si="9"/>
        <v>3246.9675000000002</v>
      </c>
      <c r="G76">
        <f t="shared" si="10"/>
        <v>2.3422023778726115E+21</v>
      </c>
    </row>
    <row r="77" spans="2:7" x14ac:dyDescent="0.2">
      <c r="B77">
        <f t="shared" si="11"/>
        <v>320</v>
      </c>
      <c r="C77">
        <f t="shared" si="6"/>
        <v>320000</v>
      </c>
      <c r="D77" s="1">
        <f t="shared" si="7"/>
        <v>9417.6</v>
      </c>
      <c r="E77">
        <f t="shared" si="8"/>
        <v>1623</v>
      </c>
      <c r="F77" s="2">
        <f t="shared" si="9"/>
        <v>3242.6279999999997</v>
      </c>
      <c r="G77">
        <f t="shared" si="10"/>
        <v>2.2912360870540731E+21</v>
      </c>
    </row>
    <row r="78" spans="2:7" x14ac:dyDescent="0.2">
      <c r="B78">
        <f t="shared" si="11"/>
        <v>315</v>
      </c>
      <c r="C78">
        <f t="shared" si="6"/>
        <v>315000</v>
      </c>
      <c r="D78" s="1">
        <f t="shared" si="7"/>
        <v>9270.4499999999989</v>
      </c>
      <c r="E78">
        <f t="shared" si="8"/>
        <v>1620.5</v>
      </c>
      <c r="F78" s="2">
        <f t="shared" si="9"/>
        <v>3238.2885000000001</v>
      </c>
      <c r="G78">
        <f t="shared" si="10"/>
        <v>2.241226680178141E+21</v>
      </c>
    </row>
    <row r="79" spans="2:7" x14ac:dyDescent="0.2">
      <c r="B79">
        <f t="shared" si="11"/>
        <v>310</v>
      </c>
      <c r="C79">
        <f t="shared" si="6"/>
        <v>310000</v>
      </c>
      <c r="D79" s="1">
        <f t="shared" si="7"/>
        <v>9123.2999999999993</v>
      </c>
      <c r="E79">
        <f t="shared" si="8"/>
        <v>1618</v>
      </c>
      <c r="F79" s="2">
        <f t="shared" si="9"/>
        <v>3233.9489999999996</v>
      </c>
      <c r="G79">
        <f t="shared" si="10"/>
        <v>2.1921592972105207E+21</v>
      </c>
    </row>
    <row r="80" spans="2:7" x14ac:dyDescent="0.2">
      <c r="B80">
        <f t="shared" si="11"/>
        <v>305</v>
      </c>
      <c r="C80">
        <f t="shared" si="6"/>
        <v>305000</v>
      </c>
      <c r="D80" s="1">
        <f t="shared" si="7"/>
        <v>8976.15</v>
      </c>
      <c r="E80">
        <f t="shared" si="8"/>
        <v>1615.5</v>
      </c>
      <c r="F80" s="2">
        <f t="shared" si="9"/>
        <v>3229.6095</v>
      </c>
      <c r="G80">
        <f t="shared" si="10"/>
        <v>2.1440192544167056E+21</v>
      </c>
    </row>
    <row r="81" spans="2:7" x14ac:dyDescent="0.2">
      <c r="B81">
        <f t="shared" si="11"/>
        <v>300</v>
      </c>
      <c r="C81">
        <f t="shared" si="6"/>
        <v>300000</v>
      </c>
      <c r="D81" s="1">
        <f t="shared" si="7"/>
        <v>8829</v>
      </c>
      <c r="E81">
        <f t="shared" si="8"/>
        <v>1613</v>
      </c>
      <c r="F81" s="2">
        <f t="shared" si="9"/>
        <v>3225.2700000000004</v>
      </c>
      <c r="G81">
        <f t="shared" si="10"/>
        <v>2.0967920430632377E+21</v>
      </c>
    </row>
    <row r="82" spans="2:7" x14ac:dyDescent="0.2">
      <c r="B82">
        <f t="shared" si="11"/>
        <v>295</v>
      </c>
      <c r="C82">
        <f t="shared" si="6"/>
        <v>295000</v>
      </c>
      <c r="D82" s="1">
        <f t="shared" si="7"/>
        <v>8681.85</v>
      </c>
      <c r="E82">
        <f t="shared" si="8"/>
        <v>1610.5</v>
      </c>
      <c r="F82" s="2">
        <f t="shared" si="9"/>
        <v>3220.9304999999999</v>
      </c>
      <c r="G82">
        <f t="shared" si="10"/>
        <v>2.0504633281194274E+21</v>
      </c>
    </row>
    <row r="83" spans="2:7" x14ac:dyDescent="0.2">
      <c r="B83">
        <f t="shared" si="11"/>
        <v>290</v>
      </c>
      <c r="C83">
        <f t="shared" si="6"/>
        <v>290000</v>
      </c>
      <c r="D83" s="1">
        <f t="shared" si="7"/>
        <v>8534.6999999999989</v>
      </c>
      <c r="E83">
        <f t="shared" si="8"/>
        <v>1608</v>
      </c>
      <c r="F83" s="2">
        <f t="shared" si="9"/>
        <v>3216.5910000000003</v>
      </c>
      <c r="G83">
        <f t="shared" si="10"/>
        <v>2.0050189469594852E+21</v>
      </c>
    </row>
    <row r="84" spans="2:7" x14ac:dyDescent="0.2">
      <c r="B84">
        <f t="shared" si="11"/>
        <v>285</v>
      </c>
      <c r="C84">
        <f t="shared" si="6"/>
        <v>285000</v>
      </c>
      <c r="D84" s="1">
        <f t="shared" si="7"/>
        <v>8387.5499999999993</v>
      </c>
      <c r="E84">
        <f t="shared" si="8"/>
        <v>1605.5</v>
      </c>
      <c r="F84" s="2">
        <f t="shared" si="9"/>
        <v>3212.2514999999999</v>
      </c>
      <c r="G84">
        <f t="shared" si="10"/>
        <v>1.9604449080652291E+21</v>
      </c>
    </row>
    <row r="85" spans="2:7" x14ac:dyDescent="0.2">
      <c r="B85">
        <f t="shared" si="11"/>
        <v>280</v>
      </c>
      <c r="C85">
        <f t="shared" si="6"/>
        <v>280000</v>
      </c>
      <c r="D85" s="1">
        <f t="shared" si="7"/>
        <v>8240.4</v>
      </c>
      <c r="E85">
        <f t="shared" si="8"/>
        <v>1603</v>
      </c>
      <c r="F85" s="2">
        <f t="shared" si="9"/>
        <v>3207.9120000000003</v>
      </c>
      <c r="G85">
        <f t="shared" si="10"/>
        <v>1.9167273897294241E+21</v>
      </c>
    </row>
    <row r="86" spans="2:7" x14ac:dyDescent="0.2">
      <c r="B86">
        <f t="shared" si="11"/>
        <v>275</v>
      </c>
      <c r="C86">
        <f t="shared" si="6"/>
        <v>275000</v>
      </c>
      <c r="D86" s="1">
        <f t="shared" si="7"/>
        <v>8093.25</v>
      </c>
      <c r="E86">
        <f t="shared" si="8"/>
        <v>1600.5</v>
      </c>
      <c r="F86" s="2">
        <f t="shared" si="9"/>
        <v>3203.5725000000002</v>
      </c>
      <c r="G86">
        <f t="shared" si="10"/>
        <v>1.873852738759841E+21</v>
      </c>
    </row>
    <row r="87" spans="2:7" x14ac:dyDescent="0.2">
      <c r="B87">
        <f t="shared" si="11"/>
        <v>270</v>
      </c>
      <c r="C87">
        <f t="shared" si="6"/>
        <v>270000</v>
      </c>
      <c r="D87" s="1">
        <f t="shared" si="7"/>
        <v>7946.0999999999995</v>
      </c>
      <c r="E87">
        <f t="shared" si="8"/>
        <v>1598</v>
      </c>
      <c r="F87" s="2">
        <f t="shared" si="9"/>
        <v>3199.2330000000002</v>
      </c>
      <c r="G87">
        <f t="shared" si="10"/>
        <v>1.8318074691841895E+21</v>
      </c>
    </row>
    <row r="88" spans="2:7" x14ac:dyDescent="0.2">
      <c r="B88">
        <f t="shared" si="11"/>
        <v>265</v>
      </c>
      <c r="C88">
        <f t="shared" si="6"/>
        <v>265000</v>
      </c>
      <c r="D88" s="1">
        <f t="shared" si="7"/>
        <v>7798.95</v>
      </c>
      <c r="E88">
        <f t="shared" si="8"/>
        <v>1595.5</v>
      </c>
      <c r="F88" s="2">
        <f t="shared" si="9"/>
        <v>3194.8935000000001</v>
      </c>
      <c r="G88">
        <f t="shared" si="10"/>
        <v>1.7905782609559112E+21</v>
      </c>
    </row>
    <row r="89" spans="2:7" x14ac:dyDescent="0.2">
      <c r="B89">
        <f t="shared" si="11"/>
        <v>260</v>
      </c>
      <c r="C89">
        <f t="shared" si="6"/>
        <v>260000</v>
      </c>
      <c r="D89" s="1">
        <f t="shared" si="7"/>
        <v>7651.7999999999993</v>
      </c>
      <c r="E89">
        <f t="shared" si="8"/>
        <v>1593</v>
      </c>
      <c r="F89" s="2">
        <f t="shared" si="9"/>
        <v>3190.5540000000001</v>
      </c>
      <c r="G89">
        <f t="shared" si="10"/>
        <v>1.7501519586610221E+21</v>
      </c>
    </row>
    <row r="90" spans="2:7" x14ac:dyDescent="0.2">
      <c r="B90">
        <f t="shared" si="11"/>
        <v>255</v>
      </c>
      <c r="C90">
        <f t="shared" si="6"/>
        <v>255000</v>
      </c>
      <c r="D90" s="1">
        <f t="shared" si="7"/>
        <v>7504.65</v>
      </c>
      <c r="E90">
        <f t="shared" si="8"/>
        <v>1590.5</v>
      </c>
      <c r="F90" s="2">
        <f t="shared" si="9"/>
        <v>3186.2145</v>
      </c>
      <c r="G90">
        <f t="shared" si="10"/>
        <v>1.7105155702260535E+21</v>
      </c>
    </row>
    <row r="91" spans="2:7" x14ac:dyDescent="0.2">
      <c r="B91">
        <f t="shared" si="11"/>
        <v>250</v>
      </c>
      <c r="C91">
        <f t="shared" si="6"/>
        <v>250000</v>
      </c>
      <c r="D91" s="1">
        <f t="shared" si="7"/>
        <v>7357.5</v>
      </c>
      <c r="E91">
        <f t="shared" si="8"/>
        <v>1588</v>
      </c>
      <c r="F91" s="2">
        <f t="shared" si="9"/>
        <v>3181.875</v>
      </c>
      <c r="G91">
        <f t="shared" si="10"/>
        <v>1.6716562656271231E+21</v>
      </c>
    </row>
    <row r="92" spans="2:7" x14ac:dyDescent="0.2">
      <c r="B92">
        <f t="shared" si="11"/>
        <v>245</v>
      </c>
      <c r="C92">
        <f t="shared" si="6"/>
        <v>245000</v>
      </c>
      <c r="D92" s="1">
        <f t="shared" si="7"/>
        <v>7210.3499999999995</v>
      </c>
      <c r="E92">
        <f t="shared" si="8"/>
        <v>1585.5</v>
      </c>
      <c r="F92" s="2">
        <f t="shared" si="9"/>
        <v>3177.5355</v>
      </c>
      <c r="G92">
        <f t="shared" si="10"/>
        <v>1.6335613756003821E+21</v>
      </c>
    </row>
    <row r="93" spans="2:7" x14ac:dyDescent="0.2">
      <c r="B93">
        <f t="shared" si="11"/>
        <v>240</v>
      </c>
      <c r="C93">
        <f t="shared" si="6"/>
        <v>240000</v>
      </c>
      <c r="D93" s="1">
        <f t="shared" si="7"/>
        <v>7063.2</v>
      </c>
      <c r="E93">
        <f t="shared" si="8"/>
        <v>1583</v>
      </c>
      <c r="F93" s="2">
        <f t="shared" si="9"/>
        <v>3173.1959999999995</v>
      </c>
      <c r="G93">
        <f t="shared" si="10"/>
        <v>1.5962183903537594E+21</v>
      </c>
    </row>
    <row r="94" spans="2:7" x14ac:dyDescent="0.2">
      <c r="B94">
        <f t="shared" si="11"/>
        <v>235</v>
      </c>
      <c r="C94">
        <f t="shared" si="6"/>
        <v>235000</v>
      </c>
      <c r="D94" s="1">
        <f t="shared" si="7"/>
        <v>6916.0499999999993</v>
      </c>
      <c r="E94">
        <f t="shared" si="8"/>
        <v>1580.5</v>
      </c>
      <c r="F94" s="2">
        <f t="shared" si="9"/>
        <v>3168.8564999999999</v>
      </c>
      <c r="G94">
        <f t="shared" si="10"/>
        <v>1.5596149582801635E+21</v>
      </c>
    </row>
    <row r="95" spans="2:7" x14ac:dyDescent="0.2">
      <c r="B95">
        <f t="shared" si="11"/>
        <v>230</v>
      </c>
      <c r="C95">
        <f t="shared" si="6"/>
        <v>230000</v>
      </c>
      <c r="D95" s="1">
        <f t="shared" si="7"/>
        <v>6768.9</v>
      </c>
      <c r="E95">
        <f t="shared" si="8"/>
        <v>1578</v>
      </c>
      <c r="F95" s="2">
        <f t="shared" si="9"/>
        <v>3164.5169999999994</v>
      </c>
      <c r="G95">
        <f t="shared" si="10"/>
        <v>1.5237388846723086E+21</v>
      </c>
    </row>
    <row r="96" spans="2:7" x14ac:dyDescent="0.2">
      <c r="B96">
        <f t="shared" si="11"/>
        <v>225</v>
      </c>
      <c r="C96">
        <f t="shared" si="6"/>
        <v>225000</v>
      </c>
      <c r="D96" s="1">
        <f t="shared" si="7"/>
        <v>6621.75</v>
      </c>
      <c r="E96">
        <f t="shared" si="8"/>
        <v>1575.5</v>
      </c>
      <c r="F96" s="2">
        <f t="shared" si="9"/>
        <v>3160.1774999999998</v>
      </c>
      <c r="G96">
        <f t="shared" si="10"/>
        <v>1.48857813043908E+21</v>
      </c>
    </row>
    <row r="97" spans="2:7" x14ac:dyDescent="0.2">
      <c r="B97">
        <f t="shared" si="11"/>
        <v>220</v>
      </c>
      <c r="C97">
        <f t="shared" si="6"/>
        <v>220000</v>
      </c>
      <c r="D97" s="1">
        <f t="shared" si="7"/>
        <v>6474.5999999999995</v>
      </c>
      <c r="E97">
        <f t="shared" si="8"/>
        <v>1573</v>
      </c>
      <c r="F97" s="2">
        <f t="shared" si="9"/>
        <v>3155.8380000000002</v>
      </c>
      <c r="G97">
        <f t="shared" si="10"/>
        <v>1.4541208108236963E+21</v>
      </c>
    </row>
    <row r="98" spans="2:7" x14ac:dyDescent="0.2">
      <c r="B98">
        <f t="shared" si="11"/>
        <v>215</v>
      </c>
      <c r="C98">
        <f t="shared" si="6"/>
        <v>215000</v>
      </c>
      <c r="D98" s="1">
        <f t="shared" si="7"/>
        <v>6327.45</v>
      </c>
      <c r="E98">
        <f t="shared" si="8"/>
        <v>1570.5</v>
      </c>
      <c r="F98" s="2">
        <f t="shared" si="9"/>
        <v>3151.4984999999997</v>
      </c>
      <c r="G98">
        <f t="shared" si="10"/>
        <v>1.420355194123648E+21</v>
      </c>
    </row>
    <row r="99" spans="2:7" x14ac:dyDescent="0.2">
      <c r="B99">
        <f t="shared" si="11"/>
        <v>210</v>
      </c>
      <c r="C99">
        <f t="shared" si="6"/>
        <v>210000</v>
      </c>
      <c r="D99" s="1">
        <f t="shared" si="7"/>
        <v>6180.2999999999993</v>
      </c>
      <c r="E99">
        <f t="shared" si="8"/>
        <v>1568</v>
      </c>
      <c r="F99" s="2">
        <f t="shared" si="9"/>
        <v>3147.1590000000001</v>
      </c>
      <c r="G99">
        <f t="shared" si="10"/>
        <v>1.3872697004125829E+21</v>
      </c>
    </row>
    <row r="100" spans="2:7" x14ac:dyDescent="0.2">
      <c r="B100">
        <f t="shared" si="11"/>
        <v>205</v>
      </c>
      <c r="C100">
        <f t="shared" si="6"/>
        <v>205000</v>
      </c>
      <c r="D100" s="1">
        <f t="shared" si="7"/>
        <v>6033.15</v>
      </c>
      <c r="E100">
        <f t="shared" si="8"/>
        <v>1565.5</v>
      </c>
      <c r="F100" s="2">
        <f t="shared" si="9"/>
        <v>3142.8195000000005</v>
      </c>
      <c r="G100">
        <f t="shared" si="10"/>
        <v>1.3548529002641458E+21</v>
      </c>
    </row>
    <row r="101" spans="2:7" x14ac:dyDescent="0.2">
      <c r="B101">
        <f t="shared" si="11"/>
        <v>200</v>
      </c>
      <c r="C101">
        <f t="shared" si="6"/>
        <v>200000</v>
      </c>
      <c r="D101" s="1">
        <f t="shared" si="7"/>
        <v>5886</v>
      </c>
      <c r="E101">
        <f t="shared" si="8"/>
        <v>1563</v>
      </c>
      <c r="F101" s="2">
        <f t="shared" si="9"/>
        <v>3138.48</v>
      </c>
      <c r="G101">
        <f t="shared" si="10"/>
        <v>1.323093513477902E+21</v>
      </c>
    </row>
    <row r="102" spans="2:7" x14ac:dyDescent="0.2">
      <c r="B102">
        <f t="shared" si="11"/>
        <v>195</v>
      </c>
      <c r="C102">
        <f t="shared" si="6"/>
        <v>195000</v>
      </c>
      <c r="D102" s="1">
        <f t="shared" si="7"/>
        <v>5738.8499999999995</v>
      </c>
      <c r="E102">
        <f t="shared" si="8"/>
        <v>1560.5</v>
      </c>
      <c r="F102" s="2">
        <f t="shared" si="9"/>
        <v>3134.1405000000004</v>
      </c>
      <c r="G102">
        <f t="shared" si="10"/>
        <v>1.2919804078074581E+21</v>
      </c>
    </row>
    <row r="103" spans="2:7" x14ac:dyDescent="0.2">
      <c r="B103">
        <f t="shared" si="11"/>
        <v>190</v>
      </c>
      <c r="C103">
        <f t="shared" si="6"/>
        <v>190000</v>
      </c>
      <c r="D103" s="1">
        <f t="shared" si="7"/>
        <v>5591.7</v>
      </c>
      <c r="E103">
        <f t="shared" si="8"/>
        <v>1558</v>
      </c>
      <c r="F103" s="2">
        <f t="shared" si="9"/>
        <v>3129.8009999999999</v>
      </c>
      <c r="G103">
        <f t="shared" si="10"/>
        <v>1.2615025976908112E+21</v>
      </c>
    </row>
    <row r="104" spans="2:7" x14ac:dyDescent="0.2">
      <c r="B104">
        <f t="shared" si="11"/>
        <v>185</v>
      </c>
      <c r="C104">
        <f t="shared" si="6"/>
        <v>185000</v>
      </c>
      <c r="D104" s="1">
        <f t="shared" si="7"/>
        <v>5444.55</v>
      </c>
      <c r="E104">
        <f t="shared" si="8"/>
        <v>1555.5</v>
      </c>
      <c r="F104" s="2">
        <f t="shared" si="9"/>
        <v>3125.4615000000003</v>
      </c>
      <c r="G104">
        <f t="shared" si="10"/>
        <v>1.2316492429830413E+21</v>
      </c>
    </row>
    <row r="105" spans="2:7" x14ac:dyDescent="0.2">
      <c r="B105">
        <f t="shared" si="11"/>
        <v>180</v>
      </c>
      <c r="C105">
        <f t="shared" si="6"/>
        <v>180000</v>
      </c>
      <c r="D105" s="1">
        <f t="shared" si="7"/>
        <v>5297.4</v>
      </c>
      <c r="E105">
        <f t="shared" si="8"/>
        <v>1553</v>
      </c>
      <c r="F105" s="2">
        <f t="shared" si="9"/>
        <v>3121.1219999999998</v>
      </c>
      <c r="G105">
        <f t="shared" si="10"/>
        <v>1.2024096476914621E+21</v>
      </c>
    </row>
    <row r="106" spans="2:7" x14ac:dyDescent="0.2">
      <c r="B106">
        <f t="shared" si="11"/>
        <v>175</v>
      </c>
      <c r="C106">
        <f t="shared" si="6"/>
        <v>175000</v>
      </c>
      <c r="D106" s="1">
        <f t="shared" si="7"/>
        <v>5150.25</v>
      </c>
      <c r="E106">
        <f t="shared" si="8"/>
        <v>1550.5</v>
      </c>
      <c r="F106" s="2">
        <f t="shared" si="9"/>
        <v>3116.7824999999998</v>
      </c>
      <c r="G106">
        <f t="shared" si="10"/>
        <v>1.1737732587132445E+21</v>
      </c>
    </row>
    <row r="107" spans="2:7" x14ac:dyDescent="0.2">
      <c r="B107">
        <f t="shared" si="11"/>
        <v>170</v>
      </c>
      <c r="C107">
        <f t="shared" si="6"/>
        <v>170000</v>
      </c>
      <c r="D107" s="1">
        <f t="shared" si="7"/>
        <v>5003.0999999999995</v>
      </c>
      <c r="E107">
        <f t="shared" si="8"/>
        <v>1548</v>
      </c>
      <c r="F107" s="2">
        <f t="shared" si="9"/>
        <v>3112.4430000000002</v>
      </c>
      <c r="G107">
        <f t="shared" si="10"/>
        <v>1.1457296645756621E+21</v>
      </c>
    </row>
    <row r="108" spans="2:7" x14ac:dyDescent="0.2">
      <c r="B108">
        <f t="shared" si="11"/>
        <v>165</v>
      </c>
      <c r="C108">
        <f t="shared" si="6"/>
        <v>165000</v>
      </c>
      <c r="D108" s="1">
        <f t="shared" si="7"/>
        <v>4855.95</v>
      </c>
      <c r="E108">
        <f t="shared" si="8"/>
        <v>1545.5</v>
      </c>
      <c r="F108" s="2">
        <f t="shared" si="9"/>
        <v>3108.1034999999997</v>
      </c>
      <c r="G108">
        <f t="shared" si="10"/>
        <v>1.1182685941790344E+21</v>
      </c>
    </row>
    <row r="109" spans="2:7" x14ac:dyDescent="0.2">
      <c r="B109">
        <f t="shared" si="11"/>
        <v>160</v>
      </c>
      <c r="C109">
        <f t="shared" si="6"/>
        <v>160000</v>
      </c>
      <c r="D109" s="1">
        <f t="shared" si="7"/>
        <v>4708.8</v>
      </c>
      <c r="E109">
        <f t="shared" si="8"/>
        <v>1543</v>
      </c>
      <c r="F109" s="2">
        <f t="shared" si="9"/>
        <v>3103.7640000000001</v>
      </c>
      <c r="G109">
        <f t="shared" si="10"/>
        <v>1.0913799155424199E+21</v>
      </c>
    </row>
    <row r="110" spans="2:7" x14ac:dyDescent="0.2">
      <c r="B110">
        <f t="shared" si="11"/>
        <v>155</v>
      </c>
      <c r="C110">
        <f t="shared" si="6"/>
        <v>155000</v>
      </c>
      <c r="D110" s="1">
        <f t="shared" si="7"/>
        <v>4561.6499999999996</v>
      </c>
      <c r="E110">
        <f t="shared" si="8"/>
        <v>1540.5</v>
      </c>
      <c r="F110" s="2">
        <f t="shared" si="9"/>
        <v>3099.4244999999996</v>
      </c>
      <c r="G110">
        <f t="shared" si="10"/>
        <v>1.0650536345521716E+21</v>
      </c>
    </row>
    <row r="111" spans="2:7" x14ac:dyDescent="0.2">
      <c r="B111">
        <f t="shared" si="11"/>
        <v>150</v>
      </c>
      <c r="C111">
        <f t="shared" si="6"/>
        <v>150000</v>
      </c>
      <c r="D111" s="1">
        <f t="shared" si="7"/>
        <v>4414.5</v>
      </c>
      <c r="E111">
        <f t="shared" si="8"/>
        <v>1538</v>
      </c>
      <c r="F111" s="2">
        <f t="shared" si="9"/>
        <v>3095.085</v>
      </c>
      <c r="G111">
        <f t="shared" si="10"/>
        <v>1.0392798937134352E+21</v>
      </c>
    </row>
    <row r="112" spans="2:7" x14ac:dyDescent="0.2">
      <c r="B112">
        <f t="shared" si="11"/>
        <v>145</v>
      </c>
      <c r="C112">
        <f t="shared" si="6"/>
        <v>145000</v>
      </c>
      <c r="D112" s="1">
        <f t="shared" si="7"/>
        <v>4267.3499999999995</v>
      </c>
      <c r="E112">
        <f t="shared" si="8"/>
        <v>1535.5</v>
      </c>
      <c r="F112" s="2">
        <f t="shared" si="9"/>
        <v>3090.7454999999995</v>
      </c>
      <c r="G112">
        <f t="shared" si="10"/>
        <v>1.0140489709046678E+21</v>
      </c>
    </row>
    <row r="113" spans="2:7" x14ac:dyDescent="0.2">
      <c r="B113">
        <f t="shared" si="11"/>
        <v>140</v>
      </c>
      <c r="C113">
        <f t="shared" si="6"/>
        <v>140000</v>
      </c>
      <c r="D113" s="1">
        <f t="shared" si="7"/>
        <v>4120.2</v>
      </c>
      <c r="E113">
        <f t="shared" si="8"/>
        <v>1533</v>
      </c>
      <c r="F113" s="2">
        <f t="shared" si="9"/>
        <v>3086.4059999999999</v>
      </c>
      <c r="G113">
        <f t="shared" si="10"/>
        <v>9.893512781352534E+20</v>
      </c>
    </row>
    <row r="114" spans="2:7" x14ac:dyDescent="0.2">
      <c r="B114">
        <f t="shared" si="11"/>
        <v>135</v>
      </c>
      <c r="C114">
        <f t="shared" si="6"/>
        <v>135000</v>
      </c>
      <c r="D114" s="1">
        <f t="shared" si="7"/>
        <v>3973.0499999999997</v>
      </c>
      <c r="E114">
        <f t="shared" si="8"/>
        <v>1530.5</v>
      </c>
      <c r="F114" s="2">
        <f t="shared" si="9"/>
        <v>3082.0665000000004</v>
      </c>
      <c r="G114">
        <f t="shared" si="10"/>
        <v>9.6517736030632372E+20</v>
      </c>
    </row>
    <row r="115" spans="2:7" x14ac:dyDescent="0.2">
      <c r="B115">
        <f t="shared" si="11"/>
        <v>130</v>
      </c>
      <c r="C115">
        <f t="shared" si="6"/>
        <v>130000</v>
      </c>
      <c r="D115" s="1">
        <f t="shared" si="7"/>
        <v>3825.8999999999996</v>
      </c>
      <c r="E115">
        <f t="shared" si="8"/>
        <v>1528</v>
      </c>
      <c r="F115" s="2">
        <f t="shared" si="9"/>
        <v>3077.7269999999999</v>
      </c>
      <c r="G115">
        <f t="shared" si="10"/>
        <v>9.4151789397485067E+20</v>
      </c>
    </row>
    <row r="116" spans="2:7" x14ac:dyDescent="0.2">
      <c r="B116">
        <f t="shared" si="11"/>
        <v>125</v>
      </c>
      <c r="C116">
        <f t="shared" si="6"/>
        <v>125000</v>
      </c>
      <c r="D116" s="1">
        <f t="shared" si="7"/>
        <v>3678.75</v>
      </c>
      <c r="E116">
        <f t="shared" si="8"/>
        <v>1525.5</v>
      </c>
      <c r="F116" s="2">
        <f t="shared" si="9"/>
        <v>3073.3875000000003</v>
      </c>
      <c r="G116">
        <f t="shared" si="10"/>
        <v>9.1836368612105178E+20</v>
      </c>
    </row>
    <row r="117" spans="2:7" x14ac:dyDescent="0.2">
      <c r="B117">
        <f t="shared" si="11"/>
        <v>120</v>
      </c>
      <c r="C117">
        <f t="shared" si="6"/>
        <v>120000</v>
      </c>
      <c r="D117" s="1">
        <f t="shared" si="7"/>
        <v>3531.6</v>
      </c>
      <c r="E117">
        <f t="shared" si="8"/>
        <v>1523</v>
      </c>
      <c r="F117" s="2">
        <f t="shared" si="9"/>
        <v>3069.0479999999998</v>
      </c>
      <c r="G117">
        <f t="shared" si="10"/>
        <v>8.957056729192817E+20</v>
      </c>
    </row>
    <row r="118" spans="2:7" x14ac:dyDescent="0.2">
      <c r="B118">
        <f t="shared" si="11"/>
        <v>115</v>
      </c>
      <c r="C118">
        <f t="shared" si="6"/>
        <v>115000</v>
      </c>
      <c r="D118" s="1">
        <f t="shared" si="7"/>
        <v>3384.45</v>
      </c>
      <c r="E118">
        <f t="shared" si="8"/>
        <v>1471.75</v>
      </c>
      <c r="F118" s="2">
        <f t="shared" si="9"/>
        <v>3066.1709999999998</v>
      </c>
      <c r="G118">
        <f t="shared" si="10"/>
        <v>1.345879031487789E+21</v>
      </c>
    </row>
    <row r="119" spans="2:7" x14ac:dyDescent="0.2">
      <c r="B119">
        <f t="shared" si="11"/>
        <v>110</v>
      </c>
      <c r="C119">
        <f t="shared" si="6"/>
        <v>110000</v>
      </c>
      <c r="D119" s="1">
        <f t="shared" si="7"/>
        <v>3237.2999999999997</v>
      </c>
      <c r="E119">
        <f t="shared" si="8"/>
        <v>1420.5</v>
      </c>
      <c r="F119" s="2">
        <f t="shared" si="9"/>
        <v>3063.2940000000003</v>
      </c>
      <c r="G119">
        <f t="shared" si="10"/>
        <v>2.0826061466653137E+21</v>
      </c>
    </row>
    <row r="120" spans="2:7" x14ac:dyDescent="0.2">
      <c r="B120">
        <f t="shared" si="11"/>
        <v>105</v>
      </c>
      <c r="C120">
        <f t="shared" si="6"/>
        <v>105000</v>
      </c>
      <c r="D120" s="1">
        <f t="shared" si="7"/>
        <v>3090.1499999999996</v>
      </c>
      <c r="E120">
        <f t="shared" si="8"/>
        <v>1369.25</v>
      </c>
      <c r="F120" s="2">
        <f t="shared" si="9"/>
        <v>3060.4169999999999</v>
      </c>
      <c r="G120">
        <f t="shared" si="10"/>
        <v>3.3296725051547189E+21</v>
      </c>
    </row>
    <row r="121" spans="2:7" x14ac:dyDescent="0.2">
      <c r="B121">
        <f t="shared" si="11"/>
        <v>100</v>
      </c>
      <c r="C121">
        <f t="shared" si="6"/>
        <v>100000</v>
      </c>
      <c r="D121" s="1">
        <f t="shared" si="7"/>
        <v>2943</v>
      </c>
      <c r="E121">
        <f t="shared" si="8"/>
        <v>1318</v>
      </c>
      <c r="F121" s="2">
        <f t="shared" si="9"/>
        <v>3057.54</v>
      </c>
      <c r="G121">
        <f t="shared" si="10"/>
        <v>5.5213445516633571E+21</v>
      </c>
    </row>
    <row r="122" spans="2:7" x14ac:dyDescent="0.2">
      <c r="B122">
        <f t="shared" si="11"/>
        <v>95</v>
      </c>
      <c r="C122">
        <f t="shared" si="6"/>
        <v>95000</v>
      </c>
      <c r="D122" s="1">
        <f t="shared" si="7"/>
        <v>2795.85</v>
      </c>
      <c r="E122">
        <f t="shared" si="8"/>
        <v>1266.75</v>
      </c>
      <c r="F122" s="2">
        <f t="shared" si="9"/>
        <v>3054.663</v>
      </c>
      <c r="G122">
        <f t="shared" si="10"/>
        <v>9.5380760150279423E+21</v>
      </c>
    </row>
    <row r="123" spans="2:7" x14ac:dyDescent="0.2">
      <c r="B123">
        <f t="shared" si="11"/>
        <v>90</v>
      </c>
      <c r="C123">
        <f t="shared" si="6"/>
        <v>90000</v>
      </c>
      <c r="D123" s="1">
        <f t="shared" si="7"/>
        <v>2648.7</v>
      </c>
      <c r="E123">
        <f t="shared" si="8"/>
        <v>1215.5</v>
      </c>
      <c r="F123" s="2">
        <f t="shared" si="9"/>
        <v>3051.7859999999996</v>
      </c>
      <c r="G123">
        <f t="shared" si="10"/>
        <v>1.725430163444986E+22</v>
      </c>
    </row>
    <row r="124" spans="2:7" x14ac:dyDescent="0.2">
      <c r="B124">
        <f t="shared" si="11"/>
        <v>85</v>
      </c>
      <c r="C124">
        <f t="shared" si="6"/>
        <v>85000</v>
      </c>
      <c r="D124" s="1">
        <f t="shared" si="7"/>
        <v>2501.5499999999997</v>
      </c>
      <c r="E124">
        <f t="shared" si="8"/>
        <v>1164.25</v>
      </c>
      <c r="F124" s="2">
        <f t="shared" si="9"/>
        <v>3048.9089999999997</v>
      </c>
      <c r="G124">
        <f t="shared" si="10"/>
        <v>3.2885055978911524E+22</v>
      </c>
    </row>
    <row r="125" spans="2:7" x14ac:dyDescent="0.2">
      <c r="B125">
        <f t="shared" si="11"/>
        <v>80</v>
      </c>
      <c r="C125">
        <f t="shared" si="6"/>
        <v>80000</v>
      </c>
      <c r="D125" s="1">
        <f t="shared" si="7"/>
        <v>2354.4</v>
      </c>
      <c r="E125">
        <f t="shared" si="8"/>
        <v>1113</v>
      </c>
      <c r="F125" s="2">
        <f t="shared" si="9"/>
        <v>3046.0320000000002</v>
      </c>
      <c r="G125">
        <f t="shared" si="10"/>
        <v>6.651127425193448E+22</v>
      </c>
    </row>
    <row r="126" spans="2:7" x14ac:dyDescent="0.2">
      <c r="B126">
        <f t="shared" si="11"/>
        <v>75</v>
      </c>
      <c r="C126">
        <f t="shared" si="6"/>
        <v>75000</v>
      </c>
      <c r="D126" s="1">
        <f t="shared" si="7"/>
        <v>2207.25</v>
      </c>
      <c r="E126">
        <f t="shared" si="8"/>
        <v>1061.75</v>
      </c>
      <c r="F126" s="2">
        <f t="shared" si="9"/>
        <v>3043.1550000000002</v>
      </c>
      <c r="G126">
        <f t="shared" si="10"/>
        <v>1.4398684955575783E+23</v>
      </c>
    </row>
    <row r="127" spans="2:7" x14ac:dyDescent="0.2">
      <c r="B127">
        <f t="shared" si="11"/>
        <v>70</v>
      </c>
      <c r="C127">
        <f t="shared" si="6"/>
        <v>70000</v>
      </c>
      <c r="D127" s="1">
        <f t="shared" si="7"/>
        <v>2060.1</v>
      </c>
      <c r="E127">
        <f t="shared" si="8"/>
        <v>1010.5</v>
      </c>
      <c r="F127" s="2">
        <f t="shared" si="9"/>
        <v>3040.2779999999998</v>
      </c>
      <c r="G127">
        <f t="shared" si="10"/>
        <v>3.3711219453402927E+23</v>
      </c>
    </row>
    <row r="128" spans="2:7" x14ac:dyDescent="0.2">
      <c r="B128">
        <f t="shared" si="11"/>
        <v>65</v>
      </c>
      <c r="C128">
        <f t="shared" si="6"/>
        <v>65000</v>
      </c>
      <c r="D128" s="1">
        <f t="shared" si="7"/>
        <v>1912.9499999999998</v>
      </c>
      <c r="E128">
        <f t="shared" si="8"/>
        <v>959.25</v>
      </c>
      <c r="F128" s="2">
        <f t="shared" si="9"/>
        <v>3037.4009999999998</v>
      </c>
      <c r="G128">
        <f t="shared" si="10"/>
        <v>8.6437778488444681E+23</v>
      </c>
    </row>
    <row r="129" spans="2:7" x14ac:dyDescent="0.2">
      <c r="B129">
        <f t="shared" si="11"/>
        <v>60</v>
      </c>
      <c r="C129">
        <f t="shared" si="6"/>
        <v>60000</v>
      </c>
      <c r="D129" s="1">
        <f t="shared" si="7"/>
        <v>1765.8</v>
      </c>
      <c r="E129">
        <f t="shared" si="8"/>
        <v>908</v>
      </c>
      <c r="F129" s="2">
        <f t="shared" si="9"/>
        <v>3034.5240000000003</v>
      </c>
      <c r="G129">
        <f t="shared" si="10"/>
        <v>2.4648749150109793E+24</v>
      </c>
    </row>
    <row r="130" spans="2:7" x14ac:dyDescent="0.2">
      <c r="B130">
        <f t="shared" si="11"/>
        <v>55</v>
      </c>
      <c r="C130">
        <f t="shared" si="6"/>
        <v>55000</v>
      </c>
      <c r="D130" s="1">
        <f t="shared" si="7"/>
        <v>1618.6499999999999</v>
      </c>
      <c r="E130">
        <f t="shared" si="8"/>
        <v>856.75</v>
      </c>
      <c r="F130" s="2">
        <f t="shared" si="9"/>
        <v>3031.6470000000004</v>
      </c>
      <c r="G130">
        <f t="shared" si="10"/>
        <v>7.9676905976542469E+24</v>
      </c>
    </row>
    <row r="131" spans="2:7" x14ac:dyDescent="0.2">
      <c r="B131">
        <f t="shared" si="11"/>
        <v>50</v>
      </c>
      <c r="C131">
        <f t="shared" si="6"/>
        <v>50000</v>
      </c>
      <c r="D131" s="1">
        <f t="shared" si="7"/>
        <v>1471.5</v>
      </c>
      <c r="E131">
        <f t="shared" si="8"/>
        <v>805.5</v>
      </c>
      <c r="F131" s="2">
        <f t="shared" si="9"/>
        <v>3028.77</v>
      </c>
      <c r="G131">
        <f t="shared" si="10"/>
        <v>1.0000000000000001E+25</v>
      </c>
    </row>
    <row r="132" spans="2:7" x14ac:dyDescent="0.2">
      <c r="B132">
        <f t="shared" si="11"/>
        <v>45</v>
      </c>
      <c r="C132">
        <f t="shared" si="6"/>
        <v>45000</v>
      </c>
      <c r="D132" s="1">
        <f t="shared" si="7"/>
        <v>1324.35</v>
      </c>
      <c r="E132">
        <f t="shared" si="8"/>
        <v>754.25</v>
      </c>
      <c r="F132" s="2">
        <f t="shared" si="9"/>
        <v>3025.893</v>
      </c>
      <c r="G132">
        <f t="shared" si="10"/>
        <v>1.0000000000000001E+25</v>
      </c>
    </row>
    <row r="133" spans="2:7" x14ac:dyDescent="0.2">
      <c r="B133">
        <f t="shared" si="11"/>
        <v>40</v>
      </c>
      <c r="C133">
        <f t="shared" si="6"/>
        <v>40000</v>
      </c>
      <c r="D133" s="1">
        <f t="shared" si="7"/>
        <v>1177.2</v>
      </c>
      <c r="E133">
        <f t="shared" si="8"/>
        <v>703</v>
      </c>
      <c r="F133" s="2">
        <f t="shared" si="9"/>
        <v>3023.0159999999996</v>
      </c>
      <c r="G133">
        <f t="shared" si="10"/>
        <v>1.0000000000000001E+25</v>
      </c>
    </row>
    <row r="134" spans="2:7" x14ac:dyDescent="0.2">
      <c r="B134">
        <f t="shared" si="11"/>
        <v>35</v>
      </c>
      <c r="C134">
        <f t="shared" si="6"/>
        <v>35000</v>
      </c>
      <c r="D134" s="1">
        <f t="shared" si="7"/>
        <v>1030.05</v>
      </c>
      <c r="E134">
        <f t="shared" si="8"/>
        <v>651.75</v>
      </c>
      <c r="F134" s="2">
        <f t="shared" si="9"/>
        <v>3020.1390000000001</v>
      </c>
      <c r="G134">
        <f t="shared" si="10"/>
        <v>1.0000000000000001E+25</v>
      </c>
    </row>
    <row r="135" spans="2:7" x14ac:dyDescent="0.2">
      <c r="B135">
        <f t="shared" si="11"/>
        <v>30</v>
      </c>
      <c r="C135">
        <f t="shared" si="6"/>
        <v>30000</v>
      </c>
      <c r="D135" s="1">
        <f t="shared" si="7"/>
        <v>882.9</v>
      </c>
      <c r="E135">
        <f t="shared" si="8"/>
        <v>600.5</v>
      </c>
      <c r="F135" s="2">
        <f t="shared" si="9"/>
        <v>3017.2620000000002</v>
      </c>
      <c r="G135">
        <f t="shared" si="10"/>
        <v>1.0000000000000001E+25</v>
      </c>
    </row>
    <row r="136" spans="2:7" x14ac:dyDescent="0.2">
      <c r="B136">
        <f t="shared" si="11"/>
        <v>25</v>
      </c>
      <c r="C136">
        <f t="shared" si="6"/>
        <v>25000</v>
      </c>
      <c r="D136" s="1">
        <f t="shared" si="7"/>
        <v>735.75</v>
      </c>
      <c r="E136">
        <f t="shared" si="8"/>
        <v>549.25</v>
      </c>
      <c r="F136" s="2">
        <f t="shared" si="9"/>
        <v>3014.3849999999998</v>
      </c>
      <c r="G136">
        <f t="shared" si="10"/>
        <v>1.0000000000000001E+25</v>
      </c>
    </row>
    <row r="137" spans="2:7" x14ac:dyDescent="0.2">
      <c r="B137">
        <f t="shared" si="11"/>
        <v>20</v>
      </c>
      <c r="C137">
        <f t="shared" si="6"/>
        <v>20000</v>
      </c>
      <c r="D137" s="1">
        <f t="shared" si="7"/>
        <v>588.6</v>
      </c>
      <c r="E137">
        <f t="shared" si="8"/>
        <v>498</v>
      </c>
      <c r="F137" s="2">
        <f t="shared" si="9"/>
        <v>3011.5079999999998</v>
      </c>
      <c r="G137">
        <f t="shared" si="10"/>
        <v>1.0000000000000001E+25</v>
      </c>
    </row>
    <row r="138" spans="2:7" x14ac:dyDescent="0.2">
      <c r="B138">
        <f t="shared" si="11"/>
        <v>15</v>
      </c>
      <c r="C138">
        <f t="shared" ref="C138:C141" si="12">B138*1000</f>
        <v>15000</v>
      </c>
      <c r="D138" s="1">
        <f t="shared" ref="D138:D141" si="13">$B$1*$B$3*C138*(0.000001)</f>
        <v>441.45</v>
      </c>
      <c r="E138">
        <f t="shared" ref="E138:E141" si="14">IF(B138&gt;$B$4,$B$2+(B138-$B$4)*$B$5,$B$6+(($B$2-$B$6)/$B$4)*(B138))</f>
        <v>446.75</v>
      </c>
      <c r="F138" s="2">
        <f t="shared" ref="F138:F141" si="15">$B$1*(1-$F$1*(E138-$B$6)+$F$2*D138)</f>
        <v>3008.6309999999999</v>
      </c>
      <c r="G138">
        <f t="shared" ref="G138:G141" si="16">MIN($F$3,(1000000)*$F$4^(-1/$J$3)*$F$5^(1/$J$3-1)*EXP(($F$6+D138*$J$1)/($J$3*$J$2*E138)))</f>
        <v>1.0000000000000001E+25</v>
      </c>
    </row>
    <row r="139" spans="2:7" x14ac:dyDescent="0.2">
      <c r="B139">
        <f>B138-5</f>
        <v>10</v>
      </c>
      <c r="C139">
        <f t="shared" si="12"/>
        <v>10000</v>
      </c>
      <c r="D139" s="1">
        <f t="shared" si="13"/>
        <v>294.3</v>
      </c>
      <c r="E139">
        <f t="shared" si="14"/>
        <v>395.5</v>
      </c>
      <c r="F139" s="2">
        <f t="shared" si="15"/>
        <v>3005.7539999999995</v>
      </c>
      <c r="G139">
        <f t="shared" si="16"/>
        <v>1.0000000000000001E+25</v>
      </c>
    </row>
    <row r="140" spans="2:7" x14ac:dyDescent="0.2">
      <c r="B140">
        <f>B139-5</f>
        <v>5</v>
      </c>
      <c r="C140">
        <f t="shared" si="12"/>
        <v>5000</v>
      </c>
      <c r="D140" s="1">
        <f t="shared" si="13"/>
        <v>147.15</v>
      </c>
      <c r="E140">
        <f t="shared" si="14"/>
        <v>344.25</v>
      </c>
      <c r="F140" s="2">
        <f t="shared" si="15"/>
        <v>3002.877</v>
      </c>
      <c r="G140">
        <f t="shared" si="16"/>
        <v>1.0000000000000001E+25</v>
      </c>
    </row>
    <row r="141" spans="2:7" x14ac:dyDescent="0.2">
      <c r="B141">
        <f>B140-5</f>
        <v>0</v>
      </c>
      <c r="C141">
        <f t="shared" si="12"/>
        <v>0</v>
      </c>
      <c r="D141" s="1">
        <f t="shared" si="13"/>
        <v>0</v>
      </c>
      <c r="E141">
        <f t="shared" si="14"/>
        <v>293</v>
      </c>
      <c r="F141" s="2">
        <f t="shared" si="15"/>
        <v>3000</v>
      </c>
      <c r="G141">
        <f t="shared" si="16"/>
        <v>1.0000000000000001E+25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754589-C5AE-8542-A6CF-8384CA87D553}">
  <dimension ref="A1:T1746"/>
  <sheetViews>
    <sheetView topLeftCell="A35" zoomScale="91" workbookViewId="0">
      <selection activeCell="G23" sqref="G23"/>
    </sheetView>
  </sheetViews>
  <sheetFormatPr baseColWidth="10" defaultRowHeight="16" x14ac:dyDescent="0.2"/>
  <cols>
    <col min="1" max="1" width="13.33203125" customWidth="1"/>
    <col min="3" max="13" width="19.5" customWidth="1"/>
    <col min="15" max="15" width="12.1640625" bestFit="1" customWidth="1"/>
    <col min="18" max="18" width="12.1640625" bestFit="1" customWidth="1"/>
  </cols>
  <sheetData>
    <row r="1" spans="1:14" x14ac:dyDescent="0.2">
      <c r="A1" t="s">
        <v>6</v>
      </c>
      <c r="B1">
        <v>3300</v>
      </c>
    </row>
    <row r="2" spans="1:14" x14ac:dyDescent="0.2">
      <c r="A2" t="s">
        <v>2</v>
      </c>
      <c r="B2">
        <v>1523</v>
      </c>
    </row>
    <row r="3" spans="1:14" x14ac:dyDescent="0.2">
      <c r="A3" t="s">
        <v>3</v>
      </c>
      <c r="B3">
        <v>9.81</v>
      </c>
    </row>
    <row r="4" spans="1:14" x14ac:dyDescent="0.2">
      <c r="A4" t="s">
        <v>7</v>
      </c>
      <c r="B4">
        <v>100</v>
      </c>
    </row>
    <row r="5" spans="1:14" x14ac:dyDescent="0.2">
      <c r="A5" t="s">
        <v>10</v>
      </c>
      <c r="B5">
        <v>0.5</v>
      </c>
    </row>
    <row r="6" spans="1:14" x14ac:dyDescent="0.2">
      <c r="A6" t="s">
        <v>9</v>
      </c>
      <c r="B6">
        <v>293</v>
      </c>
    </row>
    <row r="8" spans="1:14" x14ac:dyDescent="0.2">
      <c r="A8" t="s">
        <v>25</v>
      </c>
      <c r="B8" t="s">
        <v>26</v>
      </c>
      <c r="C8" t="s">
        <v>27</v>
      </c>
    </row>
    <row r="9" spans="1:14" x14ac:dyDescent="0.2">
      <c r="A9" t="s">
        <v>23</v>
      </c>
      <c r="B9">
        <v>1</v>
      </c>
      <c r="C9">
        <v>3.5</v>
      </c>
    </row>
    <row r="10" spans="1:14" x14ac:dyDescent="0.2">
      <c r="A10" t="s">
        <v>24</v>
      </c>
      <c r="B10">
        <v>2.5</v>
      </c>
      <c r="C10">
        <v>0</v>
      </c>
      <c r="N10" s="2"/>
    </row>
    <row r="11" spans="1:14" x14ac:dyDescent="0.2">
      <c r="N11" s="2"/>
    </row>
    <row r="12" spans="1:14" x14ac:dyDescent="0.2">
      <c r="A12" t="s">
        <v>30</v>
      </c>
      <c r="B12" s="2">
        <v>405000000000</v>
      </c>
      <c r="C12" t="s">
        <v>29</v>
      </c>
      <c r="N12" s="2"/>
    </row>
    <row r="13" spans="1:14" ht="17" thickBot="1" x14ac:dyDescent="0.25">
      <c r="A13" t="s">
        <v>28</v>
      </c>
      <c r="B13" s="2">
        <v>1.14E-12</v>
      </c>
      <c r="C13" t="s">
        <v>29</v>
      </c>
      <c r="N13" s="2"/>
    </row>
    <row r="14" spans="1:14" ht="17" thickBot="1" x14ac:dyDescent="0.25">
      <c r="E14" s="14" t="s">
        <v>58</v>
      </c>
      <c r="F14" s="15"/>
      <c r="G14" s="15"/>
      <c r="H14" s="16"/>
      <c r="N14" s="2"/>
    </row>
    <row r="15" spans="1:14" x14ac:dyDescent="0.2">
      <c r="A15" t="s">
        <v>31</v>
      </c>
      <c r="B15" s="2">
        <v>80000000000</v>
      </c>
      <c r="C15" t="s">
        <v>32</v>
      </c>
      <c r="E15" s="4" t="s">
        <v>11</v>
      </c>
      <c r="F15" s="5">
        <v>1.0000000000000001E-5</v>
      </c>
      <c r="G15" s="4" t="s">
        <v>18</v>
      </c>
      <c r="H15" s="10">
        <v>14</v>
      </c>
      <c r="N15" s="2"/>
    </row>
    <row r="16" spans="1:14" x14ac:dyDescent="0.2">
      <c r="A16" t="s">
        <v>33</v>
      </c>
      <c r="B16" s="2">
        <v>2.0000000000000002E-5</v>
      </c>
      <c r="C16" t="s">
        <v>36</v>
      </c>
      <c r="E16" s="6" t="s">
        <v>12</v>
      </c>
      <c r="F16" s="7">
        <v>1.0000000000000001E-5</v>
      </c>
      <c r="G16" s="6" t="s">
        <v>19</v>
      </c>
      <c r="H16" s="11">
        <v>8.3140000000000001</v>
      </c>
      <c r="N16" s="2"/>
    </row>
    <row r="17" spans="1:20" ht="17" thickBot="1" x14ac:dyDescent="0.25">
      <c r="A17" t="s">
        <v>34</v>
      </c>
      <c r="B17" s="2">
        <v>8.3143999999999991</v>
      </c>
      <c r="C17" t="s">
        <v>37</v>
      </c>
      <c r="E17" s="6" t="s">
        <v>14</v>
      </c>
      <c r="F17" s="7">
        <v>1.0000000000000001E+25</v>
      </c>
      <c r="G17" s="8" t="s">
        <v>20</v>
      </c>
      <c r="H17" s="12">
        <v>3.5</v>
      </c>
      <c r="N17" s="2"/>
    </row>
    <row r="18" spans="1:20" x14ac:dyDescent="0.2">
      <c r="A18" t="s">
        <v>35</v>
      </c>
      <c r="B18" s="2">
        <v>540</v>
      </c>
      <c r="C18" t="s">
        <v>38</v>
      </c>
      <c r="E18" s="6" t="s">
        <v>15</v>
      </c>
      <c r="F18" s="7">
        <v>110000</v>
      </c>
      <c r="N18" s="2"/>
    </row>
    <row r="19" spans="1:20" x14ac:dyDescent="0.2">
      <c r="A19" t="s">
        <v>35</v>
      </c>
      <c r="B19" s="2">
        <f>B18*1000</f>
        <v>540000</v>
      </c>
      <c r="C19" t="s">
        <v>39</v>
      </c>
      <c r="E19" s="6" t="s">
        <v>16</v>
      </c>
      <c r="F19" s="7">
        <v>1.0000000000000001E-15</v>
      </c>
      <c r="N19" s="2"/>
    </row>
    <row r="20" spans="1:20" ht="17" thickBot="1" x14ac:dyDescent="0.25">
      <c r="A20" t="s">
        <v>40</v>
      </c>
      <c r="B20" s="2">
        <v>3.5000000000000002E+22</v>
      </c>
      <c r="C20" t="s">
        <v>41</v>
      </c>
      <c r="E20" s="8" t="s">
        <v>17</v>
      </c>
      <c r="F20" s="9">
        <v>530000</v>
      </c>
      <c r="N20" s="2"/>
    </row>
    <row r="21" spans="1:20" x14ac:dyDescent="0.2">
      <c r="A21" s="3" t="s">
        <v>42</v>
      </c>
      <c r="B21" s="2">
        <v>100000</v>
      </c>
      <c r="C21" t="s">
        <v>32</v>
      </c>
    </row>
    <row r="22" spans="1:20" x14ac:dyDescent="0.2">
      <c r="A22" s="3" t="s">
        <v>46</v>
      </c>
      <c r="B22" s="2">
        <v>1000000</v>
      </c>
      <c r="C22" t="s">
        <v>32</v>
      </c>
    </row>
    <row r="23" spans="1:20" x14ac:dyDescent="0.2">
      <c r="A23" t="s">
        <v>43</v>
      </c>
      <c r="B23">
        <v>3.5</v>
      </c>
      <c r="C23" t="s">
        <v>44</v>
      </c>
    </row>
    <row r="24" spans="1:20" x14ac:dyDescent="0.2">
      <c r="A24" t="s">
        <v>14</v>
      </c>
      <c r="B24" s="2">
        <v>1E+100</v>
      </c>
    </row>
    <row r="27" spans="1:20" x14ac:dyDescent="0.2">
      <c r="T27" t="s">
        <v>22</v>
      </c>
    </row>
    <row r="30" spans="1:20" x14ac:dyDescent="0.2">
      <c r="A30" t="s">
        <v>0</v>
      </c>
      <c r="B30" t="s">
        <v>1</v>
      </c>
      <c r="C30" t="s">
        <v>45</v>
      </c>
      <c r="D30" t="s">
        <v>8</v>
      </c>
      <c r="E30" t="s">
        <v>50</v>
      </c>
      <c r="F30" t="s">
        <v>51</v>
      </c>
      <c r="G30" t="s">
        <v>52</v>
      </c>
      <c r="H30" t="s">
        <v>53</v>
      </c>
      <c r="I30" t="s">
        <v>56</v>
      </c>
      <c r="J30" t="s">
        <v>57</v>
      </c>
      <c r="K30" t="s">
        <v>54</v>
      </c>
      <c r="L30" t="s">
        <v>60</v>
      </c>
      <c r="M30" t="s">
        <v>55</v>
      </c>
      <c r="N30" t="s">
        <v>47</v>
      </c>
      <c r="O30" t="s">
        <v>48</v>
      </c>
      <c r="P30" t="s">
        <v>49</v>
      </c>
      <c r="Q30" t="s">
        <v>59</v>
      </c>
    </row>
    <row r="31" spans="1:20" x14ac:dyDescent="0.2">
      <c r="A31">
        <v>1060</v>
      </c>
      <c r="B31">
        <f t="shared" ref="B31:B94" si="0">A31*1000</f>
        <v>1060000</v>
      </c>
      <c r="C31" s="1">
        <f>$B$3*$B$1*B31</f>
        <v>34315380000</v>
      </c>
      <c r="D31">
        <f t="shared" ref="D31:D32" si="1">IF(A31&gt;$B$4,$B$2+(A31-$B$4)*$B$5,$B$6+(($B$2-$B$6)/$B$4)*(A31))</f>
        <v>2003</v>
      </c>
      <c r="E31" s="2">
        <f>+$B$19+$B$16*0</f>
        <v>540000</v>
      </c>
      <c r="F31" s="2">
        <f t="shared" ref="F31:F32" si="2">+$F$20+$H$15*C31*(0.000001)</f>
        <v>1010415.3200000001</v>
      </c>
      <c r="G31" s="2">
        <f t="shared" ref="G31:G32" si="3">+$B$17*D31</f>
        <v>16653.743199999997</v>
      </c>
      <c r="H31" s="2">
        <f t="shared" ref="H31:H32" si="4">+$B$23*$B$17*D31</f>
        <v>58288.101199999997</v>
      </c>
      <c r="I31" s="2">
        <f t="shared" ref="I31:I32" si="5">+E31/G31</f>
        <v>32.425142715062407</v>
      </c>
      <c r="J31" s="2">
        <f t="shared" ref="J31:J32" si="6">+F31/H31</f>
        <v>17.334847064807114</v>
      </c>
      <c r="K31">
        <f t="shared" ref="K31:K32" si="7">+EXP(I31)</f>
        <v>120798225899911.36</v>
      </c>
      <c r="L31" s="13">
        <f>EXP((300*1000)/($B$17*D31))</f>
        <v>66583554.463084266</v>
      </c>
      <c r="M31" s="2">
        <f t="shared" ref="M31:M32" si="8">+EXP(J31)</f>
        <v>33762020.16144494</v>
      </c>
      <c r="N31" s="2">
        <f t="shared" ref="N31:N32" si="9">+$B$13*(($B$15/$B$21)^($B$23-1))*K31</f>
        <v>7.8829790957536944E+16</v>
      </c>
      <c r="O31" s="2">
        <f t="shared" ref="O31:O32" si="10">+$B$13*(($B$15/$B$22)^($B$23-1))*K31</f>
        <v>249281686900761.28</v>
      </c>
      <c r="P31" s="2">
        <f t="shared" ref="P31:P32" si="11">(1000000)*($F$18^(-1/$B$23))*($F$19^((1/$B$23)-1))*M31</f>
        <v>6.3433142805634277E+22</v>
      </c>
      <c r="Q31" s="2">
        <f>$B$12*L31</f>
        <v>2.6966339557549126E+19</v>
      </c>
    </row>
    <row r="32" spans="1:20" x14ac:dyDescent="0.2">
      <c r="A32">
        <f>+A31-1</f>
        <v>1059</v>
      </c>
      <c r="B32">
        <f t="shared" si="0"/>
        <v>1059000</v>
      </c>
      <c r="C32" s="1">
        <f t="shared" ref="C32:C95" si="12">$B$3*$B$1*B32</f>
        <v>34283007000</v>
      </c>
      <c r="D32">
        <f t="shared" si="1"/>
        <v>2002.5</v>
      </c>
      <c r="E32" s="2">
        <f t="shared" ref="E32:E95" si="13">+$B$19+$B$16*0</f>
        <v>540000</v>
      </c>
      <c r="F32" s="2">
        <f t="shared" si="2"/>
        <v>1009962.098</v>
      </c>
      <c r="G32" s="2">
        <f t="shared" si="3"/>
        <v>16649.585999999999</v>
      </c>
      <c r="H32" s="2">
        <f t="shared" si="4"/>
        <v>58273.550999999992</v>
      </c>
      <c r="I32" s="2">
        <f t="shared" si="5"/>
        <v>32.433238880534326</v>
      </c>
      <c r="J32" s="2">
        <f t="shared" si="6"/>
        <v>17.33139787551303</v>
      </c>
      <c r="K32">
        <f t="shared" si="7"/>
        <v>121780198066240.12</v>
      </c>
      <c r="L32" s="13">
        <f t="shared" ref="L32:L95" si="14">EXP((300*1000)/($B$17*D32))</f>
        <v>66883713.146950506</v>
      </c>
      <c r="M32" s="2">
        <f t="shared" si="8"/>
        <v>33645769.164057486</v>
      </c>
      <c r="N32" s="2">
        <f t="shared" si="9"/>
        <v>7.947060053914416E+16</v>
      </c>
      <c r="O32" s="2">
        <f t="shared" si="10"/>
        <v>251308104725099.62</v>
      </c>
      <c r="P32" s="2">
        <f t="shared" si="11"/>
        <v>6.3214726784219867E+22</v>
      </c>
      <c r="Q32" s="2">
        <f t="shared" ref="Q32:Q95" si="15">$B$12*L32</f>
        <v>2.7087903824514953E+19</v>
      </c>
    </row>
    <row r="33" spans="1:17" x14ac:dyDescent="0.2">
      <c r="A33">
        <f t="shared" ref="A33:A96" si="16">+A32-1</f>
        <v>1058</v>
      </c>
      <c r="B33">
        <f t="shared" si="0"/>
        <v>1058000</v>
      </c>
      <c r="C33" s="1">
        <f t="shared" si="12"/>
        <v>34250634000</v>
      </c>
      <c r="D33">
        <f t="shared" ref="D33:D96" si="17">IF(A33&gt;$B$4,$B$2+(A33-$B$4)*$B$5,$B$6+(($B$2-$B$6)/$B$4)*(A33))</f>
        <v>2002</v>
      </c>
      <c r="E33" s="2">
        <f t="shared" si="13"/>
        <v>540000</v>
      </c>
      <c r="F33" s="2">
        <f t="shared" ref="F33:F96" si="18">+$F$20+$H$15*C33*(0.000001)</f>
        <v>1009508.8759999999</v>
      </c>
      <c r="G33" s="2">
        <f t="shared" ref="G33:G96" si="19">+$B$17*D33</f>
        <v>16645.428799999998</v>
      </c>
      <c r="H33" s="2">
        <f t="shared" ref="H33:H96" si="20">+$B$23*$B$17*D33</f>
        <v>58259.000799999994</v>
      </c>
      <c r="I33" s="2">
        <f t="shared" ref="I33:I96" si="21">+E33/G33</f>
        <v>32.441339090044956</v>
      </c>
      <c r="J33" s="2">
        <f t="shared" ref="J33:J96" si="22">+F33/H33</f>
        <v>17.327946963347163</v>
      </c>
      <c r="K33">
        <f t="shared" ref="K33:K96" si="23">+EXP(I33)</f>
        <v>122770649200104.06</v>
      </c>
      <c r="L33" s="13">
        <f t="shared" si="14"/>
        <v>67185375.890675157</v>
      </c>
      <c r="M33" s="2">
        <f t="shared" ref="M33:M96" si="24">+EXP(J33)</f>
        <v>33529860.679945763</v>
      </c>
      <c r="N33" s="2">
        <f t="shared" ref="N33:N96" si="25">+$B$13*(($B$15/$B$21)^($B$23-1))*K33</f>
        <v>8.0116943275177728E+16</v>
      </c>
      <c r="O33" s="2">
        <f t="shared" ref="O33:O96" si="26">+$B$13*(($B$15/$B$22)^($B$23-1))*K33</f>
        <v>253352019920070.69</v>
      </c>
      <c r="P33" s="2">
        <f t="shared" ref="P33:P96" si="27">(1000000)*($F$18^(-1/$B$23))*($F$19^((1/$B$23)-1))*M33</f>
        <v>6.29969542874947E+22</v>
      </c>
      <c r="Q33" s="2">
        <f t="shared" si="15"/>
        <v>2.721007723572344E+19</v>
      </c>
    </row>
    <row r="34" spans="1:17" x14ac:dyDescent="0.2">
      <c r="A34">
        <f t="shared" si="16"/>
        <v>1057</v>
      </c>
      <c r="B34">
        <f t="shared" si="0"/>
        <v>1057000</v>
      </c>
      <c r="C34" s="1">
        <f t="shared" si="12"/>
        <v>34218261000</v>
      </c>
      <c r="D34">
        <f t="shared" si="17"/>
        <v>2001.5</v>
      </c>
      <c r="E34" s="2">
        <f t="shared" si="13"/>
        <v>540000</v>
      </c>
      <c r="F34" s="2">
        <f t="shared" si="18"/>
        <v>1009055.654</v>
      </c>
      <c r="G34" s="2">
        <f t="shared" si="19"/>
        <v>16641.2716</v>
      </c>
      <c r="H34" s="2">
        <f t="shared" si="20"/>
        <v>58244.450599999996</v>
      </c>
      <c r="I34" s="2">
        <f t="shared" si="21"/>
        <v>32.449443346625024</v>
      </c>
      <c r="J34" s="2">
        <f t="shared" si="22"/>
        <v>17.324494327018343</v>
      </c>
      <c r="K34">
        <f t="shared" si="23"/>
        <v>123769656680386.52</v>
      </c>
      <c r="L34" s="13">
        <f t="shared" si="14"/>
        <v>67488550.950130448</v>
      </c>
      <c r="M34" s="2">
        <f t="shared" si="24"/>
        <v>33414293.884722747</v>
      </c>
      <c r="N34" s="2">
        <f t="shared" si="25"/>
        <v>8.0768869661091152E+16</v>
      </c>
      <c r="O34" s="2">
        <f t="shared" si="26"/>
        <v>255413592166318.97</v>
      </c>
      <c r="P34" s="2">
        <f t="shared" si="27"/>
        <v>6.2779823766574551E+22</v>
      </c>
      <c r="Q34" s="2">
        <f t="shared" si="15"/>
        <v>2.7332863134802829E+19</v>
      </c>
    </row>
    <row r="35" spans="1:17" x14ac:dyDescent="0.2">
      <c r="A35">
        <f t="shared" si="16"/>
        <v>1056</v>
      </c>
      <c r="B35">
        <f t="shared" si="0"/>
        <v>1056000</v>
      </c>
      <c r="C35" s="1">
        <f t="shared" si="12"/>
        <v>34185888000</v>
      </c>
      <c r="D35">
        <f t="shared" si="17"/>
        <v>2001</v>
      </c>
      <c r="E35" s="2">
        <f t="shared" si="13"/>
        <v>540000</v>
      </c>
      <c r="F35" s="2">
        <f t="shared" si="18"/>
        <v>1008602.432</v>
      </c>
      <c r="G35" s="2">
        <f t="shared" si="19"/>
        <v>16637.114399999999</v>
      </c>
      <c r="H35" s="2">
        <f t="shared" si="20"/>
        <v>58229.900399999991</v>
      </c>
      <c r="I35" s="2">
        <f t="shared" si="21"/>
        <v>32.457551653308343</v>
      </c>
      <c r="J35" s="2">
        <f t="shared" si="22"/>
        <v>17.321039965234085</v>
      </c>
      <c r="K35">
        <f t="shared" si="23"/>
        <v>124777298629232.44</v>
      </c>
      <c r="L35" s="13">
        <f t="shared" si="14"/>
        <v>67793246.630305231</v>
      </c>
      <c r="M35" s="2">
        <f t="shared" si="24"/>
        <v>33299067.955481552</v>
      </c>
      <c r="N35" s="2">
        <f t="shared" si="25"/>
        <v>8.1426430677371168E+16</v>
      </c>
      <c r="O35" s="2">
        <f t="shared" si="26"/>
        <v>257492982678298.88</v>
      </c>
      <c r="P35" s="2">
        <f t="shared" si="27"/>
        <v>6.2563333675356145E+22</v>
      </c>
      <c r="Q35" s="2">
        <f t="shared" si="15"/>
        <v>2.7456264885273616E+19</v>
      </c>
    </row>
    <row r="36" spans="1:17" x14ac:dyDescent="0.2">
      <c r="A36">
        <f t="shared" si="16"/>
        <v>1055</v>
      </c>
      <c r="B36">
        <f t="shared" si="0"/>
        <v>1055000</v>
      </c>
      <c r="C36" s="1">
        <f t="shared" si="12"/>
        <v>34153515000</v>
      </c>
      <c r="D36">
        <f t="shared" si="17"/>
        <v>2000.5</v>
      </c>
      <c r="E36" s="2">
        <f t="shared" si="13"/>
        <v>540000</v>
      </c>
      <c r="F36" s="2">
        <f t="shared" si="18"/>
        <v>1008149.21</v>
      </c>
      <c r="G36" s="2">
        <f t="shared" si="19"/>
        <v>16632.957199999997</v>
      </c>
      <c r="H36" s="2">
        <f t="shared" si="20"/>
        <v>58215.350199999993</v>
      </c>
      <c r="I36" s="2">
        <f t="shared" si="21"/>
        <v>32.465664013131715</v>
      </c>
      <c r="J36" s="2">
        <f t="shared" si="22"/>
        <v>17.317583876700617</v>
      </c>
      <c r="K36">
        <f t="shared" si="23"/>
        <v>125793653919524.66</v>
      </c>
      <c r="L36" s="13">
        <f t="shared" si="14"/>
        <v>68099471.285614744</v>
      </c>
      <c r="M36" s="2">
        <f t="shared" si="24"/>
        <v>33184182.070794757</v>
      </c>
      <c r="N36" s="2">
        <f t="shared" si="25"/>
        <v>8.2089677794416624E+16</v>
      </c>
      <c r="O36" s="2">
        <f t="shared" si="26"/>
        <v>259590354219702.81</v>
      </c>
      <c r="P36" s="2">
        <f t="shared" si="27"/>
        <v>6.234748247051589E+22</v>
      </c>
      <c r="Q36" s="2">
        <f t="shared" si="15"/>
        <v>2.7580285870673973E+19</v>
      </c>
    </row>
    <row r="37" spans="1:17" x14ac:dyDescent="0.2">
      <c r="A37">
        <f t="shared" si="16"/>
        <v>1054</v>
      </c>
      <c r="B37">
        <f t="shared" si="0"/>
        <v>1054000</v>
      </c>
      <c r="C37" s="1">
        <f t="shared" si="12"/>
        <v>34121142000</v>
      </c>
      <c r="D37">
        <f t="shared" si="17"/>
        <v>2000</v>
      </c>
      <c r="E37" s="2">
        <f t="shared" si="13"/>
        <v>540000</v>
      </c>
      <c r="F37" s="2">
        <f t="shared" si="18"/>
        <v>1007695.9879999999</v>
      </c>
      <c r="G37" s="2">
        <f t="shared" si="19"/>
        <v>16628.8</v>
      </c>
      <c r="H37" s="2">
        <f t="shared" si="20"/>
        <v>58200.799999999996</v>
      </c>
      <c r="I37" s="2">
        <f t="shared" si="21"/>
        <v>32.473780429134997</v>
      </c>
      <c r="J37" s="2">
        <f t="shared" si="22"/>
        <v>17.314126060122884</v>
      </c>
      <c r="K37">
        <f t="shared" si="23"/>
        <v>126818802182458.09</v>
      </c>
      <c r="L37" s="13">
        <f t="shared" si="14"/>
        <v>68407233.320219666</v>
      </c>
      <c r="M37" s="2">
        <f t="shared" si="24"/>
        <v>33069635.410713308</v>
      </c>
      <c r="N37" s="2">
        <f t="shared" si="25"/>
        <v>8.2758662977481184E+16</v>
      </c>
      <c r="O37" s="2">
        <f t="shared" si="26"/>
        <v>261705871119091.47</v>
      </c>
      <c r="P37" s="2">
        <f t="shared" si="27"/>
        <v>6.2132268611507753E+22</v>
      </c>
      <c r="Q37" s="2">
        <f t="shared" si="15"/>
        <v>2.7704929494688965E+19</v>
      </c>
    </row>
    <row r="38" spans="1:17" x14ac:dyDescent="0.2">
      <c r="A38">
        <f t="shared" si="16"/>
        <v>1053</v>
      </c>
      <c r="B38">
        <f t="shared" si="0"/>
        <v>1053000</v>
      </c>
      <c r="C38" s="1">
        <f t="shared" si="12"/>
        <v>34088769000</v>
      </c>
      <c r="D38">
        <f t="shared" si="17"/>
        <v>1999.5</v>
      </c>
      <c r="E38" s="2">
        <f t="shared" si="13"/>
        <v>540000</v>
      </c>
      <c r="F38" s="2">
        <f t="shared" si="18"/>
        <v>1007242.7660000001</v>
      </c>
      <c r="G38" s="2">
        <f t="shared" si="19"/>
        <v>16624.642799999998</v>
      </c>
      <c r="H38" s="2">
        <f t="shared" si="20"/>
        <v>58186.249799999991</v>
      </c>
      <c r="I38" s="2">
        <f t="shared" si="21"/>
        <v>32.48190090436109</v>
      </c>
      <c r="J38" s="2">
        <f t="shared" si="22"/>
        <v>17.310666514204534</v>
      </c>
      <c r="K38">
        <f t="shared" si="23"/>
        <v>127852823815184.33</v>
      </c>
      <c r="L38" s="13">
        <f t="shared" si="14"/>
        <v>68716541.18834424</v>
      </c>
      <c r="M38" s="2">
        <f t="shared" si="24"/>
        <v>32955427.156764284</v>
      </c>
      <c r="N38" s="2">
        <f t="shared" si="25"/>
        <v>8.3433438691661936E+16</v>
      </c>
      <c r="O38" s="2">
        <f t="shared" si="26"/>
        <v>263839699285669.41</v>
      </c>
      <c r="P38" s="2">
        <f t="shared" si="27"/>
        <v>6.1917690560559144E+22</v>
      </c>
      <c r="Q38" s="2">
        <f t="shared" si="15"/>
        <v>2.7830199181279416E+19</v>
      </c>
    </row>
    <row r="39" spans="1:17" x14ac:dyDescent="0.2">
      <c r="A39">
        <f t="shared" si="16"/>
        <v>1052</v>
      </c>
      <c r="B39">
        <f t="shared" si="0"/>
        <v>1052000</v>
      </c>
      <c r="C39" s="1">
        <f t="shared" si="12"/>
        <v>34056396000</v>
      </c>
      <c r="D39">
        <f t="shared" si="17"/>
        <v>1999</v>
      </c>
      <c r="E39" s="2">
        <f t="shared" si="13"/>
        <v>540000</v>
      </c>
      <c r="F39" s="2">
        <f t="shared" si="18"/>
        <v>1006789.544</v>
      </c>
      <c r="G39" s="2">
        <f t="shared" si="19"/>
        <v>16620.4856</v>
      </c>
      <c r="H39" s="2">
        <f t="shared" si="20"/>
        <v>58171.699599999993</v>
      </c>
      <c r="I39" s="2">
        <f t="shared" si="21"/>
        <v>32.49002544185592</v>
      </c>
      <c r="J39" s="2">
        <f t="shared" si="22"/>
        <v>17.307205237647899</v>
      </c>
      <c r="K39">
        <f t="shared" si="23"/>
        <v>128895799988536.45</v>
      </c>
      <c r="L39" s="13">
        <f t="shared" si="14"/>
        <v>69027403.394595608</v>
      </c>
      <c r="M39" s="2">
        <f t="shared" si="24"/>
        <v>32841556.491948977</v>
      </c>
      <c r="N39" s="2">
        <f t="shared" si="25"/>
        <v>8.411405790694048E+16</v>
      </c>
      <c r="O39" s="2">
        <f t="shared" si="26"/>
        <v>265992006225226.12</v>
      </c>
      <c r="P39" s="2">
        <f t="shared" si="27"/>
        <v>6.1703746782667249E+22</v>
      </c>
      <c r="Q39" s="2">
        <f t="shared" si="15"/>
        <v>2.7956098374811222E+19</v>
      </c>
    </row>
    <row r="40" spans="1:17" x14ac:dyDescent="0.2">
      <c r="A40">
        <f t="shared" si="16"/>
        <v>1051</v>
      </c>
      <c r="B40">
        <f t="shared" si="0"/>
        <v>1051000</v>
      </c>
      <c r="C40" s="1">
        <f t="shared" si="12"/>
        <v>34024023000</v>
      </c>
      <c r="D40">
        <f t="shared" si="17"/>
        <v>1998.5</v>
      </c>
      <c r="E40" s="2">
        <f t="shared" si="13"/>
        <v>540000</v>
      </c>
      <c r="F40" s="2">
        <f t="shared" si="18"/>
        <v>1006336.3219999999</v>
      </c>
      <c r="G40" s="2">
        <f t="shared" si="19"/>
        <v>16616.328399999999</v>
      </c>
      <c r="H40" s="2">
        <f t="shared" si="20"/>
        <v>58157.149399999995</v>
      </c>
      <c r="I40" s="2">
        <f t="shared" si="21"/>
        <v>32.498154044668496</v>
      </c>
      <c r="J40" s="2">
        <f t="shared" si="22"/>
        <v>17.303742229154032</v>
      </c>
      <c r="K40">
        <f t="shared" si="23"/>
        <v>129947812654844.81</v>
      </c>
      <c r="L40" s="13">
        <f t="shared" si="14"/>
        <v>69339828.494287297</v>
      </c>
      <c r="M40" s="2">
        <f t="shared" si="24"/>
        <v>32728022.600742567</v>
      </c>
      <c r="N40" s="2">
        <f t="shared" si="25"/>
        <v>8.4800574103283312E+16</v>
      </c>
      <c r="O40" s="2">
        <f t="shared" si="26"/>
        <v>268162961056264.81</v>
      </c>
      <c r="P40" s="2">
        <f t="shared" si="27"/>
        <v>6.1490435745598449E+22</v>
      </c>
      <c r="Q40" s="2">
        <f t="shared" si="15"/>
        <v>2.8082630540186354E+19</v>
      </c>
    </row>
    <row r="41" spans="1:17" x14ac:dyDescent="0.2">
      <c r="A41">
        <f t="shared" si="16"/>
        <v>1050</v>
      </c>
      <c r="B41">
        <f t="shared" si="0"/>
        <v>1050000</v>
      </c>
      <c r="C41" s="1">
        <f t="shared" si="12"/>
        <v>33991650000</v>
      </c>
      <c r="D41">
        <f t="shared" si="17"/>
        <v>1998</v>
      </c>
      <c r="E41" s="2">
        <f t="shared" si="13"/>
        <v>540000</v>
      </c>
      <c r="F41" s="2">
        <f t="shared" si="18"/>
        <v>1005883.1</v>
      </c>
      <c r="G41" s="2">
        <f t="shared" si="19"/>
        <v>16612.171199999997</v>
      </c>
      <c r="H41" s="2">
        <f t="shared" si="20"/>
        <v>58142.599199999997</v>
      </c>
      <c r="I41" s="2">
        <f t="shared" si="21"/>
        <v>32.506286715850848</v>
      </c>
      <c r="J41" s="2">
        <f t="shared" si="22"/>
        <v>17.300277487422683</v>
      </c>
      <c r="K41">
        <f t="shared" si="23"/>
        <v>131008944555819.44</v>
      </c>
      <c r="L41" s="13">
        <f t="shared" si="14"/>
        <v>69653825.093764544</v>
      </c>
      <c r="M41" s="2">
        <f t="shared" si="24"/>
        <v>32614824.669091824</v>
      </c>
      <c r="N41" s="2">
        <f t="shared" si="25"/>
        <v>8.54930412757856E+16</v>
      </c>
      <c r="O41" s="2">
        <f t="shared" si="26"/>
        <v>270352734526268.75</v>
      </c>
      <c r="P41" s="2">
        <f t="shared" si="27"/>
        <v>6.1277755919883995E+22</v>
      </c>
      <c r="Q41" s="2">
        <f t="shared" si="15"/>
        <v>2.8209799162974642E+19</v>
      </c>
    </row>
    <row r="42" spans="1:17" x14ac:dyDescent="0.2">
      <c r="A42">
        <f t="shared" si="16"/>
        <v>1049</v>
      </c>
      <c r="B42">
        <f t="shared" si="0"/>
        <v>1049000</v>
      </c>
      <c r="C42" s="1">
        <f t="shared" si="12"/>
        <v>33959277000</v>
      </c>
      <c r="D42">
        <f t="shared" si="17"/>
        <v>1997.5</v>
      </c>
      <c r="E42" s="2">
        <f t="shared" si="13"/>
        <v>540000</v>
      </c>
      <c r="F42" s="2">
        <f t="shared" si="18"/>
        <v>1005429.878</v>
      </c>
      <c r="G42" s="2">
        <f t="shared" si="19"/>
        <v>16608.013999999999</v>
      </c>
      <c r="H42" s="2">
        <f t="shared" si="20"/>
        <v>58128.048999999992</v>
      </c>
      <c r="I42" s="2">
        <f t="shared" si="21"/>
        <v>32.514423458458069</v>
      </c>
      <c r="J42" s="2">
        <f t="shared" si="22"/>
        <v>17.296811011152297</v>
      </c>
      <c r="K42">
        <f t="shared" si="23"/>
        <v>132079279230529.59</v>
      </c>
      <c r="L42" s="13">
        <f t="shared" si="14"/>
        <v>69969401.850730121</v>
      </c>
      <c r="M42" s="2">
        <f t="shared" si="24"/>
        <v>32501961.884413607</v>
      </c>
      <c r="N42" s="2">
        <f t="shared" si="25"/>
        <v>8.619151393987848E+16</v>
      </c>
      <c r="O42" s="2">
        <f t="shared" si="26"/>
        <v>272561499028167.94</v>
      </c>
      <c r="P42" s="2">
        <f t="shared" si="27"/>
        <v>6.106570577881718E+22</v>
      </c>
      <c r="Q42" s="2">
        <f t="shared" si="15"/>
        <v>2.8337607749545697E+19</v>
      </c>
    </row>
    <row r="43" spans="1:17" x14ac:dyDescent="0.2">
      <c r="A43">
        <f t="shared" si="16"/>
        <v>1048</v>
      </c>
      <c r="B43">
        <f t="shared" si="0"/>
        <v>1048000</v>
      </c>
      <c r="C43" s="1">
        <f t="shared" si="12"/>
        <v>33926904000</v>
      </c>
      <c r="D43">
        <f t="shared" si="17"/>
        <v>1997</v>
      </c>
      <c r="E43" s="2">
        <f t="shared" si="13"/>
        <v>540000</v>
      </c>
      <c r="F43" s="2">
        <f t="shared" si="18"/>
        <v>1004976.656</v>
      </c>
      <c r="G43" s="2">
        <f t="shared" si="19"/>
        <v>16603.856799999998</v>
      </c>
      <c r="H43" s="2">
        <f t="shared" si="20"/>
        <v>58113.498799999994</v>
      </c>
      <c r="I43" s="2">
        <f t="shared" si="21"/>
        <v>32.522564275548319</v>
      </c>
      <c r="J43" s="2">
        <f t="shared" si="22"/>
        <v>17.293342799040005</v>
      </c>
      <c r="K43">
        <f t="shared" si="23"/>
        <v>133158901023462.98</v>
      </c>
      <c r="L43" s="13">
        <f t="shared" si="14"/>
        <v>70286567.474576011</v>
      </c>
      <c r="M43" s="2">
        <f t="shared" si="24"/>
        <v>32389433.435593057</v>
      </c>
      <c r="N43" s="2">
        <f t="shared" si="25"/>
        <v>8.6896047136588304E+16</v>
      </c>
      <c r="O43" s="2">
        <f t="shared" si="26"/>
        <v>274789428616970.44</v>
      </c>
      <c r="P43" s="2">
        <f t="shared" si="27"/>
        <v>6.0854283798449972E+22</v>
      </c>
      <c r="Q43" s="2">
        <f t="shared" si="15"/>
        <v>2.8466059827203285E+19</v>
      </c>
    </row>
    <row r="44" spans="1:17" x14ac:dyDescent="0.2">
      <c r="A44">
        <f t="shared" si="16"/>
        <v>1047</v>
      </c>
      <c r="B44">
        <f t="shared" si="0"/>
        <v>1047000</v>
      </c>
      <c r="C44" s="1">
        <f t="shared" si="12"/>
        <v>33894531000</v>
      </c>
      <c r="D44">
        <f t="shared" si="17"/>
        <v>1996.5</v>
      </c>
      <c r="E44" s="2">
        <f t="shared" si="13"/>
        <v>540000</v>
      </c>
      <c r="F44" s="2">
        <f t="shared" si="18"/>
        <v>1004523.4339999999</v>
      </c>
      <c r="G44" s="2">
        <f t="shared" si="19"/>
        <v>16599.6996</v>
      </c>
      <c r="H44" s="2">
        <f t="shared" si="20"/>
        <v>58098.948599999996</v>
      </c>
      <c r="I44" s="2">
        <f>+E44/G44</f>
        <v>32.530709170182817</v>
      </c>
      <c r="J44" s="2">
        <f t="shared" si="22"/>
        <v>17.289872849781656</v>
      </c>
      <c r="K44">
        <f>+EXP(I44)</f>
        <v>134247895092667.42</v>
      </c>
      <c r="L44" s="13">
        <f t="shared" si="14"/>
        <v>70605330.726712555</v>
      </c>
      <c r="M44" s="2">
        <f t="shared" si="24"/>
        <v>32277238.512983128</v>
      </c>
      <c r="N44" s="2">
        <f t="shared" si="25"/>
        <v>8.7606696437849664E+16</v>
      </c>
      <c r="O44" s="2">
        <f t="shared" si="26"/>
        <v>277036699026563.47</v>
      </c>
      <c r="P44" s="2">
        <f t="shared" si="27"/>
        <v>6.0643488457592081E+22</v>
      </c>
      <c r="Q44" s="2">
        <f t="shared" si="15"/>
        <v>2.8595158944318583E+19</v>
      </c>
    </row>
    <row r="45" spans="1:17" x14ac:dyDescent="0.2">
      <c r="A45">
        <f t="shared" si="16"/>
        <v>1046</v>
      </c>
      <c r="B45">
        <f t="shared" si="0"/>
        <v>1046000</v>
      </c>
      <c r="C45" s="1">
        <f t="shared" si="12"/>
        <v>33862158000</v>
      </c>
      <c r="D45">
        <f t="shared" si="17"/>
        <v>1996</v>
      </c>
      <c r="E45" s="2">
        <f t="shared" si="13"/>
        <v>540000</v>
      </c>
      <c r="F45" s="2">
        <f t="shared" si="18"/>
        <v>1004070.2120000001</v>
      </c>
      <c r="G45" s="2">
        <f t="shared" si="19"/>
        <v>16595.542399999998</v>
      </c>
      <c r="H45" s="2">
        <f t="shared" si="20"/>
        <v>58084.398399999991</v>
      </c>
      <c r="I45" s="2">
        <f t="shared" si="21"/>
        <v>32.538858145425849</v>
      </c>
      <c r="J45" s="2">
        <f t="shared" si="22"/>
        <v>17.28640116207178</v>
      </c>
      <c r="K45">
        <f t="shared" si="23"/>
        <v>135346347417982.16</v>
      </c>
      <c r="L45" s="13">
        <f t="shared" si="14"/>
        <v>70925700.420904666</v>
      </c>
      <c r="M45" s="2">
        <f t="shared" si="24"/>
        <v>32165376.30840195</v>
      </c>
      <c r="N45" s="2">
        <f t="shared" si="25"/>
        <v>8.8323517951876912E+16</v>
      </c>
      <c r="O45" s="2">
        <f t="shared" si="26"/>
        <v>279303487686699.94</v>
      </c>
      <c r="P45" s="2">
        <f t="shared" si="27"/>
        <v>6.0433318237806061E+22</v>
      </c>
      <c r="Q45" s="2">
        <f t="shared" si="15"/>
        <v>2.8724908670466388E+19</v>
      </c>
    </row>
    <row r="46" spans="1:17" x14ac:dyDescent="0.2">
      <c r="A46">
        <f t="shared" si="16"/>
        <v>1045</v>
      </c>
      <c r="B46">
        <f t="shared" si="0"/>
        <v>1045000</v>
      </c>
      <c r="C46" s="1">
        <f t="shared" si="12"/>
        <v>33829785000</v>
      </c>
      <c r="D46">
        <f t="shared" si="17"/>
        <v>1995.5</v>
      </c>
      <c r="E46" s="2">
        <f t="shared" si="13"/>
        <v>540000</v>
      </c>
      <c r="F46" s="2">
        <f t="shared" si="18"/>
        <v>1003616.99</v>
      </c>
      <c r="G46" s="2">
        <f t="shared" si="19"/>
        <v>16591.385199999997</v>
      </c>
      <c r="H46" s="2">
        <f t="shared" si="20"/>
        <v>58069.848199999993</v>
      </c>
      <c r="I46" s="2">
        <f t="shared" si="21"/>
        <v>32.547011204344777</v>
      </c>
      <c r="J46" s="2">
        <f t="shared" si="22"/>
        <v>17.282927734603586</v>
      </c>
      <c r="K46">
        <f t="shared" si="23"/>
        <v>136454344809355.45</v>
      </c>
      <c r="L46" s="13">
        <f t="shared" si="14"/>
        <v>71247685.423605949</v>
      </c>
      <c r="M46" s="2">
        <f t="shared" si="24"/>
        <v>32053846.015131235</v>
      </c>
      <c r="N46" s="2">
        <f t="shared" si="25"/>
        <v>8.904656832859208E+16</v>
      </c>
      <c r="O46" s="2">
        <f t="shared" si="26"/>
        <v>281589973740162.56</v>
      </c>
      <c r="P46" s="2">
        <f t="shared" si="27"/>
        <v>6.0223771623404278E+22</v>
      </c>
      <c r="Q46" s="2">
        <f t="shared" si="15"/>
        <v>2.8855312596560409E+19</v>
      </c>
    </row>
    <row r="47" spans="1:17" x14ac:dyDescent="0.2">
      <c r="A47">
        <f t="shared" si="16"/>
        <v>1044</v>
      </c>
      <c r="B47">
        <f t="shared" si="0"/>
        <v>1044000</v>
      </c>
      <c r="C47" s="1">
        <f t="shared" si="12"/>
        <v>33797412000</v>
      </c>
      <c r="D47">
        <f t="shared" si="17"/>
        <v>1995</v>
      </c>
      <c r="E47" s="2">
        <f t="shared" si="13"/>
        <v>540000</v>
      </c>
      <c r="F47" s="2">
        <f t="shared" si="18"/>
        <v>1003163.7679999999</v>
      </c>
      <c r="G47" s="2">
        <f t="shared" si="19"/>
        <v>16587.227999999999</v>
      </c>
      <c r="H47" s="2">
        <f t="shared" si="20"/>
        <v>58055.297999999995</v>
      </c>
      <c r="I47" s="2">
        <f t="shared" si="21"/>
        <v>32.555168350010021</v>
      </c>
      <c r="J47" s="2">
        <f t="shared" si="22"/>
        <v>17.279452566068993</v>
      </c>
      <c r="K47">
        <f t="shared" si="23"/>
        <v>137571974915246.31</v>
      </c>
      <c r="L47" s="13">
        <f t="shared" si="14"/>
        <v>71571294.654299095</v>
      </c>
      <c r="M47" s="2">
        <f t="shared" si="24"/>
        <v>31942646.827915829</v>
      </c>
      <c r="N47" s="2">
        <f t="shared" si="25"/>
        <v>8.9775904765107504E+16</v>
      </c>
      <c r="O47" s="2">
        <f t="shared" si="26"/>
        <v>283896338060102.12</v>
      </c>
      <c r="P47" s="2">
        <f t="shared" si="27"/>
        <v>6.001484710144808E+22</v>
      </c>
      <c r="Q47" s="2">
        <f t="shared" si="15"/>
        <v>2.8986374334991135E+19</v>
      </c>
    </row>
    <row r="48" spans="1:17" x14ac:dyDescent="0.2">
      <c r="A48">
        <f t="shared" si="16"/>
        <v>1043</v>
      </c>
      <c r="B48">
        <f t="shared" si="0"/>
        <v>1043000</v>
      </c>
      <c r="C48" s="1">
        <f t="shared" si="12"/>
        <v>33765039000</v>
      </c>
      <c r="D48">
        <f t="shared" si="17"/>
        <v>1994.5</v>
      </c>
      <c r="E48" s="2">
        <f t="shared" si="13"/>
        <v>540000</v>
      </c>
      <c r="F48" s="2">
        <f t="shared" si="18"/>
        <v>1002710.546</v>
      </c>
      <c r="G48" s="2">
        <f t="shared" si="19"/>
        <v>16583.070799999998</v>
      </c>
      <c r="H48" s="2">
        <f t="shared" si="20"/>
        <v>58040.747799999997</v>
      </c>
      <c r="I48" s="2">
        <f t="shared" si="21"/>
        <v>32.563329585495111</v>
      </c>
      <c r="J48" s="2">
        <f t="shared" si="22"/>
        <v>17.2759756551586</v>
      </c>
      <c r="K48">
        <f t="shared" si="23"/>
        <v>138699326231125.83</v>
      </c>
      <c r="L48" s="13">
        <f t="shared" si="14"/>
        <v>71896537.085835591</v>
      </c>
      <c r="M48" s="2">
        <f t="shared" si="24"/>
        <v>31831777.942961171</v>
      </c>
      <c r="N48" s="2">
        <f t="shared" si="25"/>
        <v>9.0511585011273696E+16</v>
      </c>
      <c r="O48" s="2">
        <f t="shared" si="26"/>
        <v>286222763267580.62</v>
      </c>
      <c r="P48" s="2">
        <f t="shared" si="27"/>
        <v>5.9806543161743028E+22</v>
      </c>
      <c r="Q48" s="2">
        <f t="shared" si="15"/>
        <v>2.9118097519763415E+19</v>
      </c>
    </row>
    <row r="49" spans="1:17" x14ac:dyDescent="0.2">
      <c r="A49">
        <f t="shared" si="16"/>
        <v>1042</v>
      </c>
      <c r="B49">
        <f t="shared" si="0"/>
        <v>1042000</v>
      </c>
      <c r="C49" s="1">
        <f t="shared" si="12"/>
        <v>33732666000</v>
      </c>
      <c r="D49">
        <f t="shared" si="17"/>
        <v>1994</v>
      </c>
      <c r="E49" s="2">
        <f t="shared" si="13"/>
        <v>540000</v>
      </c>
      <c r="F49" s="2">
        <f t="shared" si="18"/>
        <v>1002257.324</v>
      </c>
      <c r="G49" s="2">
        <f t="shared" si="19"/>
        <v>16578.9136</v>
      </c>
      <c r="H49" s="2">
        <f t="shared" si="20"/>
        <v>58026.197599999992</v>
      </c>
      <c r="I49" s="2">
        <f t="shared" si="21"/>
        <v>32.571494913876627</v>
      </c>
      <c r="J49" s="2">
        <f t="shared" si="22"/>
        <v>17.272497000561692</v>
      </c>
      <c r="K49">
        <f t="shared" si="23"/>
        <v>139836488108051.92</v>
      </c>
      <c r="L49" s="13">
        <f t="shared" si="14"/>
        <v>72223421.744779274</v>
      </c>
      <c r="M49" s="2">
        <f t="shared" si="24"/>
        <v>31721238.557932165</v>
      </c>
      <c r="N49" s="2">
        <f t="shared" si="25"/>
        <v>9.1253667375274944E+16</v>
      </c>
      <c r="O49" s="2">
        <f t="shared" si="26"/>
        <v>288569433749266.75</v>
      </c>
      <c r="P49" s="2">
        <f t="shared" si="27"/>
        <v>5.9598858296836779E+22</v>
      </c>
      <c r="Q49" s="2">
        <f t="shared" si="15"/>
        <v>2.9250485806635606E+19</v>
      </c>
    </row>
    <row r="50" spans="1:17" x14ac:dyDescent="0.2">
      <c r="A50">
        <f t="shared" si="16"/>
        <v>1041</v>
      </c>
      <c r="B50">
        <f t="shared" si="0"/>
        <v>1041000</v>
      </c>
      <c r="C50" s="1">
        <f t="shared" si="12"/>
        <v>33700293000</v>
      </c>
      <c r="D50">
        <f t="shared" si="17"/>
        <v>1993.5</v>
      </c>
      <c r="E50" s="2">
        <f t="shared" si="13"/>
        <v>540000</v>
      </c>
      <c r="F50" s="2">
        <f t="shared" si="18"/>
        <v>1001804.102</v>
      </c>
      <c r="G50" s="2">
        <f t="shared" si="19"/>
        <v>16574.756399999998</v>
      </c>
      <c r="H50" s="2">
        <f t="shared" si="20"/>
        <v>58011.647399999994</v>
      </c>
      <c r="I50" s="2">
        <f t="shared" si="21"/>
        <v>32.579664338234259</v>
      </c>
      <c r="J50" s="2">
        <f t="shared" si="22"/>
        <v>17.269016600966239</v>
      </c>
      <c r="K50">
        <f t="shared" si="23"/>
        <v>140983550761352.69</v>
      </c>
      <c r="L50" s="13">
        <f t="shared" si="14"/>
        <v>72551957.711752504</v>
      </c>
      <c r="M50" s="2">
        <f t="shared" si="24"/>
        <v>31611027.871951457</v>
      </c>
      <c r="N50" s="2">
        <f t="shared" si="25"/>
        <v>9.2002210729295872E+16</v>
      </c>
      <c r="O50" s="2">
        <f t="shared" si="26"/>
        <v>290936535675354.62</v>
      </c>
      <c r="P50" s="2">
        <f t="shared" si="27"/>
        <v>5.9391791002015817E+22</v>
      </c>
      <c r="Q50" s="2">
        <f t="shared" si="15"/>
        <v>2.9383542873259766E+19</v>
      </c>
    </row>
    <row r="51" spans="1:17" x14ac:dyDescent="0.2">
      <c r="A51">
        <f t="shared" si="16"/>
        <v>1040</v>
      </c>
      <c r="B51">
        <f t="shared" si="0"/>
        <v>1040000</v>
      </c>
      <c r="C51" s="1">
        <f t="shared" si="12"/>
        <v>33667920000</v>
      </c>
      <c r="D51">
        <f t="shared" si="17"/>
        <v>1993</v>
      </c>
      <c r="E51" s="2">
        <f t="shared" si="13"/>
        <v>540000</v>
      </c>
      <c r="F51" s="2">
        <f t="shared" si="18"/>
        <v>1001350.88</v>
      </c>
      <c r="G51" s="2">
        <f t="shared" si="19"/>
        <v>16570.599199999997</v>
      </c>
      <c r="H51" s="2">
        <f t="shared" si="20"/>
        <v>57997.097199999997</v>
      </c>
      <c r="I51" s="2">
        <f t="shared" si="21"/>
        <v>32.587837861650776</v>
      </c>
      <c r="J51" s="2">
        <f t="shared" si="22"/>
        <v>17.265534455058901</v>
      </c>
      <c r="K51">
        <f t="shared" si="23"/>
        <v>142140605279388</v>
      </c>
      <c r="L51" s="13">
        <f t="shared" si="14"/>
        <v>72882154.12178269</v>
      </c>
      <c r="M51" s="2">
        <f t="shared" si="24"/>
        <v>31501145.085598286</v>
      </c>
      <c r="N51" s="2">
        <f t="shared" si="25"/>
        <v>9.2757274515238976E+16</v>
      </c>
      <c r="O51" s="2">
        <f t="shared" si="26"/>
        <v>293324257017644.62</v>
      </c>
      <c r="P51" s="2">
        <f t="shared" si="27"/>
        <v>5.9185339775303337E+22</v>
      </c>
      <c r="Q51" s="2">
        <f t="shared" si="15"/>
        <v>2.9517272419321991E+19</v>
      </c>
    </row>
    <row r="52" spans="1:17" x14ac:dyDescent="0.2">
      <c r="A52">
        <f t="shared" si="16"/>
        <v>1039</v>
      </c>
      <c r="B52">
        <f t="shared" si="0"/>
        <v>1039000</v>
      </c>
      <c r="C52" s="1">
        <f t="shared" si="12"/>
        <v>33635547000</v>
      </c>
      <c r="D52">
        <f t="shared" si="17"/>
        <v>1992.5</v>
      </c>
      <c r="E52" s="2">
        <f t="shared" si="13"/>
        <v>540000</v>
      </c>
      <c r="F52" s="2">
        <f t="shared" si="18"/>
        <v>1000897.6580000001</v>
      </c>
      <c r="G52" s="2">
        <f t="shared" si="19"/>
        <v>16566.441999999999</v>
      </c>
      <c r="H52" s="2">
        <f t="shared" si="20"/>
        <v>57982.546999999991</v>
      </c>
      <c r="I52" s="2">
        <f t="shared" si="21"/>
        <v>32.596015487212043</v>
      </c>
      <c r="J52" s="2">
        <f t="shared" si="22"/>
        <v>17.262050561525008</v>
      </c>
      <c r="K52">
        <f t="shared" si="23"/>
        <v>143307743632411.78</v>
      </c>
      <c r="L52" s="13">
        <f t="shared" si="14"/>
        <v>73214020.16465348</v>
      </c>
      <c r="M52" s="2">
        <f t="shared" si="24"/>
        <v>31391589.400906205</v>
      </c>
      <c r="N52" s="2">
        <f t="shared" si="25"/>
        <v>9.3518918750507968E+16</v>
      </c>
      <c r="O52" s="2">
        <f t="shared" si="26"/>
        <v>295732787567831.75</v>
      </c>
      <c r="P52" s="2">
        <f t="shared" si="27"/>
        <v>5.8979503117454946E+22</v>
      </c>
      <c r="Q52" s="2">
        <f t="shared" si="15"/>
        <v>2.965167816668466E+19</v>
      </c>
    </row>
    <row r="53" spans="1:17" x14ac:dyDescent="0.2">
      <c r="A53">
        <f t="shared" si="16"/>
        <v>1038</v>
      </c>
      <c r="B53">
        <f t="shared" si="0"/>
        <v>1038000</v>
      </c>
      <c r="C53" s="1">
        <f t="shared" si="12"/>
        <v>33603174000</v>
      </c>
      <c r="D53">
        <f t="shared" si="17"/>
        <v>1992</v>
      </c>
      <c r="E53" s="2">
        <f t="shared" si="13"/>
        <v>540000</v>
      </c>
      <c r="F53" s="2">
        <f t="shared" si="18"/>
        <v>1000444.436</v>
      </c>
      <c r="G53" s="2">
        <f t="shared" si="19"/>
        <v>16562.284799999998</v>
      </c>
      <c r="H53" s="2">
        <f t="shared" si="20"/>
        <v>57967.996799999994</v>
      </c>
      <c r="I53" s="2">
        <f t="shared" si="21"/>
        <v>32.60419721800703</v>
      </c>
      <c r="J53" s="2">
        <f t="shared" si="22"/>
        <v>17.258564919048577</v>
      </c>
      <c r="K53">
        <f t="shared" si="23"/>
        <v>144485058681526.69</v>
      </c>
      <c r="L53" s="13">
        <f t="shared" si="14"/>
        <v>73547565.085258335</v>
      </c>
      <c r="M53" s="2">
        <f t="shared" si="24"/>
        <v>31282360.021362264</v>
      </c>
      <c r="N53" s="2">
        <f t="shared" si="25"/>
        <v>9.4287204033851344E+16</v>
      </c>
      <c r="O53" s="2">
        <f t="shared" si="26"/>
        <v>298162318955984.62</v>
      </c>
      <c r="P53" s="2">
        <f t="shared" si="27"/>
        <v>5.8774279531957118E+22</v>
      </c>
      <c r="Q53" s="2">
        <f t="shared" si="15"/>
        <v>2.9786763859529626E+19</v>
      </c>
    </row>
    <row r="54" spans="1:17" x14ac:dyDescent="0.2">
      <c r="A54">
        <f t="shared" si="16"/>
        <v>1037</v>
      </c>
      <c r="B54">
        <f t="shared" si="0"/>
        <v>1037000</v>
      </c>
      <c r="C54" s="1">
        <f t="shared" si="12"/>
        <v>33570801000</v>
      </c>
      <c r="D54">
        <f t="shared" si="17"/>
        <v>1991.5</v>
      </c>
      <c r="E54" s="2">
        <f t="shared" si="13"/>
        <v>540000</v>
      </c>
      <c r="F54" s="2">
        <f t="shared" si="18"/>
        <v>999991.21399999992</v>
      </c>
      <c r="G54" s="2">
        <f t="shared" si="19"/>
        <v>16558.1276</v>
      </c>
      <c r="H54" s="2">
        <f t="shared" si="20"/>
        <v>57953.446599999996</v>
      </c>
      <c r="I54" s="2">
        <f t="shared" si="21"/>
        <v>32.612383057127786</v>
      </c>
      <c r="J54" s="2">
        <f t="shared" si="22"/>
        <v>17.255077526312299</v>
      </c>
      <c r="K54">
        <f t="shared" si="23"/>
        <v>145672644187728.31</v>
      </c>
      <c r="L54" s="13">
        <f t="shared" si="14"/>
        <v>73882798.18395403</v>
      </c>
      <c r="M54" s="2">
        <f t="shared" si="24"/>
        <v>31173456.15190497</v>
      </c>
      <c r="N54" s="2">
        <f t="shared" si="25"/>
        <v>9.50621915512644E+16</v>
      </c>
      <c r="O54" s="2">
        <f t="shared" si="26"/>
        <v>300613044669209.31</v>
      </c>
      <c r="P54" s="2">
        <f t="shared" si="27"/>
        <v>5.8569667525023384E+22</v>
      </c>
      <c r="Q54" s="2">
        <f t="shared" si="15"/>
        <v>2.9922533264501383E+19</v>
      </c>
    </row>
    <row r="55" spans="1:17" x14ac:dyDescent="0.2">
      <c r="A55">
        <f t="shared" si="16"/>
        <v>1036</v>
      </c>
      <c r="B55">
        <f t="shared" si="0"/>
        <v>1036000</v>
      </c>
      <c r="C55" s="1">
        <f t="shared" si="12"/>
        <v>33538428000</v>
      </c>
      <c r="D55">
        <f t="shared" si="17"/>
        <v>1991</v>
      </c>
      <c r="E55" s="2">
        <f t="shared" si="13"/>
        <v>540000</v>
      </c>
      <c r="F55" s="2">
        <f t="shared" si="18"/>
        <v>999537.99199999997</v>
      </c>
      <c r="G55" s="2">
        <f t="shared" si="19"/>
        <v>16553.970399999998</v>
      </c>
      <c r="H55" s="2">
        <f t="shared" si="20"/>
        <v>57938.896399999991</v>
      </c>
      <c r="I55" s="2">
        <f t="shared" si="21"/>
        <v>32.620573007669513</v>
      </c>
      <c r="J55" s="2">
        <f t="shared" si="22"/>
        <v>17.251588381997557</v>
      </c>
      <c r="K55">
        <f t="shared" si="23"/>
        <v>146870594821061.25</v>
      </c>
      <c r="L55" s="13">
        <f t="shared" si="14"/>
        <v>74219728.816919148</v>
      </c>
      <c r="M55" s="2">
        <f t="shared" si="24"/>
        <v>31064876.998923555</v>
      </c>
      <c r="N55" s="2">
        <f t="shared" si="25"/>
        <v>9.5843943081964272E+16</v>
      </c>
      <c r="O55" s="2">
        <f t="shared" si="26"/>
        <v>303085160070543.94</v>
      </c>
      <c r="P55" s="2">
        <f t="shared" si="27"/>
        <v>5.8365665605592914E+22</v>
      </c>
      <c r="Q55" s="2">
        <f t="shared" si="15"/>
        <v>3.0058990170852254E+19</v>
      </c>
    </row>
    <row r="56" spans="1:17" x14ac:dyDescent="0.2">
      <c r="A56">
        <f t="shared" si="16"/>
        <v>1035</v>
      </c>
      <c r="B56">
        <f t="shared" si="0"/>
        <v>1035000</v>
      </c>
      <c r="C56" s="1">
        <f t="shared" si="12"/>
        <v>33506055000</v>
      </c>
      <c r="D56">
        <f t="shared" si="17"/>
        <v>1990.5</v>
      </c>
      <c r="E56" s="2">
        <f t="shared" si="13"/>
        <v>540000</v>
      </c>
      <c r="F56" s="2">
        <f t="shared" si="18"/>
        <v>999084.77</v>
      </c>
      <c r="G56" s="2">
        <f t="shared" si="19"/>
        <v>16549.813199999997</v>
      </c>
      <c r="H56" s="2">
        <f t="shared" si="20"/>
        <v>57924.346199999993</v>
      </c>
      <c r="I56" s="2">
        <f t="shared" si="21"/>
        <v>32.628767072730469</v>
      </c>
      <c r="J56" s="2">
        <f t="shared" si="22"/>
        <v>17.248097484784388</v>
      </c>
      <c r="K56">
        <f t="shared" si="23"/>
        <v>148079006169846.38</v>
      </c>
      <c r="L56" s="13">
        <f t="shared" si="14"/>
        <v>74558366.396514729</v>
      </c>
      <c r="M56" s="2">
        <f t="shared" si="24"/>
        <v>30956621.770255055</v>
      </c>
      <c r="N56" s="2">
        <f t="shared" si="25"/>
        <v>9.6632521004411376E+16</v>
      </c>
      <c r="O56" s="2">
        <f t="shared" si="26"/>
        <v>305578862418000.38</v>
      </c>
      <c r="P56" s="2">
        <f t="shared" si="27"/>
        <v>5.8162272285325089E+22</v>
      </c>
      <c r="Q56" s="2">
        <f t="shared" si="15"/>
        <v>3.0196138390588465E+19</v>
      </c>
    </row>
    <row r="57" spans="1:17" x14ac:dyDescent="0.2">
      <c r="A57">
        <f t="shared" si="16"/>
        <v>1034</v>
      </c>
      <c r="B57">
        <f t="shared" si="0"/>
        <v>1034000</v>
      </c>
      <c r="C57" s="1">
        <f t="shared" si="12"/>
        <v>33473682000</v>
      </c>
      <c r="D57">
        <f t="shared" si="17"/>
        <v>1990</v>
      </c>
      <c r="E57" s="2">
        <f t="shared" si="13"/>
        <v>540000</v>
      </c>
      <c r="F57" s="2">
        <f t="shared" si="18"/>
        <v>998631.54799999995</v>
      </c>
      <c r="G57" s="2">
        <f t="shared" si="19"/>
        <v>16545.655999999999</v>
      </c>
      <c r="H57" s="2">
        <f t="shared" si="20"/>
        <v>57909.795999999995</v>
      </c>
      <c r="I57" s="2">
        <f t="shared" si="21"/>
        <v>32.636965255412058</v>
      </c>
      <c r="J57" s="2">
        <f t="shared" si="22"/>
        <v>17.244604833351513</v>
      </c>
      <c r="K57">
        <f t="shared" si="23"/>
        <v>149297974750034.22</v>
      </c>
      <c r="L57" s="13">
        <f t="shared" si="14"/>
        <v>74898720.39164485</v>
      </c>
      <c r="M57" s="2">
        <f t="shared" si="24"/>
        <v>30848689.675183922</v>
      </c>
      <c r="N57" s="2">
        <f t="shared" si="25"/>
        <v>9.7427988302413168E+16</v>
      </c>
      <c r="O57" s="2">
        <f t="shared" si="26"/>
        <v>308094350883865.94</v>
      </c>
      <c r="P57" s="2">
        <f t="shared" si="27"/>
        <v>5.7959486078598722E+22</v>
      </c>
      <c r="Q57" s="2">
        <f t="shared" si="15"/>
        <v>3.0333981758616166E+19</v>
      </c>
    </row>
    <row r="58" spans="1:17" x14ac:dyDescent="0.2">
      <c r="A58">
        <f t="shared" si="16"/>
        <v>1033</v>
      </c>
      <c r="B58">
        <f t="shared" si="0"/>
        <v>1033000</v>
      </c>
      <c r="C58" s="1">
        <f t="shared" si="12"/>
        <v>33441309000</v>
      </c>
      <c r="D58">
        <f t="shared" si="17"/>
        <v>1989.5</v>
      </c>
      <c r="E58" s="2">
        <f t="shared" si="13"/>
        <v>540000</v>
      </c>
      <c r="F58" s="2">
        <f t="shared" si="18"/>
        <v>998178.326</v>
      </c>
      <c r="G58" s="2">
        <f t="shared" si="19"/>
        <v>16541.498799999998</v>
      </c>
      <c r="H58" s="2">
        <f t="shared" si="20"/>
        <v>57895.245799999997</v>
      </c>
      <c r="I58" s="2">
        <f t="shared" si="21"/>
        <v>32.645167558818798</v>
      </c>
      <c r="J58" s="2">
        <f t="shared" si="22"/>
        <v>17.241110426376324</v>
      </c>
      <c r="K58">
        <f t="shared" si="23"/>
        <v>150527598014639.34</v>
      </c>
      <c r="L58" s="13">
        <f t="shared" si="14"/>
        <v>75240800.328124166</v>
      </c>
      <c r="M58" s="2">
        <f t="shared" si="24"/>
        <v>30741079.924440097</v>
      </c>
      <c r="N58" s="2">
        <f t="shared" si="25"/>
        <v>9.8230408571280848E+16</v>
      </c>
      <c r="O58" s="2">
        <f t="shared" si="26"/>
        <v>310631826574172.5</v>
      </c>
      <c r="P58" s="2">
        <f t="shared" si="27"/>
        <v>5.7757305502508467E+22</v>
      </c>
      <c r="Q58" s="2">
        <f t="shared" si="15"/>
        <v>3.0472524132890288E+19</v>
      </c>
    </row>
    <row r="59" spans="1:17" x14ac:dyDescent="0.2">
      <c r="A59">
        <f t="shared" si="16"/>
        <v>1032</v>
      </c>
      <c r="B59">
        <f t="shared" si="0"/>
        <v>1032000</v>
      </c>
      <c r="C59" s="1">
        <f t="shared" si="12"/>
        <v>33408936000</v>
      </c>
      <c r="D59">
        <f t="shared" si="17"/>
        <v>1989</v>
      </c>
      <c r="E59" s="2">
        <f t="shared" si="13"/>
        <v>540000</v>
      </c>
      <c r="F59" s="2">
        <f t="shared" si="18"/>
        <v>997725.10400000005</v>
      </c>
      <c r="G59" s="2">
        <f t="shared" si="19"/>
        <v>16537.3416</v>
      </c>
      <c r="H59" s="2">
        <f t="shared" si="20"/>
        <v>57880.695599999992</v>
      </c>
      <c r="I59" s="2">
        <f t="shared" si="21"/>
        <v>32.653373986058313</v>
      </c>
      <c r="J59" s="2">
        <f t="shared" si="22"/>
        <v>17.237614262534887</v>
      </c>
      <c r="K59">
        <f t="shared" si="23"/>
        <v>151767974363278.78</v>
      </c>
      <c r="L59" s="13">
        <f t="shared" si="14"/>
        <v>75584615.789043665</v>
      </c>
      <c r="M59" s="2">
        <f t="shared" si="24"/>
        <v>30633791.730197608</v>
      </c>
      <c r="N59" s="2">
        <f t="shared" si="25"/>
        <v>9.903984602405384E+16</v>
      </c>
      <c r="O59" s="2">
        <f t="shared" si="26"/>
        <v>313191492548380.12</v>
      </c>
      <c r="P59" s="2">
        <f t="shared" si="27"/>
        <v>5.755572907686217E+22</v>
      </c>
      <c r="Q59" s="2">
        <f t="shared" si="15"/>
        <v>3.0611769394562683E+19</v>
      </c>
    </row>
    <row r="60" spans="1:17" x14ac:dyDescent="0.2">
      <c r="A60">
        <f t="shared" si="16"/>
        <v>1031</v>
      </c>
      <c r="B60">
        <f t="shared" si="0"/>
        <v>1031000</v>
      </c>
      <c r="C60" s="1">
        <f t="shared" si="12"/>
        <v>33376563000</v>
      </c>
      <c r="D60">
        <f t="shared" si="17"/>
        <v>1988.5</v>
      </c>
      <c r="E60" s="2">
        <f t="shared" si="13"/>
        <v>540000</v>
      </c>
      <c r="F60" s="2">
        <f t="shared" si="18"/>
        <v>997271.88199999998</v>
      </c>
      <c r="G60" s="2">
        <f t="shared" si="19"/>
        <v>16533.184399999998</v>
      </c>
      <c r="H60" s="2">
        <f t="shared" si="20"/>
        <v>57866.145399999994</v>
      </c>
      <c r="I60" s="2">
        <f t="shared" si="21"/>
        <v>32.661584540241385</v>
      </c>
      <c r="J60" s="2">
        <f t="shared" si="22"/>
        <v>17.23411634050192</v>
      </c>
      <c r="K60">
        <f t="shared" si="23"/>
        <v>153019203151822.06</v>
      </c>
      <c r="L60" s="13">
        <f t="shared" si="14"/>
        <v>75930176.415141746</v>
      </c>
      <c r="M60" s="2">
        <f t="shared" si="24"/>
        <v>30526824.306072332</v>
      </c>
      <c r="N60" s="2">
        <f t="shared" si="25"/>
        <v>9.9856365497797136E+16</v>
      </c>
      <c r="O60" s="2">
        <f t="shared" si="26"/>
        <v>315773553839290.94</v>
      </c>
      <c r="P60" s="2">
        <f t="shared" si="27"/>
        <v>5.7354755324176652E+22</v>
      </c>
      <c r="Q60" s="2">
        <f t="shared" si="15"/>
        <v>3.0751721448132407E+19</v>
      </c>
    </row>
    <row r="61" spans="1:17" x14ac:dyDescent="0.2">
      <c r="A61">
        <f t="shared" si="16"/>
        <v>1030</v>
      </c>
      <c r="B61">
        <f t="shared" si="0"/>
        <v>1030000</v>
      </c>
      <c r="C61" s="1">
        <f t="shared" si="12"/>
        <v>33344190000</v>
      </c>
      <c r="D61">
        <f t="shared" si="17"/>
        <v>1988</v>
      </c>
      <c r="E61" s="2">
        <f t="shared" si="13"/>
        <v>540000</v>
      </c>
      <c r="F61" s="2">
        <f t="shared" si="18"/>
        <v>996818.65999999992</v>
      </c>
      <c r="G61" s="2">
        <f t="shared" si="19"/>
        <v>16529.027199999997</v>
      </c>
      <c r="H61" s="2">
        <f t="shared" si="20"/>
        <v>57851.595199999996</v>
      </c>
      <c r="I61" s="2">
        <f t="shared" si="21"/>
        <v>32.669799224481892</v>
      </c>
      <c r="J61" s="2">
        <f t="shared" si="22"/>
        <v>17.230616658950833</v>
      </c>
      <c r="K61">
        <f t="shared" si="23"/>
        <v>154281384702124.5</v>
      </c>
      <c r="L61" s="13">
        <f t="shared" si="14"/>
        <v>76277491.905176073</v>
      </c>
      <c r="M61" s="2">
        <f t="shared" si="24"/>
        <v>30420176.867121801</v>
      </c>
      <c r="N61" s="2">
        <f t="shared" si="25"/>
        <v>1.0068003245995302E+17</v>
      </c>
      <c r="O61" s="2">
        <f t="shared" si="26"/>
        <v>318378217473135.31</v>
      </c>
      <c r="P61" s="2">
        <f t="shared" si="27"/>
        <v>5.7154382769677392E+22</v>
      </c>
      <c r="Q61" s="2">
        <f t="shared" si="15"/>
        <v>3.0892384221596312E+19</v>
      </c>
    </row>
    <row r="62" spans="1:17" x14ac:dyDescent="0.2">
      <c r="A62">
        <f t="shared" si="16"/>
        <v>1029</v>
      </c>
      <c r="B62">
        <f t="shared" si="0"/>
        <v>1029000</v>
      </c>
      <c r="C62" s="1">
        <f t="shared" si="12"/>
        <v>33311817000</v>
      </c>
      <c r="D62">
        <f t="shared" si="17"/>
        <v>1987.5</v>
      </c>
      <c r="E62" s="2">
        <f t="shared" si="13"/>
        <v>540000</v>
      </c>
      <c r="F62" s="2">
        <f t="shared" si="18"/>
        <v>996365.43799999997</v>
      </c>
      <c r="G62" s="2">
        <f t="shared" si="19"/>
        <v>16524.87</v>
      </c>
      <c r="H62" s="2">
        <f t="shared" si="20"/>
        <v>57837.044999999991</v>
      </c>
      <c r="I62" s="2">
        <f t="shared" si="21"/>
        <v>32.678018041896856</v>
      </c>
      <c r="J62" s="2">
        <f t="shared" si="22"/>
        <v>17.227115216553685</v>
      </c>
      <c r="K62">
        <f t="shared" si="23"/>
        <v>155554620311883.44</v>
      </c>
      <c r="L62" s="13">
        <f t="shared" si="14"/>
        <v>76626572.016299292</v>
      </c>
      <c r="M62" s="2">
        <f t="shared" si="24"/>
        <v>30313848.629842393</v>
      </c>
      <c r="N62" s="2">
        <f t="shared" si="25"/>
        <v>1.0151091301477301E+17</v>
      </c>
      <c r="O62" s="2">
        <f t="shared" si="26"/>
        <v>321005692489910.81</v>
      </c>
      <c r="P62" s="2">
        <f t="shared" si="27"/>
        <v>5.6954609941293197E+22</v>
      </c>
      <c r="Q62" s="2">
        <f t="shared" si="15"/>
        <v>3.1033761666601214E+19</v>
      </c>
    </row>
    <row r="63" spans="1:17" x14ac:dyDescent="0.2">
      <c r="A63">
        <f t="shared" si="16"/>
        <v>1028</v>
      </c>
      <c r="B63">
        <f t="shared" si="0"/>
        <v>1028000</v>
      </c>
      <c r="C63" s="1">
        <f t="shared" si="12"/>
        <v>33279444000</v>
      </c>
      <c r="D63">
        <f t="shared" si="17"/>
        <v>1987</v>
      </c>
      <c r="E63" s="2">
        <f t="shared" si="13"/>
        <v>540000</v>
      </c>
      <c r="F63" s="2">
        <f t="shared" si="18"/>
        <v>995912.21600000001</v>
      </c>
      <c r="G63" s="2">
        <f t="shared" si="19"/>
        <v>16520.712799999998</v>
      </c>
      <c r="H63" s="2">
        <f t="shared" si="20"/>
        <v>57822.494799999993</v>
      </c>
      <c r="I63" s="2">
        <f t="shared" si="21"/>
        <v>32.68624099560644</v>
      </c>
      <c r="J63" s="2">
        <f t="shared" si="22"/>
        <v>17.223612011981196</v>
      </c>
      <c r="K63">
        <f t="shared" si="23"/>
        <v>156839012264590.06</v>
      </c>
      <c r="L63" s="13">
        <f t="shared" si="14"/>
        <v>76977426.56443736</v>
      </c>
      <c r="M63" s="2">
        <f t="shared" si="24"/>
        <v>30207838.812168185</v>
      </c>
      <c r="N63" s="2">
        <f t="shared" si="25"/>
        <v>1.0234907390981213E+17</v>
      </c>
      <c r="O63" s="2">
        <f t="shared" si="26"/>
        <v>323656189963919.75</v>
      </c>
      <c r="P63" s="2">
        <f t="shared" si="27"/>
        <v>5.6755435369654074E+22</v>
      </c>
      <c r="Q63" s="2">
        <f t="shared" si="15"/>
        <v>3.1175857758597132E+19</v>
      </c>
    </row>
    <row r="64" spans="1:17" x14ac:dyDescent="0.2">
      <c r="A64">
        <f t="shared" si="16"/>
        <v>1027</v>
      </c>
      <c r="B64">
        <f t="shared" si="0"/>
        <v>1027000</v>
      </c>
      <c r="C64" s="1">
        <f t="shared" si="12"/>
        <v>33247071000</v>
      </c>
      <c r="D64">
        <f t="shared" si="17"/>
        <v>1986.5</v>
      </c>
      <c r="E64" s="2">
        <f t="shared" si="13"/>
        <v>540000</v>
      </c>
      <c r="F64" s="2">
        <f t="shared" si="18"/>
        <v>995458.99399999995</v>
      </c>
      <c r="G64" s="2">
        <f t="shared" si="19"/>
        <v>16516.5556</v>
      </c>
      <c r="H64" s="2">
        <f t="shared" si="20"/>
        <v>57807.944599999995</v>
      </c>
      <c r="I64" s="2">
        <f t="shared" si="21"/>
        <v>32.694468088733949</v>
      </c>
      <c r="J64" s="2">
        <f t="shared" si="22"/>
        <v>17.22010704390275</v>
      </c>
      <c r="K64">
        <f t="shared" si="23"/>
        <v>158134663839588.44</v>
      </c>
      <c r="L64" s="13">
        <f t="shared" si="14"/>
        <v>77330065.424668536</v>
      </c>
      <c r="M64" s="2">
        <f t="shared" si="24"/>
        <v>30102146.633469548</v>
      </c>
      <c r="N64" s="2">
        <f t="shared" si="25"/>
        <v>1.0319458254249314E+17</v>
      </c>
      <c r="O64" s="2">
        <f t="shared" si="26"/>
        <v>326329923024526.38</v>
      </c>
      <c r="P64" s="2">
        <f t="shared" si="27"/>
        <v>5.6556857588088578E+22</v>
      </c>
      <c r="Q64" s="2">
        <f t="shared" si="15"/>
        <v>3.1318676496990757E+19</v>
      </c>
    </row>
    <row r="65" spans="1:17" x14ac:dyDescent="0.2">
      <c r="A65">
        <f t="shared" si="16"/>
        <v>1026</v>
      </c>
      <c r="B65">
        <f t="shared" si="0"/>
        <v>1026000</v>
      </c>
      <c r="C65" s="1">
        <f t="shared" si="12"/>
        <v>33214698000</v>
      </c>
      <c r="D65">
        <f t="shared" si="17"/>
        <v>1986</v>
      </c>
      <c r="E65" s="2">
        <f t="shared" si="13"/>
        <v>540000</v>
      </c>
      <c r="F65" s="2">
        <f t="shared" si="18"/>
        <v>995005.772</v>
      </c>
      <c r="G65" s="2">
        <f t="shared" si="19"/>
        <v>16512.398399999998</v>
      </c>
      <c r="H65" s="2">
        <f t="shared" si="20"/>
        <v>57793.394399999997</v>
      </c>
      <c r="I65" s="2">
        <f t="shared" si="21"/>
        <v>32.702699324405842</v>
      </c>
      <c r="J65" s="2">
        <f t="shared" si="22"/>
        <v>17.216600310986408</v>
      </c>
      <c r="K65">
        <f t="shared" si="23"/>
        <v>159441679322243.72</v>
      </c>
      <c r="L65" s="13">
        <f t="shared" si="14"/>
        <v>77684498.531607896</v>
      </c>
      <c r="M65" s="2">
        <f t="shared" si="24"/>
        <v>29996771.314551979</v>
      </c>
      <c r="N65" s="2">
        <f t="shared" si="25"/>
        <v>1.0404750696674211E+17</v>
      </c>
      <c r="O65" s="2">
        <f t="shared" si="26"/>
        <v>329027106877140.88</v>
      </c>
      <c r="P65" s="2">
        <f t="shared" si="27"/>
        <v>5.6358875132621639E+22</v>
      </c>
      <c r="Q65" s="2">
        <f t="shared" si="15"/>
        <v>3.1462221905301197E+19</v>
      </c>
    </row>
    <row r="66" spans="1:17" x14ac:dyDescent="0.2">
      <c r="A66">
        <f t="shared" si="16"/>
        <v>1025</v>
      </c>
      <c r="B66">
        <f t="shared" si="0"/>
        <v>1025000</v>
      </c>
      <c r="C66" s="1">
        <f t="shared" si="12"/>
        <v>33182325000</v>
      </c>
      <c r="D66">
        <f t="shared" si="17"/>
        <v>1985.5</v>
      </c>
      <c r="E66" s="2">
        <f t="shared" si="13"/>
        <v>540000</v>
      </c>
      <c r="F66" s="2">
        <f t="shared" si="18"/>
        <v>994552.55</v>
      </c>
      <c r="G66" s="2">
        <f t="shared" si="19"/>
        <v>16508.241199999997</v>
      </c>
      <c r="H66" s="2">
        <f t="shared" si="20"/>
        <v>57778.844199999992</v>
      </c>
      <c r="I66" s="2">
        <f t="shared" si="21"/>
        <v>32.710934705751704</v>
      </c>
      <c r="J66" s="2">
        <f t="shared" si="22"/>
        <v>17.213091811898863</v>
      </c>
      <c r="K66">
        <f t="shared" si="23"/>
        <v>160760164014212.59</v>
      </c>
      <c r="L66" s="13">
        <f t="shared" si="14"/>
        <v>78040735.879792511</v>
      </c>
      <c r="M66" s="2">
        <f t="shared" si="24"/>
        <v>29891712.07765343</v>
      </c>
      <c r="N66" s="2">
        <f t="shared" si="25"/>
        <v>1.0490791589969064E+17</v>
      </c>
      <c r="O66" s="2">
        <f t="shared" si="26"/>
        <v>331747958824413.38</v>
      </c>
      <c r="P66" s="2">
        <f t="shared" si="27"/>
        <v>5.6161486541969496E+22</v>
      </c>
      <c r="Q66" s="2">
        <f t="shared" si="15"/>
        <v>3.1606498031315968E+19</v>
      </c>
    </row>
    <row r="67" spans="1:17" x14ac:dyDescent="0.2">
      <c r="A67">
        <f t="shared" si="16"/>
        <v>1024</v>
      </c>
      <c r="B67">
        <f t="shared" si="0"/>
        <v>1024000</v>
      </c>
      <c r="C67" s="1">
        <f t="shared" si="12"/>
        <v>33149952000</v>
      </c>
      <c r="D67">
        <f t="shared" si="17"/>
        <v>1985</v>
      </c>
      <c r="E67" s="2">
        <f t="shared" si="13"/>
        <v>540000</v>
      </c>
      <c r="F67" s="2">
        <f t="shared" si="18"/>
        <v>994099.32799999998</v>
      </c>
      <c r="G67" s="2">
        <f t="shared" si="19"/>
        <v>16504.083999999999</v>
      </c>
      <c r="H67" s="2">
        <f t="shared" si="20"/>
        <v>57764.293999999994</v>
      </c>
      <c r="I67" s="2">
        <f t="shared" si="21"/>
        <v>32.719174235904276</v>
      </c>
      <c r="J67" s="2">
        <f t="shared" si="22"/>
        <v>17.209581545305479</v>
      </c>
      <c r="K67">
        <f t="shared" si="23"/>
        <v>162090224243832.09</v>
      </c>
      <c r="L67" s="13">
        <f t="shared" si="14"/>
        <v>78398787.524068668</v>
      </c>
      <c r="M67" s="2">
        <f t="shared" si="24"/>
        <v>29786968.146443769</v>
      </c>
      <c r="N67" s="2">
        <f t="shared" si="25"/>
        <v>1.057758787284553E+17</v>
      </c>
      <c r="O67" s="2">
        <f t="shared" si="26"/>
        <v>334492698287672.38</v>
      </c>
      <c r="P67" s="2">
        <f t="shared" si="27"/>
        <v>5.5964690357538764E+22</v>
      </c>
      <c r="Q67" s="2">
        <f t="shared" si="15"/>
        <v>3.1751508947247813E+19</v>
      </c>
    </row>
    <row r="68" spans="1:17" x14ac:dyDescent="0.2">
      <c r="A68">
        <f t="shared" si="16"/>
        <v>1023</v>
      </c>
      <c r="B68">
        <f t="shared" si="0"/>
        <v>1023000</v>
      </c>
      <c r="C68" s="1">
        <f t="shared" si="12"/>
        <v>33117579000</v>
      </c>
      <c r="D68">
        <f t="shared" si="17"/>
        <v>1984.5</v>
      </c>
      <c r="E68" s="2">
        <f t="shared" si="13"/>
        <v>540000</v>
      </c>
      <c r="F68" s="2">
        <f t="shared" si="18"/>
        <v>993646.10599999991</v>
      </c>
      <c r="G68" s="2">
        <f t="shared" si="19"/>
        <v>16499.926799999997</v>
      </c>
      <c r="H68" s="2">
        <f t="shared" si="20"/>
        <v>57749.743799999997</v>
      </c>
      <c r="I68" s="2">
        <f t="shared" si="21"/>
        <v>32.727417917999496</v>
      </c>
      <c r="J68" s="2">
        <f t="shared" si="22"/>
        <v>17.206069509870275</v>
      </c>
      <c r="K68">
        <f t="shared" si="23"/>
        <v>163431967376621.88</v>
      </c>
      <c r="L68" s="13">
        <f t="shared" si="14"/>
        <v>78758663.57998538</v>
      </c>
      <c r="M68" s="2">
        <f t="shared" si="24"/>
        <v>29682538.746022962</v>
      </c>
      <c r="N68" s="2">
        <f t="shared" si="25"/>
        <v>1.0665146551699114E+17</v>
      </c>
      <c r="O68" s="2">
        <f t="shared" si="26"/>
        <v>337261546828597.75</v>
      </c>
      <c r="P68" s="2">
        <f t="shared" si="27"/>
        <v>5.5768485123422924E+22</v>
      </c>
      <c r="Q68" s="2">
        <f t="shared" si="15"/>
        <v>3.1897258749894078E+19</v>
      </c>
    </row>
    <row r="69" spans="1:17" x14ac:dyDescent="0.2">
      <c r="A69">
        <f t="shared" si="16"/>
        <v>1022</v>
      </c>
      <c r="B69">
        <f t="shared" si="0"/>
        <v>1022000</v>
      </c>
      <c r="C69" s="1">
        <f t="shared" si="12"/>
        <v>33085206000</v>
      </c>
      <c r="D69">
        <f t="shared" si="17"/>
        <v>1984</v>
      </c>
      <c r="E69" s="2">
        <f t="shared" si="13"/>
        <v>540000</v>
      </c>
      <c r="F69" s="2">
        <f t="shared" si="18"/>
        <v>993192.88399999996</v>
      </c>
      <c r="G69" s="2">
        <f t="shared" si="19"/>
        <v>16495.7696</v>
      </c>
      <c r="H69" s="2">
        <f t="shared" si="20"/>
        <v>57735.193599999991</v>
      </c>
      <c r="I69" s="2">
        <f t="shared" si="21"/>
        <v>32.735665755176406</v>
      </c>
      <c r="J69" s="2">
        <f t="shared" si="22"/>
        <v>17.202555704255925</v>
      </c>
      <c r="K69">
        <f t="shared" si="23"/>
        <v>164785501825876.94</v>
      </c>
      <c r="L69" s="13">
        <f t="shared" si="14"/>
        <v>79120374.224185869</v>
      </c>
      <c r="M69" s="2">
        <f t="shared" si="24"/>
        <v>29578423.102919482</v>
      </c>
      <c r="N69" s="2">
        <f t="shared" si="25"/>
        <v>1.0753474701300422E+17</v>
      </c>
      <c r="O69" s="2">
        <f t="shared" si="26"/>
        <v>340054728171080.06</v>
      </c>
      <c r="P69" s="2">
        <f t="shared" si="27"/>
        <v>5.5572869386399423E+22</v>
      </c>
      <c r="Q69" s="2">
        <f t="shared" si="15"/>
        <v>3.2043751560795275E+19</v>
      </c>
    </row>
    <row r="70" spans="1:17" x14ac:dyDescent="0.2">
      <c r="A70">
        <f t="shared" si="16"/>
        <v>1021</v>
      </c>
      <c r="B70">
        <f t="shared" si="0"/>
        <v>1021000</v>
      </c>
      <c r="C70" s="1">
        <f t="shared" si="12"/>
        <v>33052833000</v>
      </c>
      <c r="D70">
        <f t="shared" si="17"/>
        <v>1983.5</v>
      </c>
      <c r="E70" s="2">
        <f t="shared" si="13"/>
        <v>540000</v>
      </c>
      <c r="F70" s="2">
        <f t="shared" si="18"/>
        <v>992739.66200000001</v>
      </c>
      <c r="G70" s="2">
        <f t="shared" si="19"/>
        <v>16491.612399999998</v>
      </c>
      <c r="H70" s="2">
        <f t="shared" si="20"/>
        <v>57720.643399999994</v>
      </c>
      <c r="I70" s="2">
        <f t="shared" si="21"/>
        <v>32.743917750577261</v>
      </c>
      <c r="J70" s="2">
        <f t="shared" si="22"/>
        <v>17.199040127123741</v>
      </c>
      <c r="K70">
        <f t="shared" si="23"/>
        <v>166150937063405.75</v>
      </c>
      <c r="L70" s="13">
        <f t="shared" si="14"/>
        <v>79483929.694805533</v>
      </c>
      <c r="M70" s="2">
        <f t="shared" si="24"/>
        <v>29474620.445088372</v>
      </c>
      <c r="N70" s="2">
        <f t="shared" si="25"/>
        <v>1.0842579465495912E+17</v>
      </c>
      <c r="O70" s="2">
        <f t="shared" si="26"/>
        <v>342872468223379.75</v>
      </c>
      <c r="P70" s="2">
        <f t="shared" si="27"/>
        <v>5.5377841695925954E+22</v>
      </c>
      <c r="Q70" s="2">
        <f t="shared" si="15"/>
        <v>3.219099152639624E+19</v>
      </c>
    </row>
    <row r="71" spans="1:17" x14ac:dyDescent="0.2">
      <c r="A71">
        <f t="shared" si="16"/>
        <v>1020</v>
      </c>
      <c r="B71">
        <f t="shared" si="0"/>
        <v>1020000</v>
      </c>
      <c r="C71" s="1">
        <f t="shared" si="12"/>
        <v>33020460000</v>
      </c>
      <c r="D71">
        <f t="shared" si="17"/>
        <v>1983</v>
      </c>
      <c r="E71" s="2">
        <f t="shared" si="13"/>
        <v>540000</v>
      </c>
      <c r="F71" s="2">
        <f t="shared" si="18"/>
        <v>992286.44</v>
      </c>
      <c r="G71" s="2">
        <f t="shared" si="19"/>
        <v>16487.455199999997</v>
      </c>
      <c r="H71" s="2">
        <f t="shared" si="20"/>
        <v>57706.093199999996</v>
      </c>
      <c r="I71" s="2">
        <f t="shared" si="21"/>
        <v>32.752173907347455</v>
      </c>
      <c r="J71" s="2">
        <f t="shared" si="22"/>
        <v>17.195522777133696</v>
      </c>
      <c r="K71">
        <f t="shared" si="23"/>
        <v>167528383630354.53</v>
      </c>
      <c r="L71" s="13">
        <f t="shared" si="14"/>
        <v>79849340.291870087</v>
      </c>
      <c r="M71" s="2">
        <f t="shared" si="24"/>
        <v>29371130.001910392</v>
      </c>
      <c r="N71" s="2">
        <f t="shared" si="25"/>
        <v>1.0932468057914246E+17</v>
      </c>
      <c r="O71" s="2">
        <f t="shared" si="26"/>
        <v>345714995100464.5</v>
      </c>
      <c r="P71" s="2">
        <f t="shared" si="27"/>
        <v>5.5183400604138924E+22</v>
      </c>
      <c r="Q71" s="2">
        <f t="shared" si="15"/>
        <v>3.2338982818207384E+19</v>
      </c>
    </row>
    <row r="72" spans="1:17" x14ac:dyDescent="0.2">
      <c r="A72">
        <f t="shared" si="16"/>
        <v>1019</v>
      </c>
      <c r="B72">
        <f t="shared" si="0"/>
        <v>1019000</v>
      </c>
      <c r="C72" s="1">
        <f t="shared" si="12"/>
        <v>32988087000</v>
      </c>
      <c r="D72">
        <f t="shared" si="17"/>
        <v>1982.5</v>
      </c>
      <c r="E72" s="2">
        <f t="shared" si="13"/>
        <v>540000</v>
      </c>
      <c r="F72" s="2">
        <f t="shared" si="18"/>
        <v>991833.21799999999</v>
      </c>
      <c r="G72" s="2">
        <f t="shared" si="19"/>
        <v>16483.297999999999</v>
      </c>
      <c r="H72" s="2">
        <f t="shared" si="20"/>
        <v>57691.542999999991</v>
      </c>
      <c r="I72" s="2">
        <f t="shared" si="21"/>
        <v>32.76043422863556</v>
      </c>
      <c r="J72" s="2">
        <f t="shared" si="22"/>
        <v>17.192003652944422</v>
      </c>
      <c r="K72">
        <f t="shared" si="23"/>
        <v>168917953148164.44</v>
      </c>
      <c r="L72" s="13">
        <f t="shared" si="14"/>
        <v>80216616.377697513</v>
      </c>
      <c r="M72" s="2">
        <f t="shared" si="24"/>
        <v>29267951.004190411</v>
      </c>
      <c r="N72" s="2">
        <f t="shared" si="25"/>
        <v>1.1023147762681334E+17</v>
      </c>
      <c r="O72" s="2">
        <f t="shared" si="26"/>
        <v>348582539146620.75</v>
      </c>
      <c r="P72" s="2">
        <f t="shared" si="27"/>
        <v>5.4989544665850376E+22</v>
      </c>
      <c r="Q72" s="2">
        <f t="shared" si="15"/>
        <v>3.2487729632967492E+19</v>
      </c>
    </row>
    <row r="73" spans="1:17" x14ac:dyDescent="0.2">
      <c r="A73">
        <f t="shared" si="16"/>
        <v>1018</v>
      </c>
      <c r="B73">
        <f t="shared" si="0"/>
        <v>1018000</v>
      </c>
      <c r="C73" s="1">
        <f t="shared" si="12"/>
        <v>32955714000</v>
      </c>
      <c r="D73">
        <f t="shared" si="17"/>
        <v>1982</v>
      </c>
      <c r="E73" s="2">
        <f t="shared" si="13"/>
        <v>540000</v>
      </c>
      <c r="F73" s="2">
        <f t="shared" si="18"/>
        <v>991379.99600000004</v>
      </c>
      <c r="G73" s="2">
        <f t="shared" si="19"/>
        <v>16479.140799999997</v>
      </c>
      <c r="H73" s="2">
        <f t="shared" si="20"/>
        <v>57676.992799999993</v>
      </c>
      <c r="I73" s="2">
        <f t="shared" si="21"/>
        <v>32.768698717593338</v>
      </c>
      <c r="J73" s="2">
        <f t="shared" si="22"/>
        <v>17.188482753213169</v>
      </c>
      <c r="K73">
        <f t="shared" si="23"/>
        <v>170319758329643.12</v>
      </c>
      <c r="L73" s="13">
        <f t="shared" si="14"/>
        <v>80585768.377305374</v>
      </c>
      <c r="M73" s="2">
        <f t="shared" si="24"/>
        <v>29165082.684154868</v>
      </c>
      <c r="N73" s="2">
        <f t="shared" si="25"/>
        <v>1.1114625935142837E+17</v>
      </c>
      <c r="O73" s="2">
        <f t="shared" si="26"/>
        <v>351475332958301.19</v>
      </c>
      <c r="P73" s="2">
        <f t="shared" si="27"/>
        <v>5.4796272438543255E+22</v>
      </c>
      <c r="Q73" s="2">
        <f t="shared" si="15"/>
        <v>3.2637236192808677E+19</v>
      </c>
    </row>
    <row r="74" spans="1:17" x14ac:dyDescent="0.2">
      <c r="A74">
        <f t="shared" si="16"/>
        <v>1017</v>
      </c>
      <c r="B74">
        <f t="shared" si="0"/>
        <v>1017000</v>
      </c>
      <c r="C74" s="1">
        <f t="shared" si="12"/>
        <v>32923341000</v>
      </c>
      <c r="D74">
        <f t="shared" si="17"/>
        <v>1981.5</v>
      </c>
      <c r="E74" s="2">
        <f t="shared" si="13"/>
        <v>540000</v>
      </c>
      <c r="F74" s="2">
        <f t="shared" si="18"/>
        <v>990926.77399999998</v>
      </c>
      <c r="G74" s="2">
        <f t="shared" si="19"/>
        <v>16474.9836</v>
      </c>
      <c r="H74" s="2">
        <f t="shared" si="20"/>
        <v>57662.442599999995</v>
      </c>
      <c r="I74" s="2">
        <f t="shared" si="21"/>
        <v>32.776967377375719</v>
      </c>
      <c r="J74" s="2">
        <f t="shared" si="22"/>
        <v>17.184960076595853</v>
      </c>
      <c r="K74">
        <f t="shared" si="23"/>
        <v>171733912990148.41</v>
      </c>
      <c r="L74" s="13">
        <f t="shared" si="14"/>
        <v>80956806.778814405</v>
      </c>
      <c r="M74" s="2">
        <f t="shared" si="24"/>
        <v>29062524.275451511</v>
      </c>
      <c r="N74" s="2">
        <f t="shared" si="25"/>
        <v>1.1206910002593981E+17</v>
      </c>
      <c r="O74" s="2">
        <f t="shared" si="26"/>
        <v>354393611407203.38</v>
      </c>
      <c r="P74" s="2">
        <f t="shared" si="27"/>
        <v>5.4603582482370913E+22</v>
      </c>
      <c r="Q74" s="2">
        <f t="shared" si="15"/>
        <v>3.2787506745419833E+19</v>
      </c>
    </row>
    <row r="75" spans="1:17" x14ac:dyDescent="0.2">
      <c r="A75">
        <f t="shared" si="16"/>
        <v>1016</v>
      </c>
      <c r="B75">
        <f t="shared" si="0"/>
        <v>1016000</v>
      </c>
      <c r="C75" s="1">
        <f t="shared" si="12"/>
        <v>32890968000</v>
      </c>
      <c r="D75">
        <f t="shared" si="17"/>
        <v>1981</v>
      </c>
      <c r="E75" s="2">
        <f t="shared" si="13"/>
        <v>540000</v>
      </c>
      <c r="F75" s="2">
        <f t="shared" si="18"/>
        <v>990473.55199999991</v>
      </c>
      <c r="G75" s="2">
        <f t="shared" si="19"/>
        <v>16470.826399999998</v>
      </c>
      <c r="H75" s="2">
        <f t="shared" si="20"/>
        <v>57647.892399999997</v>
      </c>
      <c r="I75" s="2">
        <f t="shared" si="21"/>
        <v>32.785240211140838</v>
      </c>
      <c r="J75" s="2">
        <f t="shared" si="22"/>
        <v>17.181435621747031</v>
      </c>
      <c r="K75">
        <f t="shared" si="23"/>
        <v>173160532058901.81</v>
      </c>
      <c r="L75" s="13">
        <f t="shared" si="14"/>
        <v>81329742.133862033</v>
      </c>
      <c r="M75" s="2">
        <f t="shared" si="24"/>
        <v>28960275.01314719</v>
      </c>
      <c r="N75" s="2">
        <f t="shared" si="25"/>
        <v>1.1300007465017846E+17</v>
      </c>
      <c r="O75" s="2">
        <f t="shared" si="26"/>
        <v>357337611663616.94</v>
      </c>
      <c r="P75" s="2">
        <f t="shared" si="27"/>
        <v>5.4411473360152938E+22</v>
      </c>
      <c r="Q75" s="2">
        <f t="shared" si="15"/>
        <v>3.2938545564214125E+19</v>
      </c>
    </row>
    <row r="76" spans="1:17" x14ac:dyDescent="0.2">
      <c r="A76">
        <f t="shared" si="16"/>
        <v>1015</v>
      </c>
      <c r="B76">
        <f t="shared" si="0"/>
        <v>1015000</v>
      </c>
      <c r="C76" s="1">
        <f t="shared" si="12"/>
        <v>32858595000</v>
      </c>
      <c r="D76">
        <f t="shared" si="17"/>
        <v>1980.5</v>
      </c>
      <c r="E76" s="2">
        <f t="shared" si="13"/>
        <v>540000</v>
      </c>
      <c r="F76" s="2">
        <f t="shared" si="18"/>
        <v>990020.33</v>
      </c>
      <c r="G76" s="2">
        <f t="shared" si="19"/>
        <v>16466.669199999997</v>
      </c>
      <c r="H76" s="2">
        <f t="shared" si="20"/>
        <v>57633.342199999992</v>
      </c>
      <c r="I76" s="2">
        <f t="shared" si="21"/>
        <v>32.793517222049992</v>
      </c>
      <c r="J76" s="2">
        <f t="shared" si="22"/>
        <v>17.1779093873199</v>
      </c>
      <c r="K76">
        <f t="shared" si="23"/>
        <v>174599731590409.81</v>
      </c>
      <c r="L76" s="13">
        <f t="shared" si="14"/>
        <v>81704585.05801475</v>
      </c>
      <c r="M76" s="2">
        <f t="shared" si="24"/>
        <v>28858334.13372644</v>
      </c>
      <c r="N76" s="2">
        <f t="shared" si="25"/>
        <v>1.1393925895830699E+17</v>
      </c>
      <c r="O76" s="2">
        <f t="shared" si="26"/>
        <v>360307573219992.44</v>
      </c>
      <c r="P76" s="2">
        <f t="shared" si="27"/>
        <v>5.4219943637372526E+22</v>
      </c>
      <c r="Q76" s="2">
        <f t="shared" si="15"/>
        <v>3.3090356948495974E+19</v>
      </c>
    </row>
    <row r="77" spans="1:17" x14ac:dyDescent="0.2">
      <c r="A77">
        <f t="shared" si="16"/>
        <v>1014</v>
      </c>
      <c r="B77">
        <f t="shared" si="0"/>
        <v>1014000</v>
      </c>
      <c r="C77" s="1">
        <f t="shared" si="12"/>
        <v>32826222000</v>
      </c>
      <c r="D77">
        <f t="shared" si="17"/>
        <v>1980</v>
      </c>
      <c r="E77" s="2">
        <f t="shared" si="13"/>
        <v>540000</v>
      </c>
      <c r="F77" s="2">
        <f t="shared" si="18"/>
        <v>989567.10800000001</v>
      </c>
      <c r="G77" s="2">
        <f t="shared" si="19"/>
        <v>16462.511999999999</v>
      </c>
      <c r="H77" s="2">
        <f t="shared" si="20"/>
        <v>57618.791999999994</v>
      </c>
      <c r="I77" s="2">
        <f t="shared" si="21"/>
        <v>32.801798413267676</v>
      </c>
      <c r="J77" s="2">
        <f t="shared" si="22"/>
        <v>17.174381371966287</v>
      </c>
      <c r="K77">
        <f t="shared" si="23"/>
        <v>176051628776021.03</v>
      </c>
      <c r="L77" s="13">
        <f t="shared" si="14"/>
        <v>82081346.231182814</v>
      </c>
      <c r="M77" s="2">
        <f t="shared" si="24"/>
        <v>28756700.875089582</v>
      </c>
      <c r="N77" s="2">
        <f t="shared" si="25"/>
        <v>1.148867294263617E+17</v>
      </c>
      <c r="O77" s="2">
        <f t="shared" si="26"/>
        <v>363303737914791.12</v>
      </c>
      <c r="P77" s="2">
        <f t="shared" si="27"/>
        <v>5.4028991882172876E+22</v>
      </c>
      <c r="Q77" s="2">
        <f t="shared" si="15"/>
        <v>3.3242945223629038E+19</v>
      </c>
    </row>
    <row r="78" spans="1:17" x14ac:dyDescent="0.2">
      <c r="A78">
        <f t="shared" si="16"/>
        <v>1013</v>
      </c>
      <c r="B78">
        <f t="shared" si="0"/>
        <v>1013000</v>
      </c>
      <c r="C78" s="1">
        <f t="shared" si="12"/>
        <v>32793849000</v>
      </c>
      <c r="D78">
        <f t="shared" si="17"/>
        <v>1979.5</v>
      </c>
      <c r="E78" s="2">
        <f t="shared" si="13"/>
        <v>540000</v>
      </c>
      <c r="F78" s="2">
        <f t="shared" si="18"/>
        <v>989113.88599999994</v>
      </c>
      <c r="G78" s="2">
        <f t="shared" si="19"/>
        <v>16458.354799999997</v>
      </c>
      <c r="H78" s="2">
        <f t="shared" si="20"/>
        <v>57604.241799999996</v>
      </c>
      <c r="I78" s="2">
        <f t="shared" si="21"/>
        <v>32.810083787961609</v>
      </c>
      <c r="J78" s="2">
        <f t="shared" si="22"/>
        <v>17.170851574336666</v>
      </c>
      <c r="K78">
        <f t="shared" si="23"/>
        <v>177516341955606.5</v>
      </c>
      <c r="L78" s="13">
        <f t="shared" si="14"/>
        <v>82460036.398042396</v>
      </c>
      <c r="M78" s="2">
        <f t="shared" si="24"/>
        <v>28655374.476551741</v>
      </c>
      <c r="N78" s="2">
        <f t="shared" si="25"/>
        <v>1.1584256327987491E+17</v>
      </c>
      <c r="O78" s="2">
        <f t="shared" si="26"/>
        <v>366326349956588.62</v>
      </c>
      <c r="P78" s="2">
        <f t="shared" si="27"/>
        <v>5.3838616665355385E+22</v>
      </c>
      <c r="Q78" s="2">
        <f t="shared" si="15"/>
        <v>3.3396314741207171E+19</v>
      </c>
    </row>
    <row r="79" spans="1:17" x14ac:dyDescent="0.2">
      <c r="A79">
        <f t="shared" si="16"/>
        <v>1012</v>
      </c>
      <c r="B79">
        <f t="shared" si="0"/>
        <v>1012000</v>
      </c>
      <c r="C79" s="1">
        <f t="shared" si="12"/>
        <v>32761476000</v>
      </c>
      <c r="D79">
        <f t="shared" si="17"/>
        <v>1979</v>
      </c>
      <c r="E79" s="2">
        <f t="shared" si="13"/>
        <v>540000</v>
      </c>
      <c r="F79" s="2">
        <f t="shared" si="18"/>
        <v>988660.66399999999</v>
      </c>
      <c r="G79" s="2">
        <f t="shared" si="19"/>
        <v>16454.1976</v>
      </c>
      <c r="H79" s="2">
        <f t="shared" si="20"/>
        <v>57589.691599999991</v>
      </c>
      <c r="I79" s="2">
        <f t="shared" si="21"/>
        <v>32.818373349302675</v>
      </c>
      <c r="J79" s="2">
        <f t="shared" si="22"/>
        <v>17.167319993080152</v>
      </c>
      <c r="K79">
        <f t="shared" si="23"/>
        <v>178993990629348.81</v>
      </c>
      <c r="L79" s="13">
        <f t="shared" si="14"/>
        <v>82840666.368454337</v>
      </c>
      <c r="M79" s="2">
        <f t="shared" si="24"/>
        <v>28554354.178841226</v>
      </c>
      <c r="N79" s="2">
        <f t="shared" si="25"/>
        <v>1.1680683850156816E+17</v>
      </c>
      <c r="O79" s="2">
        <f t="shared" si="26"/>
        <v>369375655948403.06</v>
      </c>
      <c r="P79" s="2">
        <f t="shared" si="27"/>
        <v>5.3648816560376581E+22</v>
      </c>
      <c r="Q79" s="2">
        <f t="shared" si="15"/>
        <v>3.3550469879224005E+19</v>
      </c>
    </row>
    <row r="80" spans="1:17" x14ac:dyDescent="0.2">
      <c r="A80">
        <f t="shared" si="16"/>
        <v>1011</v>
      </c>
      <c r="B80">
        <f t="shared" si="0"/>
        <v>1011000</v>
      </c>
      <c r="C80" s="1">
        <f t="shared" si="12"/>
        <v>32729103000</v>
      </c>
      <c r="D80">
        <f t="shared" si="17"/>
        <v>1978.5</v>
      </c>
      <c r="E80" s="2">
        <f t="shared" si="13"/>
        <v>540000</v>
      </c>
      <c r="F80" s="2">
        <f t="shared" si="18"/>
        <v>988207.44200000004</v>
      </c>
      <c r="G80" s="2">
        <f t="shared" si="19"/>
        <v>16450.040399999998</v>
      </c>
      <c r="H80" s="2">
        <f t="shared" si="20"/>
        <v>57575.141399999993</v>
      </c>
      <c r="I80" s="2">
        <f t="shared" si="21"/>
        <v>32.826667100464995</v>
      </c>
      <c r="J80" s="2">
        <f t="shared" si="22"/>
        <v>17.163786626844484</v>
      </c>
      <c r="K80">
        <f t="shared" si="23"/>
        <v>180484695469683.28</v>
      </c>
      <c r="L80" s="13">
        <f t="shared" si="14"/>
        <v>83223247.017891273</v>
      </c>
      <c r="M80" s="2">
        <f t="shared" si="24"/>
        <v>28453639.224097434</v>
      </c>
      <c r="N80" s="2">
        <f t="shared" si="25"/>
        <v>1.1777963383914474E+17</v>
      </c>
      <c r="O80" s="2">
        <f t="shared" si="26"/>
        <v>372451904912337.38</v>
      </c>
      <c r="P80" s="2">
        <f t="shared" si="27"/>
        <v>5.3459590143344183E+22</v>
      </c>
      <c r="Q80" s="2">
        <f t="shared" si="15"/>
        <v>3.3705415042245964E+19</v>
      </c>
    </row>
    <row r="81" spans="1:17" x14ac:dyDescent="0.2">
      <c r="A81">
        <f t="shared" si="16"/>
        <v>1010</v>
      </c>
      <c r="B81">
        <f t="shared" si="0"/>
        <v>1010000</v>
      </c>
      <c r="C81" s="1">
        <f t="shared" si="12"/>
        <v>32696730000</v>
      </c>
      <c r="D81">
        <f t="shared" si="17"/>
        <v>1978</v>
      </c>
      <c r="E81" s="2">
        <f t="shared" si="13"/>
        <v>540000</v>
      </c>
      <c r="F81" s="2">
        <f t="shared" si="18"/>
        <v>987754.22</v>
      </c>
      <c r="G81" s="2">
        <f t="shared" si="19"/>
        <v>16445.883199999997</v>
      </c>
      <c r="H81" s="2">
        <f t="shared" si="20"/>
        <v>57560.591199999995</v>
      </c>
      <c r="I81" s="2">
        <f t="shared" si="21"/>
        <v>32.834965044625889</v>
      </c>
      <c r="J81" s="2">
        <f t="shared" si="22"/>
        <v>17.160251474276034</v>
      </c>
      <c r="K81">
        <f t="shared" si="23"/>
        <v>181988578333345.69</v>
      </c>
      <c r="L81" s="13">
        <f t="shared" si="14"/>
        <v>83607789.287864372</v>
      </c>
      <c r="M81" s="2">
        <f t="shared" si="24"/>
        <v>28353228.855869744</v>
      </c>
      <c r="N81" s="2">
        <f t="shared" si="25"/>
        <v>1.1876102881315168E+17</v>
      </c>
      <c r="O81" s="2">
        <f t="shared" si="26"/>
        <v>375555348314441.06</v>
      </c>
      <c r="P81" s="2">
        <f t="shared" si="27"/>
        <v>5.3270935993015018E+22</v>
      </c>
      <c r="Q81" s="2">
        <f t="shared" si="15"/>
        <v>3.3861154661585072E+19</v>
      </c>
    </row>
    <row r="82" spans="1:17" x14ac:dyDescent="0.2">
      <c r="A82">
        <f t="shared" si="16"/>
        <v>1009</v>
      </c>
      <c r="B82">
        <f t="shared" si="0"/>
        <v>1009000</v>
      </c>
      <c r="C82" s="1">
        <f t="shared" si="12"/>
        <v>32664357000</v>
      </c>
      <c r="D82">
        <f t="shared" si="17"/>
        <v>1977.5</v>
      </c>
      <c r="E82" s="2">
        <f t="shared" si="13"/>
        <v>540000</v>
      </c>
      <c r="F82" s="2">
        <f t="shared" si="18"/>
        <v>987300.99799999991</v>
      </c>
      <c r="G82" s="2">
        <f t="shared" si="19"/>
        <v>16441.725999999999</v>
      </c>
      <c r="H82" s="2">
        <f t="shared" si="20"/>
        <v>57546.040999999997</v>
      </c>
      <c r="I82" s="2">
        <f t="shared" si="21"/>
        <v>32.84326718496586</v>
      </c>
      <c r="J82" s="2">
        <f t="shared" si="22"/>
        <v>17.156714534019812</v>
      </c>
      <c r="K82">
        <f t="shared" si="23"/>
        <v>183505762273554.78</v>
      </c>
      <c r="L82" s="13">
        <f t="shared" si="14"/>
        <v>83994304.186353996</v>
      </c>
      <c r="M82" s="2">
        <f t="shared" si="24"/>
        <v>28253122.319116022</v>
      </c>
      <c r="N82" s="2">
        <f t="shared" si="25"/>
        <v>1.1975110372492986E+17</v>
      </c>
      <c r="O82" s="2">
        <f t="shared" si="26"/>
        <v>378686240089850.38</v>
      </c>
      <c r="P82" s="2">
        <f t="shared" si="27"/>
        <v>5.3082852690792251E+22</v>
      </c>
      <c r="Q82" s="2">
        <f t="shared" si="15"/>
        <v>3.4017693195473367E+19</v>
      </c>
    </row>
    <row r="83" spans="1:17" x14ac:dyDescent="0.2">
      <c r="A83">
        <f t="shared" si="16"/>
        <v>1008</v>
      </c>
      <c r="B83">
        <f t="shared" si="0"/>
        <v>1008000</v>
      </c>
      <c r="C83" s="1">
        <f t="shared" si="12"/>
        <v>32631984000</v>
      </c>
      <c r="D83">
        <f t="shared" si="17"/>
        <v>1977</v>
      </c>
      <c r="E83" s="2">
        <f t="shared" si="13"/>
        <v>540000</v>
      </c>
      <c r="F83" s="2">
        <f t="shared" si="18"/>
        <v>986847.77599999995</v>
      </c>
      <c r="G83" s="2">
        <f t="shared" si="19"/>
        <v>16437.568799999997</v>
      </c>
      <c r="H83" s="2">
        <f t="shared" si="20"/>
        <v>57531.490799999992</v>
      </c>
      <c r="I83" s="2">
        <f t="shared" si="21"/>
        <v>32.851573524668687</v>
      </c>
      <c r="J83" s="2">
        <f t="shared" si="22"/>
        <v>17.153175804719456</v>
      </c>
      <c r="K83">
        <f t="shared" si="23"/>
        <v>185036371552344.97</v>
      </c>
      <c r="L83" s="13">
        <f t="shared" si="14"/>
        <v>84382802.788244471</v>
      </c>
      <c r="M83" s="2">
        <f t="shared" si="24"/>
        <v>28153318.860200915</v>
      </c>
      <c r="N83" s="2">
        <f t="shared" si="25"/>
        <v>1.2074993966466187E+17</v>
      </c>
      <c r="O83" s="2">
        <f t="shared" si="26"/>
        <v>381844836668238.19</v>
      </c>
      <c r="P83" s="2">
        <f t="shared" si="27"/>
        <v>5.2895338820722118E+22</v>
      </c>
      <c r="Q83" s="2">
        <f t="shared" si="15"/>
        <v>3.4175035129239011E+19</v>
      </c>
    </row>
    <row r="84" spans="1:17" x14ac:dyDescent="0.2">
      <c r="A84">
        <f t="shared" si="16"/>
        <v>1007</v>
      </c>
      <c r="B84">
        <f t="shared" si="0"/>
        <v>1007000</v>
      </c>
      <c r="C84" s="1">
        <f t="shared" si="12"/>
        <v>32599611000</v>
      </c>
      <c r="D84">
        <f t="shared" si="17"/>
        <v>1976.5</v>
      </c>
      <c r="E84" s="2">
        <f t="shared" si="13"/>
        <v>540000</v>
      </c>
      <c r="F84" s="2">
        <f t="shared" si="18"/>
        <v>986394.554</v>
      </c>
      <c r="G84" s="2">
        <f t="shared" si="19"/>
        <v>16433.411599999999</v>
      </c>
      <c r="H84" s="2">
        <f t="shared" si="20"/>
        <v>57516.940599999994</v>
      </c>
      <c r="I84" s="2">
        <f t="shared" si="21"/>
        <v>32.859884066921325</v>
      </c>
      <c r="J84" s="2">
        <f t="shared" si="22"/>
        <v>17.149635285017229</v>
      </c>
      <c r="K84">
        <f t="shared" si="23"/>
        <v>186580531652997.06</v>
      </c>
      <c r="L84" s="13">
        <f t="shared" si="14"/>
        <v>84773296.235760182</v>
      </c>
      <c r="M84" s="2">
        <f t="shared" si="24"/>
        <v>28053817.726894248</v>
      </c>
      <c r="N84" s="2">
        <f t="shared" si="25"/>
        <v>1.2175761851948405E+17</v>
      </c>
      <c r="O84" s="2">
        <f t="shared" si="26"/>
        <v>385031396999466.38</v>
      </c>
      <c r="P84" s="2">
        <f t="shared" si="27"/>
        <v>5.270839296949098E+22</v>
      </c>
      <c r="Q84" s="2">
        <f t="shared" si="15"/>
        <v>3.4333184975482872E+19</v>
      </c>
    </row>
    <row r="85" spans="1:17" x14ac:dyDescent="0.2">
      <c r="A85">
        <f t="shared" si="16"/>
        <v>1006</v>
      </c>
      <c r="B85">
        <f t="shared" si="0"/>
        <v>1006000</v>
      </c>
      <c r="C85" s="1">
        <f t="shared" si="12"/>
        <v>32567238000</v>
      </c>
      <c r="D85">
        <f t="shared" si="17"/>
        <v>1976</v>
      </c>
      <c r="E85" s="2">
        <f t="shared" si="13"/>
        <v>540000</v>
      </c>
      <c r="F85" s="2">
        <f t="shared" si="18"/>
        <v>985941.33199999994</v>
      </c>
      <c r="G85" s="2">
        <f t="shared" si="19"/>
        <v>16429.254399999998</v>
      </c>
      <c r="H85" s="2">
        <f t="shared" si="20"/>
        <v>57502.390399999997</v>
      </c>
      <c r="I85" s="2">
        <f t="shared" si="21"/>
        <v>32.868198814913967</v>
      </c>
      <c r="J85" s="2">
        <f t="shared" si="22"/>
        <v>17.146092973554019</v>
      </c>
      <c r="K85">
        <f t="shared" si="23"/>
        <v>188138369292632.28</v>
      </c>
      <c r="L85" s="13">
        <f t="shared" si="14"/>
        <v>85165795.738906503</v>
      </c>
      <c r="M85" s="2">
        <f t="shared" si="24"/>
        <v>27954618.16836952</v>
      </c>
      <c r="N85" s="2">
        <f t="shared" si="25"/>
        <v>1.2277422298170502E+17</v>
      </c>
      <c r="O85" s="2">
        <f t="shared" si="26"/>
        <v>388246182579575.25</v>
      </c>
      <c r="P85" s="2">
        <f t="shared" si="27"/>
        <v>5.252201372642244E+22</v>
      </c>
      <c r="Q85" s="2">
        <f t="shared" si="15"/>
        <v>3.4492147274257134E+19</v>
      </c>
    </row>
    <row r="86" spans="1:17" x14ac:dyDescent="0.2">
      <c r="A86">
        <f t="shared" si="16"/>
        <v>1005</v>
      </c>
      <c r="B86">
        <f t="shared" si="0"/>
        <v>1005000</v>
      </c>
      <c r="C86" s="1">
        <f t="shared" si="12"/>
        <v>32534865000</v>
      </c>
      <c r="D86">
        <f t="shared" si="17"/>
        <v>1975.5</v>
      </c>
      <c r="E86" s="2">
        <f t="shared" si="13"/>
        <v>540000</v>
      </c>
      <c r="F86" s="2">
        <f t="shared" si="18"/>
        <v>985488.11</v>
      </c>
      <c r="G86" s="2">
        <f t="shared" si="19"/>
        <v>16425.097199999997</v>
      </c>
      <c r="H86" s="2">
        <f t="shared" si="20"/>
        <v>57487.840199999991</v>
      </c>
      <c r="I86" s="2">
        <f t="shared" si="21"/>
        <v>32.876517771840042</v>
      </c>
      <c r="J86" s="2">
        <f t="shared" si="22"/>
        <v>17.142548868969339</v>
      </c>
      <c r="K86">
        <f t="shared" si="23"/>
        <v>189710012434929.38</v>
      </c>
      <c r="L86" s="13">
        <f t="shared" si="14"/>
        <v>85560312.575910375</v>
      </c>
      <c r="M86" s="2">
        <f t="shared" si="24"/>
        <v>27855719.435202401</v>
      </c>
      <c r="N86" s="2">
        <f t="shared" si="25"/>
        <v>1.2379983655710453E+17</v>
      </c>
      <c r="O86" s="2">
        <f t="shared" si="26"/>
        <v>391489457477026.56</v>
      </c>
      <c r="P86" s="2">
        <f t="shared" si="27"/>
        <v>5.2336199683474553E+22</v>
      </c>
      <c r="Q86" s="2">
        <f t="shared" si="15"/>
        <v>3.4651926593243701E+19</v>
      </c>
    </row>
    <row r="87" spans="1:17" x14ac:dyDescent="0.2">
      <c r="A87">
        <f t="shared" si="16"/>
        <v>1004</v>
      </c>
      <c r="B87">
        <f t="shared" si="0"/>
        <v>1004000</v>
      </c>
      <c r="C87" s="1">
        <f t="shared" si="12"/>
        <v>32502492000</v>
      </c>
      <c r="D87">
        <f t="shared" si="17"/>
        <v>1975</v>
      </c>
      <c r="E87" s="2">
        <f t="shared" si="13"/>
        <v>540000</v>
      </c>
      <c r="F87" s="2">
        <f t="shared" si="18"/>
        <v>985034.88800000004</v>
      </c>
      <c r="G87" s="2">
        <f t="shared" si="19"/>
        <v>16420.939999999999</v>
      </c>
      <c r="H87" s="2">
        <f t="shared" si="20"/>
        <v>57473.289999999994</v>
      </c>
      <c r="I87" s="2">
        <f t="shared" si="21"/>
        <v>32.884840940896197</v>
      </c>
      <c r="J87" s="2">
        <f t="shared" si="22"/>
        <v>17.139002969901327</v>
      </c>
      <c r="K87">
        <f t="shared" si="23"/>
        <v>191295590302977</v>
      </c>
      <c r="L87" s="13">
        <f t="shared" si="14"/>
        <v>85956858.093668655</v>
      </c>
      <c r="M87" s="2">
        <f t="shared" si="24"/>
        <v>27757120.779369239</v>
      </c>
      <c r="N87" s="2">
        <f t="shared" si="25"/>
        <v>1.2483454357332059E+17</v>
      </c>
      <c r="O87" s="2">
        <f t="shared" si="26"/>
        <v>394761488359226.06</v>
      </c>
      <c r="P87" s="2">
        <f t="shared" si="27"/>
        <v>5.2150949435237005E+22</v>
      </c>
      <c r="Q87" s="2">
        <f t="shared" si="15"/>
        <v>3.4812527527935803E+19</v>
      </c>
    </row>
    <row r="88" spans="1:17" x14ac:dyDescent="0.2">
      <c r="A88">
        <f t="shared" si="16"/>
        <v>1003</v>
      </c>
      <c r="B88">
        <f t="shared" si="0"/>
        <v>1003000</v>
      </c>
      <c r="C88" s="1">
        <f t="shared" si="12"/>
        <v>32470119000</v>
      </c>
      <c r="D88">
        <f t="shared" si="17"/>
        <v>1974.5</v>
      </c>
      <c r="E88" s="2">
        <f t="shared" si="13"/>
        <v>540000</v>
      </c>
      <c r="F88" s="2">
        <f t="shared" si="18"/>
        <v>984581.66599999997</v>
      </c>
      <c r="G88" s="2">
        <f t="shared" si="19"/>
        <v>16416.782799999997</v>
      </c>
      <c r="H88" s="2">
        <f t="shared" si="20"/>
        <v>57458.739799999996</v>
      </c>
      <c r="I88" s="2">
        <f t="shared" si="21"/>
        <v>32.893168325282353</v>
      </c>
      <c r="J88" s="2">
        <f t="shared" si="22"/>
        <v>17.135455274986732</v>
      </c>
      <c r="K88">
        <f t="shared" si="23"/>
        <v>192895233392278.28</v>
      </c>
      <c r="L88" s="13">
        <f t="shared" si="14"/>
        <v>86355443.708197311</v>
      </c>
      <c r="M88" s="2">
        <f t="shared" si="24"/>
        <v>27658821.454245135</v>
      </c>
      <c r="N88" s="2">
        <f t="shared" si="25"/>
        <v>1.2587842918833592E+17</v>
      </c>
      <c r="O88" s="2">
        <f t="shared" si="26"/>
        <v>398062544519360.12</v>
      </c>
      <c r="P88" s="2">
        <f t="shared" si="27"/>
        <v>5.1966261578927524E+22</v>
      </c>
      <c r="Q88" s="2">
        <f t="shared" si="15"/>
        <v>3.4973954701819912E+19</v>
      </c>
    </row>
    <row r="89" spans="1:17" x14ac:dyDescent="0.2">
      <c r="A89">
        <f t="shared" si="16"/>
        <v>1002</v>
      </c>
      <c r="B89">
        <f t="shared" si="0"/>
        <v>1002000</v>
      </c>
      <c r="C89" s="1">
        <f t="shared" si="12"/>
        <v>32437746000</v>
      </c>
      <c r="D89">
        <f t="shared" si="17"/>
        <v>1974</v>
      </c>
      <c r="E89" s="2">
        <f t="shared" si="13"/>
        <v>540000</v>
      </c>
      <c r="F89" s="2">
        <f t="shared" si="18"/>
        <v>984128.4439999999</v>
      </c>
      <c r="G89" s="2">
        <f t="shared" si="19"/>
        <v>16412.625599999999</v>
      </c>
      <c r="H89" s="2">
        <f t="shared" si="20"/>
        <v>57444.189599999991</v>
      </c>
      <c r="I89" s="2">
        <f t="shared" si="21"/>
        <v>32.901499928201616</v>
      </c>
      <c r="J89" s="2">
        <f t="shared" si="22"/>
        <v>17.131905782860937</v>
      </c>
      <c r="K89">
        <f t="shared" si="23"/>
        <v>194509073483867.09</v>
      </c>
      <c r="L89" s="13">
        <f t="shared" si="14"/>
        <v>86756080.905081779</v>
      </c>
      <c r="M89" s="2">
        <f t="shared" si="24"/>
        <v>27560820.71460307</v>
      </c>
      <c r="N89" s="2">
        <f t="shared" si="25"/>
        <v>1.2693157939903725E+17</v>
      </c>
      <c r="O89" s="2">
        <f t="shared" si="26"/>
        <v>401392897903462.56</v>
      </c>
      <c r="P89" s="2">
        <f t="shared" si="27"/>
        <v>5.1782134714390203E+22</v>
      </c>
      <c r="Q89" s="2">
        <f t="shared" si="15"/>
        <v>3.5136212766558122E+19</v>
      </c>
    </row>
    <row r="90" spans="1:17" x14ac:dyDescent="0.2">
      <c r="A90">
        <f t="shared" si="16"/>
        <v>1001</v>
      </c>
      <c r="B90">
        <f t="shared" si="0"/>
        <v>1001000</v>
      </c>
      <c r="C90" s="1">
        <f t="shared" si="12"/>
        <v>32405373000</v>
      </c>
      <c r="D90">
        <f t="shared" si="17"/>
        <v>1973.5</v>
      </c>
      <c r="E90" s="2">
        <f t="shared" si="13"/>
        <v>540000</v>
      </c>
      <c r="F90" s="2">
        <f t="shared" si="18"/>
        <v>983675.22199999995</v>
      </c>
      <c r="G90" s="2">
        <f t="shared" si="19"/>
        <v>16408.468399999998</v>
      </c>
      <c r="H90" s="2">
        <f t="shared" si="20"/>
        <v>57429.639399999993</v>
      </c>
      <c r="I90" s="2">
        <f t="shared" si="21"/>
        <v>32.909835752860403</v>
      </c>
      <c r="J90" s="2">
        <f t="shared" si="22"/>
        <v>17.128354492157932</v>
      </c>
      <c r="K90">
        <f t="shared" si="23"/>
        <v>196137243657608.31</v>
      </c>
      <c r="L90" s="13">
        <f t="shared" si="14"/>
        <v>87158781.239934579</v>
      </c>
      <c r="M90" s="2">
        <f t="shared" si="24"/>
        <v>27463117.816611771</v>
      </c>
      <c r="N90" s="2">
        <f t="shared" si="25"/>
        <v>1.2799408104989478E+17</v>
      </c>
      <c r="O90" s="2">
        <f t="shared" si="26"/>
        <v>404752823137861.31</v>
      </c>
      <c r="P90" s="2">
        <f t="shared" si="27"/>
        <v>5.1598567444091488E+22</v>
      </c>
      <c r="Q90" s="2">
        <f t="shared" si="15"/>
        <v>3.5299306402173506E+19</v>
      </c>
    </row>
    <row r="91" spans="1:17" x14ac:dyDescent="0.2">
      <c r="A91">
        <f t="shared" si="16"/>
        <v>1000</v>
      </c>
      <c r="B91">
        <f t="shared" si="0"/>
        <v>1000000</v>
      </c>
      <c r="C91" s="1">
        <f t="shared" si="12"/>
        <v>32373000000</v>
      </c>
      <c r="D91">
        <f t="shared" si="17"/>
        <v>1973</v>
      </c>
      <c r="E91" s="2">
        <f t="shared" si="13"/>
        <v>540000</v>
      </c>
      <c r="F91" s="2">
        <f t="shared" si="18"/>
        <v>983222</v>
      </c>
      <c r="G91" s="2">
        <f t="shared" si="19"/>
        <v>16404.311199999996</v>
      </c>
      <c r="H91" s="2">
        <f t="shared" si="20"/>
        <v>57415.089199999995</v>
      </c>
      <c r="I91" s="2">
        <f t="shared" si="21"/>
        <v>32.918175802468326</v>
      </c>
      <c r="J91" s="2">
        <f t="shared" si="22"/>
        <v>17.124801401510322</v>
      </c>
      <c r="K91">
        <f t="shared" si="23"/>
        <v>197779878305594.69</v>
      </c>
      <c r="L91" s="13">
        <f t="shared" si="14"/>
        <v>87563556.338851988</v>
      </c>
      <c r="M91" s="2">
        <f t="shared" si="24"/>
        <v>27365712.017834231</v>
      </c>
      <c r="N91" s="2">
        <f t="shared" si="25"/>
        <v>1.2906602184170461E+17</v>
      </c>
      <c r="O91" s="2">
        <f t="shared" si="26"/>
        <v>408142597556824.75</v>
      </c>
      <c r="P91" s="2">
        <f t="shared" si="27"/>
        <v>5.1415558373117463E+22</v>
      </c>
      <c r="Q91" s="2">
        <f t="shared" si="15"/>
        <v>3.5463240317235057E+19</v>
      </c>
    </row>
    <row r="92" spans="1:17" x14ac:dyDescent="0.2">
      <c r="A92">
        <f t="shared" si="16"/>
        <v>999</v>
      </c>
      <c r="B92">
        <f t="shared" si="0"/>
        <v>999000</v>
      </c>
      <c r="C92" s="1">
        <f t="shared" si="12"/>
        <v>32340627000</v>
      </c>
      <c r="D92">
        <f t="shared" si="17"/>
        <v>1972.5</v>
      </c>
      <c r="E92" s="2">
        <f t="shared" si="13"/>
        <v>540000</v>
      </c>
      <c r="F92" s="2">
        <f t="shared" si="18"/>
        <v>982768.77799999993</v>
      </c>
      <c r="G92" s="2">
        <f t="shared" si="19"/>
        <v>16400.153999999999</v>
      </c>
      <c r="H92" s="2">
        <f t="shared" si="20"/>
        <v>57400.538999999997</v>
      </c>
      <c r="I92" s="2">
        <f t="shared" si="21"/>
        <v>32.926520080238276</v>
      </c>
      <c r="J92" s="2">
        <f t="shared" si="22"/>
        <v>17.121246509549326</v>
      </c>
      <c r="K92">
        <f t="shared" si="23"/>
        <v>199437113145725.81</v>
      </c>
      <c r="L92" s="13">
        <f t="shared" si="14"/>
        <v>87970417.898877174</v>
      </c>
      <c r="M92" s="2">
        <f t="shared" si="24"/>
        <v>27268602.577226393</v>
      </c>
      <c r="N92" s="2">
        <f t="shared" si="25"/>
        <v>1.3014749034045E+17</v>
      </c>
      <c r="O92" s="2">
        <f t="shared" si="26"/>
        <v>411562501230583.12</v>
      </c>
      <c r="P92" s="2">
        <f t="shared" si="27"/>
        <v>5.1233106109171281E+22</v>
      </c>
      <c r="Q92" s="2">
        <f t="shared" si="15"/>
        <v>3.5628019249045254E+19</v>
      </c>
    </row>
    <row r="93" spans="1:17" x14ac:dyDescent="0.2">
      <c r="A93">
        <f t="shared" si="16"/>
        <v>998</v>
      </c>
      <c r="B93">
        <f t="shared" si="0"/>
        <v>998000</v>
      </c>
      <c r="C93" s="1">
        <f t="shared" si="12"/>
        <v>32308254000</v>
      </c>
      <c r="D93">
        <f t="shared" si="17"/>
        <v>1972</v>
      </c>
      <c r="E93" s="2">
        <f t="shared" si="13"/>
        <v>540000</v>
      </c>
      <c r="F93" s="2">
        <f t="shared" si="18"/>
        <v>982315.55599999998</v>
      </c>
      <c r="G93" s="2">
        <f t="shared" si="19"/>
        <v>16395.996799999997</v>
      </c>
      <c r="H93" s="2">
        <f t="shared" si="20"/>
        <v>57385.988799999992</v>
      </c>
      <c r="I93" s="2">
        <f t="shared" si="21"/>
        <v>32.934868589386411</v>
      </c>
      <c r="J93" s="2">
        <f t="shared" si="22"/>
        <v>17.117689814904786</v>
      </c>
      <c r="K93">
        <f t="shared" si="23"/>
        <v>201109085235417.41</v>
      </c>
      <c r="L93" s="13">
        <f t="shared" si="14"/>
        <v>88379377.688466042</v>
      </c>
      <c r="M93" s="2">
        <f t="shared" si="24"/>
        <v>27171788.755135641</v>
      </c>
      <c r="N93" s="2">
        <f t="shared" si="25"/>
        <v>1.3123857598624773E+17</v>
      </c>
      <c r="O93" s="2">
        <f t="shared" si="26"/>
        <v>415012816993619.62</v>
      </c>
      <c r="P93" s="2">
        <f t="shared" si="27"/>
        <v>5.1051209262570404E+22</v>
      </c>
      <c r="Q93" s="2">
        <f t="shared" si="15"/>
        <v>3.5793647963828748E+19</v>
      </c>
    </row>
    <row r="94" spans="1:17" x14ac:dyDescent="0.2">
      <c r="A94">
        <f t="shared" si="16"/>
        <v>997</v>
      </c>
      <c r="B94">
        <f t="shared" si="0"/>
        <v>997000</v>
      </c>
      <c r="C94" s="1">
        <f t="shared" si="12"/>
        <v>32275881000</v>
      </c>
      <c r="D94">
        <f t="shared" si="17"/>
        <v>1971.5</v>
      </c>
      <c r="E94" s="2">
        <f t="shared" si="13"/>
        <v>540000</v>
      </c>
      <c r="F94" s="2">
        <f t="shared" si="18"/>
        <v>981862.33400000003</v>
      </c>
      <c r="G94" s="2">
        <f t="shared" si="19"/>
        <v>16391.839599999999</v>
      </c>
      <c r="H94" s="2">
        <f t="shared" si="20"/>
        <v>57371.438599999994</v>
      </c>
      <c r="I94" s="2">
        <f t="shared" si="21"/>
        <v>32.943221333132129</v>
      </c>
      <c r="J94" s="2">
        <f t="shared" si="22"/>
        <v>17.114131316205135</v>
      </c>
      <c r="K94">
        <f t="shared" si="23"/>
        <v>202795932985454.09</v>
      </c>
      <c r="L94" s="13">
        <f t="shared" si="14"/>
        <v>88790447.547952175</v>
      </c>
      <c r="M94" s="2">
        <f t="shared" si="24"/>
        <v>27075269.813298713</v>
      </c>
      <c r="N94" s="2">
        <f t="shared" si="25"/>
        <v>1.3233936910238803E+17</v>
      </c>
      <c r="O94" s="2">
        <f t="shared" si="26"/>
        <v>418493830473257.25</v>
      </c>
      <c r="P94" s="2">
        <f t="shared" si="27"/>
        <v>5.0869866446242661E+22</v>
      </c>
      <c r="Q94" s="2">
        <f t="shared" si="15"/>
        <v>3.5960131256920629E+19</v>
      </c>
    </row>
    <row r="95" spans="1:17" x14ac:dyDescent="0.2">
      <c r="A95">
        <f t="shared" si="16"/>
        <v>996</v>
      </c>
      <c r="B95">
        <f t="shared" ref="B95:B158" si="28">A95*1000</f>
        <v>996000</v>
      </c>
      <c r="C95" s="1">
        <f t="shared" si="12"/>
        <v>32243508000</v>
      </c>
      <c r="D95">
        <f t="shared" si="17"/>
        <v>1971</v>
      </c>
      <c r="E95" s="2">
        <f t="shared" si="13"/>
        <v>540000</v>
      </c>
      <c r="F95" s="2">
        <f t="shared" si="18"/>
        <v>981409.11199999996</v>
      </c>
      <c r="G95" s="2">
        <f t="shared" si="19"/>
        <v>16387.682399999998</v>
      </c>
      <c r="H95" s="2">
        <f t="shared" si="20"/>
        <v>57356.888399999996</v>
      </c>
      <c r="I95" s="2">
        <f t="shared" si="21"/>
        <v>32.951578314698125</v>
      </c>
      <c r="J95" s="2">
        <f t="shared" si="22"/>
        <v>17.110571012077425</v>
      </c>
      <c r="K95">
        <f t="shared" si="23"/>
        <v>204497796174009.31</v>
      </c>
      <c r="L95" s="13">
        <f t="shared" si="14"/>
        <v>89203639.390023321</v>
      </c>
      <c r="M95" s="2">
        <f t="shared" si="24"/>
        <v>26979045.014840696</v>
      </c>
      <c r="N95" s="2">
        <f t="shared" si="25"/>
        <v>1.3344996090448363E+17</v>
      </c>
      <c r="O95" s="2">
        <f t="shared" si="26"/>
        <v>422005830118590.31</v>
      </c>
      <c r="P95" s="2">
        <f t="shared" si="27"/>
        <v>5.0689076275724337E+22</v>
      </c>
      <c r="Q95" s="2">
        <f t="shared" si="15"/>
        <v>3.6127473952959443E+19</v>
      </c>
    </row>
    <row r="96" spans="1:17" x14ac:dyDescent="0.2">
      <c r="A96">
        <f t="shared" si="16"/>
        <v>995</v>
      </c>
      <c r="B96">
        <f t="shared" si="28"/>
        <v>995000</v>
      </c>
      <c r="C96" s="1">
        <f t="shared" ref="C96:C159" si="29">$B$3*$B$1*B96</f>
        <v>32211135000</v>
      </c>
      <c r="D96">
        <f t="shared" si="17"/>
        <v>1970.5</v>
      </c>
      <c r="E96" s="2">
        <f t="shared" ref="E96:E159" si="30">+$B$19+$B$16*0</f>
        <v>540000</v>
      </c>
      <c r="F96" s="2">
        <f t="shared" si="18"/>
        <v>980955.8899999999</v>
      </c>
      <c r="G96" s="2">
        <f t="shared" si="19"/>
        <v>16383.525199999998</v>
      </c>
      <c r="H96" s="2">
        <f t="shared" si="20"/>
        <v>57342.338199999991</v>
      </c>
      <c r="I96" s="2">
        <f t="shared" si="21"/>
        <v>32.959939537310326</v>
      </c>
      <c r="J96" s="2">
        <f t="shared" si="22"/>
        <v>17.107008901147321</v>
      </c>
      <c r="K96">
        <f t="shared" si="23"/>
        <v>206214815960792.53</v>
      </c>
      <c r="L96" s="13">
        <f t="shared" ref="L96:L159" si="31">EXP((300*1000)/($B$17*D96))</f>
        <v>89618965.200192019</v>
      </c>
      <c r="M96" s="2">
        <f t="shared" si="24"/>
        <v>26883113.62427349</v>
      </c>
      <c r="N96" s="2">
        <f t="shared" si="25"/>
        <v>1.3457044350970189E+17</v>
      </c>
      <c r="O96" s="2">
        <f t="shared" si="26"/>
        <v>425549107229679.25</v>
      </c>
      <c r="P96" s="2">
        <f t="shared" si="27"/>
        <v>5.050883736915731E+22</v>
      </c>
      <c r="Q96" s="2">
        <f t="shared" ref="Q96:Q159" si="32">$B$12*L96</f>
        <v>3.629568090607777E+19</v>
      </c>
    </row>
    <row r="97" spans="1:17" x14ac:dyDescent="0.2">
      <c r="A97">
        <f t="shared" ref="A97:A160" si="33">+A96-1</f>
        <v>994</v>
      </c>
      <c r="B97">
        <f t="shared" si="28"/>
        <v>994000</v>
      </c>
      <c r="C97" s="1">
        <f t="shared" si="29"/>
        <v>32178762000</v>
      </c>
      <c r="D97">
        <f t="shared" ref="D97:D160" si="34">IF(A97&gt;$B$4,$B$2+(A97-$B$4)*$B$5,$B$6+(($B$2-$B$6)/$B$4)*(A97))</f>
        <v>1970</v>
      </c>
      <c r="E97" s="2">
        <f t="shared" si="30"/>
        <v>540000</v>
      </c>
      <c r="F97" s="2">
        <f t="shared" ref="F97:F160" si="35">+$F$20+$H$15*C97*(0.000001)</f>
        <v>980502.66800000006</v>
      </c>
      <c r="G97" s="2">
        <f t="shared" ref="G97:G160" si="36">+$B$17*D97</f>
        <v>16379.367999999999</v>
      </c>
      <c r="H97" s="2">
        <f t="shared" ref="H97:H160" si="37">+$B$23*$B$17*D97</f>
        <v>57327.787999999993</v>
      </c>
      <c r="I97" s="2">
        <f t="shared" ref="I97:I160" si="38">+E97/G97</f>
        <v>32.968305004197966</v>
      </c>
      <c r="J97" s="2">
        <f t="shared" ref="J97:J160" si="39">+F97/H97</f>
        <v>17.103444982039079</v>
      </c>
      <c r="K97">
        <f t="shared" ref="K97:K160" si="40">+EXP(I97)</f>
        <v>207947134901376.88</v>
      </c>
      <c r="L97" s="13">
        <f t="shared" si="31"/>
        <v>90036437.037275717</v>
      </c>
      <c r="M97" s="2">
        <f t="shared" ref="M97:M160" si="41">+EXP(J97)</f>
        <v>26787474.907493748</v>
      </c>
      <c r="N97" s="2">
        <f t="shared" ref="N97:N160" si="42">+$B$13*(($B$15/$B$21)^($B$23-1))*K97</f>
        <v>1.3570090994611456E+17</v>
      </c>
      <c r="O97" s="2">
        <f t="shared" ref="O97:O160" si="43">+$B$13*(($B$15/$B$22)^($B$23-1))*K97</f>
        <v>429123955987117.19</v>
      </c>
      <c r="P97" s="2">
        <f t="shared" ref="P97:P160" si="44">(1000000)*($F$18^(-1/$B$23))*($F$19^((1/$B$23)-1))*M97</f>
        <v>5.0329148347285183E+22</v>
      </c>
      <c r="Q97" s="2">
        <f t="shared" si="32"/>
        <v>3.6464757000096666E+19</v>
      </c>
    </row>
    <row r="98" spans="1:17" x14ac:dyDescent="0.2">
      <c r="A98">
        <f t="shared" si="33"/>
        <v>993</v>
      </c>
      <c r="B98">
        <f t="shared" si="28"/>
        <v>993000</v>
      </c>
      <c r="C98" s="1">
        <f t="shared" si="29"/>
        <v>32146389000</v>
      </c>
      <c r="D98">
        <f t="shared" si="34"/>
        <v>1969.5</v>
      </c>
      <c r="E98" s="2">
        <f t="shared" si="30"/>
        <v>540000</v>
      </c>
      <c r="F98" s="2">
        <f t="shared" si="35"/>
        <v>980049.446</v>
      </c>
      <c r="G98" s="2">
        <f t="shared" si="36"/>
        <v>16375.210799999999</v>
      </c>
      <c r="H98" s="2">
        <f t="shared" si="37"/>
        <v>57313.237799999995</v>
      </c>
      <c r="I98" s="2">
        <f t="shared" si="38"/>
        <v>32.97667471859355</v>
      </c>
      <c r="J98" s="2">
        <f t="shared" si="39"/>
        <v>17.099879253375562</v>
      </c>
      <c r="K98">
        <f t="shared" si="40"/>
        <v>209694896961661.75</v>
      </c>
      <c r="L98" s="13">
        <f t="shared" si="31"/>
        <v>90456067.03387861</v>
      </c>
      <c r="M98" s="2">
        <f t="shared" si="41"/>
        <v>26692128.131781649</v>
      </c>
      <c r="N98" s="2">
        <f t="shared" si="42"/>
        <v>1.3684145416213581E+17</v>
      </c>
      <c r="O98" s="2">
        <f t="shared" si="43"/>
        <v>432730673481875.38</v>
      </c>
      <c r="P98" s="2">
        <f t="shared" si="44"/>
        <v>5.0150007833450974E+22</v>
      </c>
      <c r="Q98" s="2">
        <f t="shared" si="32"/>
        <v>3.6634707148720837E+19</v>
      </c>
    </row>
    <row r="99" spans="1:17" x14ac:dyDescent="0.2">
      <c r="A99">
        <f t="shared" si="33"/>
        <v>992</v>
      </c>
      <c r="B99">
        <f t="shared" si="28"/>
        <v>992000</v>
      </c>
      <c r="C99" s="1">
        <f t="shared" si="29"/>
        <v>32114016000</v>
      </c>
      <c r="D99">
        <f t="shared" si="34"/>
        <v>1969</v>
      </c>
      <c r="E99" s="2">
        <f t="shared" si="30"/>
        <v>540000</v>
      </c>
      <c r="F99" s="2">
        <f t="shared" si="35"/>
        <v>979596.22399999993</v>
      </c>
      <c r="G99" s="2">
        <f t="shared" si="36"/>
        <v>16371.053599999997</v>
      </c>
      <c r="H99" s="2">
        <f t="shared" si="37"/>
        <v>57298.687599999997</v>
      </c>
      <c r="I99" s="2">
        <f t="shared" si="38"/>
        <v>32.985048683732856</v>
      </c>
      <c r="J99" s="2">
        <f t="shared" si="39"/>
        <v>17.096311713778238</v>
      </c>
      <c r="K99">
        <f t="shared" si="40"/>
        <v>211458247532496.44</v>
      </c>
      <c r="L99" s="13">
        <f t="shared" si="31"/>
        <v>90877867.396876305</v>
      </c>
      <c r="M99" s="2">
        <f t="shared" si="41"/>
        <v>26597072.56579949</v>
      </c>
      <c r="N99" s="2">
        <f t="shared" si="42"/>
        <v>1.379921710360651E+17</v>
      </c>
      <c r="O99" s="2">
        <f t="shared" si="43"/>
        <v>436369559745480.81</v>
      </c>
      <c r="P99" s="2">
        <f t="shared" si="44"/>
        <v>4.9971414453594442E+22</v>
      </c>
      <c r="Q99" s="2">
        <f t="shared" si="32"/>
        <v>3.6805536295734903E+19</v>
      </c>
    </row>
    <row r="100" spans="1:17" x14ac:dyDescent="0.2">
      <c r="A100">
        <f t="shared" si="33"/>
        <v>991</v>
      </c>
      <c r="B100">
        <f t="shared" si="28"/>
        <v>991000</v>
      </c>
      <c r="C100" s="1">
        <f t="shared" si="29"/>
        <v>32081643000</v>
      </c>
      <c r="D100">
        <f t="shared" si="34"/>
        <v>1968.5</v>
      </c>
      <c r="E100" s="2">
        <f t="shared" si="30"/>
        <v>540000</v>
      </c>
      <c r="F100" s="2">
        <f t="shared" si="35"/>
        <v>979143.00199999998</v>
      </c>
      <c r="G100" s="2">
        <f t="shared" si="36"/>
        <v>16366.896399999998</v>
      </c>
      <c r="H100" s="2">
        <f t="shared" si="37"/>
        <v>57284.137399999992</v>
      </c>
      <c r="I100" s="2">
        <f t="shared" si="38"/>
        <v>32.993426902854964</v>
      </c>
      <c r="J100" s="2">
        <f t="shared" si="39"/>
        <v>17.092742361867181</v>
      </c>
      <c r="K100">
        <f t="shared" si="40"/>
        <v>213237333444471.09</v>
      </c>
      <c r="L100" s="13">
        <f t="shared" si="31"/>
        <v>91301850.407903418</v>
      </c>
      <c r="M100" s="2">
        <f t="shared" si="41"/>
        <v>26502307.479590073</v>
      </c>
      <c r="N100" s="2">
        <f t="shared" si="42"/>
        <v>1.3915315638573955E+17</v>
      </c>
      <c r="O100" s="2">
        <f t="shared" si="43"/>
        <v>440040917780539.06</v>
      </c>
      <c r="P100" s="2">
        <f t="shared" si="44"/>
        <v>4.9793366836249113E+22</v>
      </c>
      <c r="Q100" s="2">
        <f t="shared" si="32"/>
        <v>3.6977249415200883E+19</v>
      </c>
    </row>
    <row r="101" spans="1:17" x14ac:dyDescent="0.2">
      <c r="A101">
        <f t="shared" si="33"/>
        <v>990</v>
      </c>
      <c r="B101">
        <f t="shared" si="28"/>
        <v>990000</v>
      </c>
      <c r="C101" s="1">
        <f t="shared" si="29"/>
        <v>32049270000</v>
      </c>
      <c r="D101">
        <f t="shared" si="34"/>
        <v>1968</v>
      </c>
      <c r="E101" s="2">
        <f t="shared" si="30"/>
        <v>540000</v>
      </c>
      <c r="F101" s="2">
        <f t="shared" si="35"/>
        <v>978689.78</v>
      </c>
      <c r="G101" s="2">
        <f t="shared" si="36"/>
        <v>16362.739199999998</v>
      </c>
      <c r="H101" s="2">
        <f t="shared" si="37"/>
        <v>57269.587199999994</v>
      </c>
      <c r="I101" s="2">
        <f t="shared" si="38"/>
        <v>33.001809379202236</v>
      </c>
      <c r="J101" s="2">
        <f t="shared" si="39"/>
        <v>17.089171196261042</v>
      </c>
      <c r="K101">
        <f t="shared" si="40"/>
        <v>215032302982856.19</v>
      </c>
      <c r="L101" s="13">
        <f t="shared" si="31"/>
        <v>91728028.423846006</v>
      </c>
      <c r="M101" s="2">
        <f t="shared" si="41"/>
        <v>26407832.144574549</v>
      </c>
      <c r="N101" s="2">
        <f t="shared" si="42"/>
        <v>1.4032450697828288E+17</v>
      </c>
      <c r="O101" s="2">
        <f t="shared" si="43"/>
        <v>443745053591563.75</v>
      </c>
      <c r="P101" s="2">
        <f t="shared" si="44"/>
        <v>4.9615863612538186E+22</v>
      </c>
      <c r="Q101" s="2">
        <f t="shared" si="32"/>
        <v>3.7149851511657636E+19</v>
      </c>
    </row>
    <row r="102" spans="1:17" x14ac:dyDescent="0.2">
      <c r="A102">
        <f t="shared" si="33"/>
        <v>989</v>
      </c>
      <c r="B102">
        <f t="shared" si="28"/>
        <v>989000</v>
      </c>
      <c r="C102" s="1">
        <f t="shared" si="29"/>
        <v>32016897000</v>
      </c>
      <c r="D102">
        <f t="shared" si="34"/>
        <v>1967.5</v>
      </c>
      <c r="E102" s="2">
        <f t="shared" si="30"/>
        <v>540000</v>
      </c>
      <c r="F102" s="2">
        <f t="shared" si="35"/>
        <v>978236.55799999996</v>
      </c>
      <c r="G102" s="2">
        <f t="shared" si="36"/>
        <v>16358.581999999999</v>
      </c>
      <c r="H102" s="2">
        <f t="shared" si="37"/>
        <v>57255.036999999997</v>
      </c>
      <c r="I102" s="2">
        <f t="shared" si="38"/>
        <v>33.010196116020325</v>
      </c>
      <c r="J102" s="2">
        <f t="shared" si="39"/>
        <v>17.085598215577086</v>
      </c>
      <c r="K102">
        <f t="shared" si="40"/>
        <v>216843305902710.03</v>
      </c>
      <c r="L102" s="13">
        <f t="shared" si="31"/>
        <v>92156413.877337351</v>
      </c>
      <c r="M102" s="2">
        <f t="shared" si="41"/>
        <v>26313645.833551846</v>
      </c>
      <c r="N102" s="2">
        <f t="shared" si="42"/>
        <v>1.4150632053996427E+17</v>
      </c>
      <c r="O102" s="2">
        <f t="shared" si="43"/>
        <v>447482276216152.88</v>
      </c>
      <c r="P102" s="2">
        <f t="shared" si="44"/>
        <v>4.9438903416173466E+22</v>
      </c>
      <c r="Q102" s="2">
        <f t="shared" si="32"/>
        <v>3.7323347620321624E+19</v>
      </c>
    </row>
    <row r="103" spans="1:17" x14ac:dyDescent="0.2">
      <c r="A103">
        <f t="shared" si="33"/>
        <v>988</v>
      </c>
      <c r="B103">
        <f t="shared" si="28"/>
        <v>988000</v>
      </c>
      <c r="C103" s="1">
        <f t="shared" si="29"/>
        <v>31984524000</v>
      </c>
      <c r="D103">
        <f t="shared" si="34"/>
        <v>1967</v>
      </c>
      <c r="E103" s="2">
        <f t="shared" si="30"/>
        <v>540000</v>
      </c>
      <c r="F103" s="2">
        <f t="shared" si="35"/>
        <v>977783.33599999989</v>
      </c>
      <c r="G103" s="2">
        <f t="shared" si="36"/>
        <v>16354.424799999999</v>
      </c>
      <c r="H103" s="2">
        <f t="shared" si="37"/>
        <v>57240.486799999991</v>
      </c>
      <c r="I103" s="2">
        <f t="shared" si="38"/>
        <v>33.018587116558209</v>
      </c>
      <c r="J103" s="2">
        <f t="shared" si="39"/>
        <v>17.082023418431167</v>
      </c>
      <c r="K103">
        <f t="shared" si="40"/>
        <v>218670493444156.47</v>
      </c>
      <c r="L103" s="13">
        <f t="shared" si="31"/>
        <v>92587019.277256101</v>
      </c>
      <c r="M103" s="2">
        <f t="shared" si="41"/>
        <v>26219747.820696417</v>
      </c>
      <c r="N103" s="2">
        <f t="shared" si="42"/>
        <v>1.4269869576616818E+17</v>
      </c>
      <c r="O103" s="2">
        <f t="shared" si="43"/>
        <v>451252897756515.69</v>
      </c>
      <c r="P103" s="2">
        <f t="shared" si="44"/>
        <v>4.9262484883451138E+22</v>
      </c>
      <c r="Q103" s="2">
        <f t="shared" si="32"/>
        <v>3.7497742807288717E+19</v>
      </c>
    </row>
    <row r="104" spans="1:17" x14ac:dyDescent="0.2">
      <c r="A104">
        <f t="shared" si="33"/>
        <v>987</v>
      </c>
      <c r="B104">
        <f t="shared" si="28"/>
        <v>987000</v>
      </c>
      <c r="C104" s="1">
        <f t="shared" si="29"/>
        <v>31952151000</v>
      </c>
      <c r="D104">
        <f t="shared" si="34"/>
        <v>1966.5</v>
      </c>
      <c r="E104" s="2">
        <f t="shared" si="30"/>
        <v>540000</v>
      </c>
      <c r="F104" s="2">
        <f t="shared" si="35"/>
        <v>977330.11400000006</v>
      </c>
      <c r="G104" s="2">
        <f t="shared" si="36"/>
        <v>16350.267599999997</v>
      </c>
      <c r="H104" s="2">
        <f t="shared" si="37"/>
        <v>57225.936599999994</v>
      </c>
      <c r="I104" s="2">
        <f t="shared" si="38"/>
        <v>33.026982384068141</v>
      </c>
      <c r="J104" s="2">
        <f t="shared" si="39"/>
        <v>17.078446803437728</v>
      </c>
      <c r="K104">
        <f t="shared" si="40"/>
        <v>220514018347809.91</v>
      </c>
      <c r="L104" s="13">
        <f t="shared" si="31"/>
        <v>93019857.209228292</v>
      </c>
      <c r="M104" s="2">
        <f t="shared" si="41"/>
        <v>26126137.381556898</v>
      </c>
      <c r="N104" s="2">
        <f t="shared" si="42"/>
        <v>1.4390173233146032E+17</v>
      </c>
      <c r="O104" s="2">
        <f t="shared" si="43"/>
        <v>455057233411304.75</v>
      </c>
      <c r="P104" s="2">
        <f t="shared" si="44"/>
        <v>4.9086606653249257E+22</v>
      </c>
      <c r="Q104" s="2">
        <f t="shared" si="32"/>
        <v>3.7673042169737462E+19</v>
      </c>
    </row>
    <row r="105" spans="1:17" x14ac:dyDescent="0.2">
      <c r="A105">
        <f t="shared" si="33"/>
        <v>986</v>
      </c>
      <c r="B105">
        <f t="shared" si="28"/>
        <v>986000</v>
      </c>
      <c r="C105" s="1">
        <f t="shared" si="29"/>
        <v>31919778000</v>
      </c>
      <c r="D105">
        <f t="shared" si="34"/>
        <v>1966</v>
      </c>
      <c r="E105" s="2">
        <f t="shared" si="30"/>
        <v>540000</v>
      </c>
      <c r="F105" s="2">
        <f t="shared" si="35"/>
        <v>976876.89199999999</v>
      </c>
      <c r="G105" s="2">
        <f t="shared" si="36"/>
        <v>16346.110399999998</v>
      </c>
      <c r="H105" s="2">
        <f t="shared" si="37"/>
        <v>57211.386399999996</v>
      </c>
      <c r="I105" s="2">
        <f t="shared" si="38"/>
        <v>33.035381921805694</v>
      </c>
      <c r="J105" s="2">
        <f t="shared" si="39"/>
        <v>17.074868369209806</v>
      </c>
      <c r="K105">
        <f t="shared" si="40"/>
        <v>222374034870388.12</v>
      </c>
      <c r="L105" s="13">
        <f t="shared" si="31"/>
        <v>93454940.336132541</v>
      </c>
      <c r="M105" s="2">
        <f t="shared" si="41"/>
        <v>26032813.79305454</v>
      </c>
      <c r="N105" s="2">
        <f t="shared" si="42"/>
        <v>1.4511553089977616E+17</v>
      </c>
      <c r="O105" s="2">
        <f t="shared" si="43"/>
        <v>458895601507834.25</v>
      </c>
      <c r="P105" s="2">
        <f t="shared" si="44"/>
        <v>4.8911267367024771E+22</v>
      </c>
      <c r="Q105" s="2">
        <f t="shared" si="32"/>
        <v>3.7849250836133683E+19</v>
      </c>
    </row>
    <row r="106" spans="1:17" x14ac:dyDescent="0.2">
      <c r="A106">
        <f t="shared" si="33"/>
        <v>985</v>
      </c>
      <c r="B106">
        <f t="shared" si="28"/>
        <v>985000</v>
      </c>
      <c r="C106" s="1">
        <f t="shared" si="29"/>
        <v>31887405000</v>
      </c>
      <c r="D106">
        <f t="shared" si="34"/>
        <v>1965.5</v>
      </c>
      <c r="E106" s="2">
        <f t="shared" si="30"/>
        <v>540000</v>
      </c>
      <c r="F106" s="2">
        <f t="shared" si="35"/>
        <v>976423.66999999993</v>
      </c>
      <c r="G106" s="2">
        <f t="shared" si="36"/>
        <v>16341.953199999998</v>
      </c>
      <c r="H106" s="2">
        <f t="shared" si="37"/>
        <v>57196.836199999991</v>
      </c>
      <c r="I106" s="2">
        <f t="shared" si="38"/>
        <v>33.043785733029765</v>
      </c>
      <c r="J106" s="2">
        <f t="shared" si="39"/>
        <v>17.071288114359024</v>
      </c>
      <c r="K106">
        <f t="shared" si="40"/>
        <v>224250698800487</v>
      </c>
      <c r="L106" s="13">
        <f t="shared" si="31"/>
        <v>93892281.398611829</v>
      </c>
      <c r="M106" s="2">
        <f t="shared" si="41"/>
        <v>25939776.333481662</v>
      </c>
      <c r="N106" s="2">
        <f t="shared" si="42"/>
        <v>1.463401931347151E+17</v>
      </c>
      <c r="O106" s="2">
        <f t="shared" si="43"/>
        <v>462768323534633.5</v>
      </c>
      <c r="P106" s="2">
        <f t="shared" si="44"/>
        <v>4.8736465668810654E+22</v>
      </c>
      <c r="Q106" s="2">
        <f t="shared" si="32"/>
        <v>3.8026373966437794E+19</v>
      </c>
    </row>
    <row r="107" spans="1:17" x14ac:dyDescent="0.2">
      <c r="A107">
        <f t="shared" si="33"/>
        <v>984</v>
      </c>
      <c r="B107">
        <f t="shared" si="28"/>
        <v>984000</v>
      </c>
      <c r="C107" s="1">
        <f t="shared" si="29"/>
        <v>31855032000</v>
      </c>
      <c r="D107">
        <f t="shared" si="34"/>
        <v>1965</v>
      </c>
      <c r="E107" s="2">
        <f t="shared" si="30"/>
        <v>540000</v>
      </c>
      <c r="F107" s="2">
        <f t="shared" si="35"/>
        <v>975970.44799999997</v>
      </c>
      <c r="G107" s="2">
        <f t="shared" si="36"/>
        <v>16337.795999999998</v>
      </c>
      <c r="H107" s="2">
        <f t="shared" si="37"/>
        <v>57182.285999999993</v>
      </c>
      <c r="I107" s="2">
        <f t="shared" si="38"/>
        <v>33.05219382100254</v>
      </c>
      <c r="J107" s="2">
        <f t="shared" si="39"/>
        <v>17.067706037495601</v>
      </c>
      <c r="K107">
        <f t="shared" si="40"/>
        <v>226144167474517.22</v>
      </c>
      <c r="L107" s="13">
        <f t="shared" si="31"/>
        <v>94331893.215583161</v>
      </c>
      <c r="M107" s="2">
        <f t="shared" si="41"/>
        <v>25847024.282500271</v>
      </c>
      <c r="N107" s="2">
        <f t="shared" si="42"/>
        <v>1.4757582170994035E+17</v>
      </c>
      <c r="O107" s="2">
        <f t="shared" si="43"/>
        <v>466675724174334</v>
      </c>
      <c r="P107" s="2">
        <f t="shared" si="44"/>
        <v>4.8562200205213284E+22</v>
      </c>
      <c r="Q107" s="2">
        <f t="shared" si="32"/>
        <v>3.8204416752311181E+19</v>
      </c>
    </row>
    <row r="108" spans="1:17" x14ac:dyDescent="0.2">
      <c r="A108">
        <f t="shared" si="33"/>
        <v>983</v>
      </c>
      <c r="B108">
        <f t="shared" si="28"/>
        <v>983000</v>
      </c>
      <c r="C108" s="1">
        <f t="shared" si="29"/>
        <v>31822659000</v>
      </c>
      <c r="D108">
        <f t="shared" si="34"/>
        <v>1964.5</v>
      </c>
      <c r="E108" s="2">
        <f t="shared" si="30"/>
        <v>540000</v>
      </c>
      <c r="F108" s="2">
        <f t="shared" si="35"/>
        <v>975517.22600000002</v>
      </c>
      <c r="G108" s="2">
        <f t="shared" si="36"/>
        <v>16333.638799999999</v>
      </c>
      <c r="H108" s="2">
        <f t="shared" si="37"/>
        <v>57167.735799999995</v>
      </c>
      <c r="I108" s="2">
        <f t="shared" si="38"/>
        <v>33.06060618898956</v>
      </c>
      <c r="J108" s="2">
        <f t="shared" si="39"/>
        <v>17.064122137228324</v>
      </c>
      <c r="K108">
        <f t="shared" si="40"/>
        <v>228054599792836.62</v>
      </c>
      <c r="L108" s="13">
        <f t="shared" si="31"/>
        <v>94773788.684756488</v>
      </c>
      <c r="M108" s="2">
        <f t="shared" si="41"/>
        <v>25754556.921139963</v>
      </c>
      <c r="N108" s="2">
        <f t="shared" si="42"/>
        <v>1.4882252031970656E+17</v>
      </c>
      <c r="O108" s="2">
        <f t="shared" si="43"/>
        <v>470618131336960.62</v>
      </c>
      <c r="P108" s="2">
        <f t="shared" si="44"/>
        <v>4.8388469625408505E+22</v>
      </c>
      <c r="Q108" s="2">
        <f t="shared" si="32"/>
        <v>3.8383384417326375E+19</v>
      </c>
    </row>
    <row r="109" spans="1:17" x14ac:dyDescent="0.2">
      <c r="A109">
        <f t="shared" si="33"/>
        <v>982</v>
      </c>
      <c r="B109">
        <f t="shared" si="28"/>
        <v>982000</v>
      </c>
      <c r="C109" s="1">
        <f t="shared" si="29"/>
        <v>31790286000</v>
      </c>
      <c r="D109">
        <f t="shared" si="34"/>
        <v>1964</v>
      </c>
      <c r="E109" s="2">
        <f t="shared" si="30"/>
        <v>540000</v>
      </c>
      <c r="F109" s="2">
        <f t="shared" si="35"/>
        <v>975064.00399999996</v>
      </c>
      <c r="G109" s="2">
        <f t="shared" si="36"/>
        <v>16329.481599999999</v>
      </c>
      <c r="H109" s="2">
        <f t="shared" si="37"/>
        <v>57153.185599999997</v>
      </c>
      <c r="I109" s="2">
        <f t="shared" si="38"/>
        <v>33.06902284025967</v>
      </c>
      <c r="J109" s="2">
        <f t="shared" si="39"/>
        <v>17.060536412164574</v>
      </c>
      <c r="K109">
        <f t="shared" si="40"/>
        <v>229982156236032.66</v>
      </c>
      <c r="L109" s="13">
        <f t="shared" si="31"/>
        <v>95217980.783154383</v>
      </c>
      <c r="M109" s="2">
        <f t="shared" si="41"/>
        <v>25662373.531796914</v>
      </c>
      <c r="N109" s="2">
        <f t="shared" si="42"/>
        <v>1.5008039368948515E+17</v>
      </c>
      <c r="O109" s="2">
        <f t="shared" si="43"/>
        <v>474595876193532.12</v>
      </c>
      <c r="P109" s="2">
        <f t="shared" si="44"/>
        <v>4.8215272581139729E+22</v>
      </c>
      <c r="Q109" s="2">
        <f t="shared" si="32"/>
        <v>3.8563282217177522E+19</v>
      </c>
    </row>
    <row r="110" spans="1:17" x14ac:dyDescent="0.2">
      <c r="A110">
        <f t="shared" si="33"/>
        <v>981</v>
      </c>
      <c r="B110">
        <f t="shared" si="28"/>
        <v>981000</v>
      </c>
      <c r="C110" s="1">
        <f t="shared" si="29"/>
        <v>31757913000</v>
      </c>
      <c r="D110">
        <f t="shared" si="34"/>
        <v>1963.5</v>
      </c>
      <c r="E110" s="2">
        <f t="shared" si="30"/>
        <v>540000</v>
      </c>
      <c r="F110" s="2">
        <f t="shared" si="35"/>
        <v>974610.78200000001</v>
      </c>
      <c r="G110" s="2">
        <f t="shared" si="36"/>
        <v>16325.324399999998</v>
      </c>
      <c r="H110" s="2">
        <f t="shared" si="37"/>
        <v>57138.635399999992</v>
      </c>
      <c r="I110" s="2">
        <f t="shared" si="38"/>
        <v>33.077443778085055</v>
      </c>
      <c r="J110" s="2">
        <f t="shared" si="39"/>
        <v>17.056948860910321</v>
      </c>
      <c r="K110">
        <f t="shared" si="40"/>
        <v>231926998881401.25</v>
      </c>
      <c r="L110" s="13">
        <f t="shared" si="31"/>
        <v>95664482.567634225</v>
      </c>
      <c r="M110" s="2">
        <f t="shared" si="41"/>
        <v>25570473.398232423</v>
      </c>
      <c r="N110" s="2">
        <f t="shared" si="42"/>
        <v>1.5134954758671818E+17</v>
      </c>
      <c r="O110" s="2">
        <f t="shared" si="43"/>
        <v>478609293210067.75</v>
      </c>
      <c r="P110" s="2">
        <f t="shared" si="44"/>
        <v>4.8042607726715218E+22</v>
      </c>
      <c r="Q110" s="2">
        <f t="shared" si="32"/>
        <v>3.8744115439891857E+19</v>
      </c>
    </row>
    <row r="111" spans="1:17" x14ac:dyDescent="0.2">
      <c r="A111">
        <f t="shared" si="33"/>
        <v>980</v>
      </c>
      <c r="B111">
        <f t="shared" si="28"/>
        <v>980000</v>
      </c>
      <c r="C111" s="1">
        <f t="shared" si="29"/>
        <v>31725540000</v>
      </c>
      <c r="D111">
        <f t="shared" si="34"/>
        <v>1963</v>
      </c>
      <c r="E111" s="2">
        <f t="shared" si="30"/>
        <v>540000</v>
      </c>
      <c r="F111" s="2">
        <f t="shared" si="35"/>
        <v>974157.56</v>
      </c>
      <c r="G111" s="2">
        <f t="shared" si="36"/>
        <v>16321.167199999998</v>
      </c>
      <c r="H111" s="2">
        <f t="shared" si="37"/>
        <v>57124.085199999994</v>
      </c>
      <c r="I111" s="2">
        <f t="shared" si="38"/>
        <v>33.085869005741209</v>
      </c>
      <c r="J111" s="2">
        <f t="shared" si="39"/>
        <v>17.0533594820701</v>
      </c>
      <c r="K111">
        <f t="shared" si="40"/>
        <v>233889291419590.69</v>
      </c>
      <c r="L111" s="13">
        <f t="shared" si="31"/>
        <v>96113307.17541784</v>
      </c>
      <c r="M111" s="2">
        <f t="shared" si="41"/>
        <v>25478855.805570602</v>
      </c>
      <c r="N111" s="2">
        <f t="shared" si="42"/>
        <v>1.5263008883167965E+17</v>
      </c>
      <c r="O111" s="2">
        <f t="shared" si="43"/>
        <v>482658720181933.56</v>
      </c>
      <c r="P111" s="2">
        <f t="shared" si="44"/>
        <v>4.7870473719003723E+22</v>
      </c>
      <c r="Q111" s="2">
        <f t="shared" si="32"/>
        <v>3.8925889406044226E+19</v>
      </c>
    </row>
    <row r="112" spans="1:17" x14ac:dyDescent="0.2">
      <c r="A112">
        <f t="shared" si="33"/>
        <v>979</v>
      </c>
      <c r="B112">
        <f t="shared" si="28"/>
        <v>979000</v>
      </c>
      <c r="C112" s="1">
        <f t="shared" si="29"/>
        <v>31693167000</v>
      </c>
      <c r="D112">
        <f t="shared" si="34"/>
        <v>1962.5</v>
      </c>
      <c r="E112" s="2">
        <f t="shared" si="30"/>
        <v>540000</v>
      </c>
      <c r="F112" s="2">
        <f t="shared" si="35"/>
        <v>973704.33799999999</v>
      </c>
      <c r="G112" s="2">
        <f t="shared" si="36"/>
        <v>16317.009999999998</v>
      </c>
      <c r="H112" s="2">
        <f t="shared" si="37"/>
        <v>57109.534999999996</v>
      </c>
      <c r="I112" s="2">
        <f t="shared" si="38"/>
        <v>33.094298526507004</v>
      </c>
      <c r="J112" s="2">
        <f t="shared" si="39"/>
        <v>17.049768274247025</v>
      </c>
      <c r="K112">
        <f t="shared" si="40"/>
        <v>235869199171448.16</v>
      </c>
      <c r="L112" s="13">
        <f t="shared" si="31"/>
        <v>96564467.824621499</v>
      </c>
      <c r="M112" s="2">
        <f t="shared" si="41"/>
        <v>25387520.040297411</v>
      </c>
      <c r="N112" s="2">
        <f t="shared" si="42"/>
        <v>1.5392212530846902E+17</v>
      </c>
      <c r="O112" s="2">
        <f t="shared" si="43"/>
        <v>486744498268607.31</v>
      </c>
      <c r="P112" s="2">
        <f t="shared" si="44"/>
        <v>4.7698869217432688E+22</v>
      </c>
      <c r="Q112" s="2">
        <f t="shared" si="32"/>
        <v>3.9108609468971704E+19</v>
      </c>
    </row>
    <row r="113" spans="1:17" x14ac:dyDescent="0.2">
      <c r="A113">
        <f t="shared" si="33"/>
        <v>978</v>
      </c>
      <c r="B113">
        <f t="shared" si="28"/>
        <v>978000</v>
      </c>
      <c r="C113" s="1">
        <f t="shared" si="29"/>
        <v>31660794000</v>
      </c>
      <c r="D113">
        <f t="shared" si="34"/>
        <v>1962</v>
      </c>
      <c r="E113" s="2">
        <f t="shared" si="30"/>
        <v>540000</v>
      </c>
      <c r="F113" s="2">
        <f t="shared" si="35"/>
        <v>973251.11599999992</v>
      </c>
      <c r="G113" s="2">
        <f t="shared" si="36"/>
        <v>16312.852799999999</v>
      </c>
      <c r="H113" s="2">
        <f t="shared" si="37"/>
        <v>57094.984799999991</v>
      </c>
      <c r="I113" s="2">
        <f t="shared" si="38"/>
        <v>33.102732343664627</v>
      </c>
      <c r="J113" s="2">
        <f t="shared" si="39"/>
        <v>17.046175236042799</v>
      </c>
      <c r="K113">
        <f t="shared" si="40"/>
        <v>237866889105022.09</v>
      </c>
      <c r="L113" s="13">
        <f t="shared" si="31"/>
        <v>97017977.814791664</v>
      </c>
      <c r="M113" s="2">
        <f t="shared" si="41"/>
        <v>25296465.390259225</v>
      </c>
      <c r="N113" s="2">
        <f t="shared" si="42"/>
        <v>1.5522576597610672E+17</v>
      </c>
      <c r="O113" s="2">
        <f t="shared" si="43"/>
        <v>490866972028765</v>
      </c>
      <c r="P113" s="2">
        <f t="shared" si="44"/>
        <v>4.7527792883985516E+22</v>
      </c>
      <c r="Q113" s="2">
        <f t="shared" si="32"/>
        <v>3.9292281014990627E+19</v>
      </c>
    </row>
    <row r="114" spans="1:17" x14ac:dyDescent="0.2">
      <c r="A114">
        <f t="shared" si="33"/>
        <v>977</v>
      </c>
      <c r="B114">
        <f t="shared" si="28"/>
        <v>977000</v>
      </c>
      <c r="C114" s="1">
        <f t="shared" si="29"/>
        <v>31628421000</v>
      </c>
      <c r="D114">
        <f t="shared" si="34"/>
        <v>1961.5</v>
      </c>
      <c r="E114" s="2">
        <f t="shared" si="30"/>
        <v>540000</v>
      </c>
      <c r="F114" s="2">
        <f t="shared" si="35"/>
        <v>972797.89399999997</v>
      </c>
      <c r="G114" s="2">
        <f t="shared" si="36"/>
        <v>16308.695599999999</v>
      </c>
      <c r="H114" s="2">
        <f t="shared" si="37"/>
        <v>57080.434599999993</v>
      </c>
      <c r="I114" s="2">
        <f t="shared" si="38"/>
        <v>33.111170460499615</v>
      </c>
      <c r="J114" s="2">
        <f t="shared" si="39"/>
        <v>17.042580366057692</v>
      </c>
      <c r="K114">
        <f t="shared" si="40"/>
        <v>239882529852769.59</v>
      </c>
      <c r="L114" s="13">
        <f t="shared" si="31"/>
        <v>97473850.527442843</v>
      </c>
      <c r="M114" s="2">
        <f t="shared" si="41"/>
        <v>25205691.14466089</v>
      </c>
      <c r="N114" s="2">
        <f t="shared" si="42"/>
        <v>1.5654112087976301E+17</v>
      </c>
      <c r="O114" s="2">
        <f t="shared" si="43"/>
        <v>495026489455790.19</v>
      </c>
      <c r="P114" s="2">
        <f t="shared" si="44"/>
        <v>4.7357243383197993E+22</v>
      </c>
      <c r="Q114" s="2">
        <f t="shared" si="32"/>
        <v>3.9476909463614349E+19</v>
      </c>
    </row>
    <row r="115" spans="1:17" x14ac:dyDescent="0.2">
      <c r="A115">
        <f t="shared" si="33"/>
        <v>976</v>
      </c>
      <c r="B115">
        <f t="shared" si="28"/>
        <v>976000</v>
      </c>
      <c r="C115" s="1">
        <f t="shared" si="29"/>
        <v>31596048000</v>
      </c>
      <c r="D115">
        <f t="shared" si="34"/>
        <v>1961</v>
      </c>
      <c r="E115" s="2">
        <f t="shared" si="30"/>
        <v>540000</v>
      </c>
      <c r="F115" s="2">
        <f t="shared" si="35"/>
        <v>972344.67200000002</v>
      </c>
      <c r="G115" s="2">
        <f t="shared" si="36"/>
        <v>16304.538399999998</v>
      </c>
      <c r="H115" s="2">
        <f t="shared" si="37"/>
        <v>57065.884399999995</v>
      </c>
      <c r="I115" s="2">
        <f t="shared" si="38"/>
        <v>33.119612880300863</v>
      </c>
      <c r="J115" s="2">
        <f t="shared" si="39"/>
        <v>17.038983662890541</v>
      </c>
      <c r="K115">
        <f t="shared" si="40"/>
        <v>241916291728948.5</v>
      </c>
      <c r="L115" s="13">
        <f t="shared" si="31"/>
        <v>97932099.426600575</v>
      </c>
      <c r="M115" s="2">
        <f t="shared" si="41"/>
        <v>25115196.594064195</v>
      </c>
      <c r="N115" s="2">
        <f t="shared" si="42"/>
        <v>1.5786830116210778E+17</v>
      </c>
      <c r="O115" s="2">
        <f t="shared" si="43"/>
        <v>499223402013665</v>
      </c>
      <c r="P115" s="2">
        <f t="shared" si="44"/>
        <v>4.7187219382155331E+22</v>
      </c>
      <c r="Q115" s="2">
        <f t="shared" si="32"/>
        <v>3.9662500267773231E+19</v>
      </c>
    </row>
    <row r="116" spans="1:17" x14ac:dyDescent="0.2">
      <c r="A116">
        <f t="shared" si="33"/>
        <v>975</v>
      </c>
      <c r="B116">
        <f t="shared" si="28"/>
        <v>975000</v>
      </c>
      <c r="C116" s="1">
        <f t="shared" si="29"/>
        <v>31563675000</v>
      </c>
      <c r="D116">
        <f t="shared" si="34"/>
        <v>1960.5</v>
      </c>
      <c r="E116" s="2">
        <f t="shared" si="30"/>
        <v>540000</v>
      </c>
      <c r="F116" s="2">
        <f t="shared" si="35"/>
        <v>971891.45</v>
      </c>
      <c r="G116" s="2">
        <f t="shared" si="36"/>
        <v>16300.381199999998</v>
      </c>
      <c r="H116" s="2">
        <f t="shared" si="37"/>
        <v>57051.334199999998</v>
      </c>
      <c r="I116" s="2">
        <f t="shared" si="38"/>
        <v>33.128059606360623</v>
      </c>
      <c r="J116" s="2">
        <f t="shared" si="39"/>
        <v>17.035385125138756</v>
      </c>
      <c r="K116">
        <f t="shared" si="40"/>
        <v>243968346747194.44</v>
      </c>
      <c r="L116" s="13">
        <f t="shared" si="31"/>
        <v>98392738.059347928</v>
      </c>
      <c r="M116" s="2">
        <f t="shared" si="41"/>
        <v>25024981.030386459</v>
      </c>
      <c r="N116" s="2">
        <f t="shared" si="42"/>
        <v>1.592074190747808E+17</v>
      </c>
      <c r="O116" s="2">
        <f t="shared" si="43"/>
        <v>503458064673242.12</v>
      </c>
      <c r="P116" s="2">
        <f t="shared" si="44"/>
        <v>4.7017719550489582E+22</v>
      </c>
      <c r="Q116" s="2">
        <f t="shared" si="32"/>
        <v>3.9849058914035909E+19</v>
      </c>
    </row>
    <row r="117" spans="1:17" x14ac:dyDescent="0.2">
      <c r="A117">
        <f t="shared" si="33"/>
        <v>974</v>
      </c>
      <c r="B117">
        <f t="shared" si="28"/>
        <v>974000</v>
      </c>
      <c r="C117" s="1">
        <f t="shared" si="29"/>
        <v>31531302000</v>
      </c>
      <c r="D117">
        <f t="shared" si="34"/>
        <v>1960</v>
      </c>
      <c r="E117" s="2">
        <f t="shared" si="30"/>
        <v>540000</v>
      </c>
      <c r="F117" s="2">
        <f t="shared" si="35"/>
        <v>971438.228</v>
      </c>
      <c r="G117" s="2">
        <f t="shared" si="36"/>
        <v>16296.223999999998</v>
      </c>
      <c r="H117" s="2">
        <f t="shared" si="37"/>
        <v>57036.783999999992</v>
      </c>
      <c r="I117" s="2">
        <f t="shared" si="38"/>
        <v>33.136510641974489</v>
      </c>
      <c r="J117" s="2">
        <f t="shared" si="39"/>
        <v>17.031784751398327</v>
      </c>
      <c r="K117">
        <f t="shared" si="40"/>
        <v>246038868638289.62</v>
      </c>
      <c r="L117" s="13">
        <f t="shared" si="31"/>
        <v>98855780.056375846</v>
      </c>
      <c r="M117" s="2">
        <f t="shared" si="41"/>
        <v>24935043.746899206</v>
      </c>
      <c r="N117" s="2">
        <f t="shared" si="42"/>
        <v>1.6055858798998717E+17</v>
      </c>
      <c r="O117" s="2">
        <f t="shared" si="43"/>
        <v>507730835948913.19</v>
      </c>
      <c r="P117" s="2">
        <f t="shared" si="44"/>
        <v>4.6848742560377103E+22</v>
      </c>
      <c r="Q117" s="2">
        <f t="shared" si="32"/>
        <v>4.0036590922832216E+19</v>
      </c>
    </row>
    <row r="118" spans="1:17" x14ac:dyDescent="0.2">
      <c r="A118">
        <f t="shared" si="33"/>
        <v>973</v>
      </c>
      <c r="B118">
        <f t="shared" si="28"/>
        <v>973000</v>
      </c>
      <c r="C118" s="1">
        <f t="shared" si="29"/>
        <v>31498929000</v>
      </c>
      <c r="D118">
        <f t="shared" si="34"/>
        <v>1959.5</v>
      </c>
      <c r="E118" s="2">
        <f t="shared" si="30"/>
        <v>540000</v>
      </c>
      <c r="F118" s="2">
        <f t="shared" si="35"/>
        <v>970985.00600000005</v>
      </c>
      <c r="G118" s="2">
        <f t="shared" si="36"/>
        <v>16292.066799999999</v>
      </c>
      <c r="H118" s="2">
        <f t="shared" si="37"/>
        <v>57022.233799999995</v>
      </c>
      <c r="I118" s="2">
        <f t="shared" si="38"/>
        <v>33.144965990441435</v>
      </c>
      <c r="J118" s="2">
        <f t="shared" si="39"/>
        <v>17.028182540263796</v>
      </c>
      <c r="K118">
        <f t="shared" si="40"/>
        <v>248128032868134.41</v>
      </c>
      <c r="L118" s="13">
        <f t="shared" si="31"/>
        <v>99321239.132536352</v>
      </c>
      <c r="M118" s="2">
        <f t="shared" si="41"/>
        <v>24845384.038226008</v>
      </c>
      <c r="N118" s="2">
        <f t="shared" si="42"/>
        <v>1.6192192241222515E+17</v>
      </c>
      <c r="O118" s="2">
        <f t="shared" si="43"/>
        <v>512042077935694.88</v>
      </c>
      <c r="P118" s="2">
        <f t="shared" si="44"/>
        <v>4.6680287086534533E+22</v>
      </c>
      <c r="Q118" s="2">
        <f t="shared" si="32"/>
        <v>4.022510184867722E+19</v>
      </c>
    </row>
    <row r="119" spans="1:17" x14ac:dyDescent="0.2">
      <c r="A119">
        <f t="shared" si="33"/>
        <v>972</v>
      </c>
      <c r="B119">
        <f t="shared" si="28"/>
        <v>972000</v>
      </c>
      <c r="C119" s="1">
        <f t="shared" si="29"/>
        <v>31466556000</v>
      </c>
      <c r="D119">
        <f t="shared" si="34"/>
        <v>1959</v>
      </c>
      <c r="E119" s="2">
        <f t="shared" si="30"/>
        <v>540000</v>
      </c>
      <c r="F119" s="2">
        <f t="shared" si="35"/>
        <v>970531.78399999999</v>
      </c>
      <c r="G119" s="2">
        <f t="shared" si="36"/>
        <v>16287.909599999999</v>
      </c>
      <c r="H119" s="2">
        <f t="shared" si="37"/>
        <v>57007.683599999997</v>
      </c>
      <c r="I119" s="2">
        <f t="shared" si="38"/>
        <v>33.153425655063806</v>
      </c>
      <c r="J119" s="2">
        <f t="shared" si="39"/>
        <v>17.024578490328278</v>
      </c>
      <c r="K119">
        <f t="shared" si="40"/>
        <v>250236016655908.69</v>
      </c>
      <c r="L119" s="13">
        <f t="shared" si="31"/>
        <v>99789129.08740215</v>
      </c>
      <c r="M119" s="2">
        <f t="shared" si="41"/>
        <v>24756001.200341437</v>
      </c>
      <c r="N119" s="2">
        <f t="shared" si="42"/>
        <v>1.6329753799013776E+17</v>
      </c>
      <c r="O119" s="2">
        <f t="shared" si="43"/>
        <v>516392156346707.5</v>
      </c>
      <c r="P119" s="2">
        <f t="shared" si="44"/>
        <v>4.651235180621681E+22</v>
      </c>
      <c r="Q119" s="2">
        <f t="shared" si="32"/>
        <v>4.0414597280397869E+19</v>
      </c>
    </row>
    <row r="120" spans="1:17" x14ac:dyDescent="0.2">
      <c r="A120">
        <f t="shared" si="33"/>
        <v>971</v>
      </c>
      <c r="B120">
        <f t="shared" si="28"/>
        <v>971000</v>
      </c>
      <c r="C120" s="1">
        <f t="shared" si="29"/>
        <v>31434183000</v>
      </c>
      <c r="D120">
        <f t="shared" si="34"/>
        <v>1958.5</v>
      </c>
      <c r="E120" s="2">
        <f t="shared" si="30"/>
        <v>540000</v>
      </c>
      <c r="F120" s="2">
        <f t="shared" si="35"/>
        <v>970078.56199999992</v>
      </c>
      <c r="G120" s="2">
        <f t="shared" si="36"/>
        <v>16283.752399999998</v>
      </c>
      <c r="H120" s="2">
        <f t="shared" si="37"/>
        <v>56993.133399999992</v>
      </c>
      <c r="I120" s="2">
        <f t="shared" si="38"/>
        <v>33.161889639147304</v>
      </c>
      <c r="J120" s="2">
        <f t="shared" si="39"/>
        <v>17.020972600183448</v>
      </c>
      <c r="K120">
        <f t="shared" si="40"/>
        <v>252362998992426.53</v>
      </c>
      <c r="L120" s="13">
        <f t="shared" si="31"/>
        <v>100259463.8058276</v>
      </c>
      <c r="M120" s="2">
        <f t="shared" si="41"/>
        <v>24666894.530569281</v>
      </c>
      <c r="N120" s="2">
        <f t="shared" si="42"/>
        <v>1.6468555152849053E+17</v>
      </c>
      <c r="O120" s="2">
        <f t="shared" si="43"/>
        <v>520781440551051.75</v>
      </c>
      <c r="P120" s="2">
        <f t="shared" si="44"/>
        <v>4.6344935399213819E+22</v>
      </c>
      <c r="Q120" s="2">
        <f t="shared" si="32"/>
        <v>4.0605082841360179E+19</v>
      </c>
    </row>
    <row r="121" spans="1:17" x14ac:dyDescent="0.2">
      <c r="A121">
        <f t="shared" si="33"/>
        <v>970</v>
      </c>
      <c r="B121">
        <f t="shared" si="28"/>
        <v>970000</v>
      </c>
      <c r="C121" s="1">
        <f t="shared" si="29"/>
        <v>31401810000</v>
      </c>
      <c r="D121">
        <f t="shared" si="34"/>
        <v>1958</v>
      </c>
      <c r="E121" s="2">
        <f t="shared" si="30"/>
        <v>540000</v>
      </c>
      <c r="F121" s="2">
        <f t="shared" si="35"/>
        <v>969625.34</v>
      </c>
      <c r="G121" s="2">
        <f t="shared" si="36"/>
        <v>16279.595199999998</v>
      </c>
      <c r="H121" s="2">
        <f t="shared" si="37"/>
        <v>56978.583199999994</v>
      </c>
      <c r="I121" s="2">
        <f t="shared" si="38"/>
        <v>33.170357946001019</v>
      </c>
      <c r="J121" s="2">
        <f t="shared" si="39"/>
        <v>17.017364868419545</v>
      </c>
      <c r="K121">
        <f t="shared" si="40"/>
        <v>254509160658705.59</v>
      </c>
      <c r="L121" s="13">
        <f t="shared" si="31"/>
        <v>100732257.2585142</v>
      </c>
      <c r="M121" s="2">
        <f t="shared" si="41"/>
        <v>24578063.327581029</v>
      </c>
      <c r="N121" s="2">
        <f t="shared" si="42"/>
        <v>1.660860810002895E+17</v>
      </c>
      <c r="O121" s="2">
        <f t="shared" si="43"/>
        <v>525210303612129.06</v>
      </c>
      <c r="P121" s="2">
        <f t="shared" si="44"/>
        <v>4.6178036547847545E+22</v>
      </c>
      <c r="Q121" s="2">
        <f t="shared" si="32"/>
        <v>4.0796564189698253E+19</v>
      </c>
    </row>
    <row r="122" spans="1:17" x14ac:dyDescent="0.2">
      <c r="A122">
        <f t="shared" si="33"/>
        <v>969</v>
      </c>
      <c r="B122">
        <f t="shared" si="28"/>
        <v>969000</v>
      </c>
      <c r="C122" s="1">
        <f t="shared" si="29"/>
        <v>31369437000</v>
      </c>
      <c r="D122">
        <f t="shared" si="34"/>
        <v>1957.5</v>
      </c>
      <c r="E122" s="2">
        <f t="shared" si="30"/>
        <v>540000</v>
      </c>
      <c r="F122" s="2">
        <f t="shared" si="35"/>
        <v>969172.11800000002</v>
      </c>
      <c r="G122" s="2">
        <f t="shared" si="36"/>
        <v>16275.437999999998</v>
      </c>
      <c r="H122" s="2">
        <f t="shared" si="37"/>
        <v>56964.032999999996</v>
      </c>
      <c r="I122" s="2">
        <f t="shared" si="38"/>
        <v>33.178830578937415</v>
      </c>
      <c r="J122" s="2">
        <f t="shared" si="39"/>
        <v>17.013755293625366</v>
      </c>
      <c r="K122">
        <f t="shared" si="40"/>
        <v>256674684244727.91</v>
      </c>
      <c r="L122" s="13">
        <f t="shared" si="31"/>
        <v>101207523.502582</v>
      </c>
      <c r="M122" s="2">
        <f t="shared" si="41"/>
        <v>24489506.891394362</v>
      </c>
      <c r="N122" s="2">
        <f t="shared" si="42"/>
        <v>1.67499245559024E+17</v>
      </c>
      <c r="O122" s="2">
        <f t="shared" si="43"/>
        <v>529679122326356.75</v>
      </c>
      <c r="P122" s="2">
        <f t="shared" si="44"/>
        <v>4.6011653936969247E+22</v>
      </c>
      <c r="Q122" s="2">
        <f t="shared" si="32"/>
        <v>4.0989047018545709E+19</v>
      </c>
    </row>
    <row r="123" spans="1:17" x14ac:dyDescent="0.2">
      <c r="A123">
        <f t="shared" si="33"/>
        <v>968</v>
      </c>
      <c r="B123">
        <f t="shared" si="28"/>
        <v>968000</v>
      </c>
      <c r="C123" s="1">
        <f t="shared" si="29"/>
        <v>31337064000</v>
      </c>
      <c r="D123">
        <f t="shared" si="34"/>
        <v>1957</v>
      </c>
      <c r="E123" s="2">
        <f t="shared" si="30"/>
        <v>540000</v>
      </c>
      <c r="F123" s="2">
        <f t="shared" si="35"/>
        <v>968718.89599999995</v>
      </c>
      <c r="G123" s="2">
        <f t="shared" si="36"/>
        <v>16271.280799999999</v>
      </c>
      <c r="H123" s="2">
        <f t="shared" si="37"/>
        <v>56949.482799999991</v>
      </c>
      <c r="I123" s="2">
        <f t="shared" si="38"/>
        <v>33.187307541272354</v>
      </c>
      <c r="J123" s="2">
        <f t="shared" si="39"/>
        <v>17.01014387438827</v>
      </c>
      <c r="K123">
        <f t="shared" si="40"/>
        <v>258859754168414.56</v>
      </c>
      <c r="L123" s="13">
        <f t="shared" si="31"/>
        <v>101685276.68214241</v>
      </c>
      <c r="M123" s="2">
        <f t="shared" si="41"/>
        <v>24401224.523371637</v>
      </c>
      <c r="N123" s="2">
        <f t="shared" si="42"/>
        <v>1.6892516555104886E+17</v>
      </c>
      <c r="O123" s="2">
        <f t="shared" si="43"/>
        <v>534188277262324.5</v>
      </c>
      <c r="P123" s="2">
        <f t="shared" si="44"/>
        <v>4.5845786253956607E+22</v>
      </c>
      <c r="Q123" s="2">
        <f t="shared" si="32"/>
        <v>4.1182537056267674E+19</v>
      </c>
    </row>
    <row r="124" spans="1:17" x14ac:dyDescent="0.2">
      <c r="A124">
        <f t="shared" si="33"/>
        <v>967</v>
      </c>
      <c r="B124">
        <f t="shared" si="28"/>
        <v>967000</v>
      </c>
      <c r="C124" s="1">
        <f t="shared" si="29"/>
        <v>31304691000</v>
      </c>
      <c r="D124">
        <f t="shared" si="34"/>
        <v>1956.5</v>
      </c>
      <c r="E124" s="2">
        <f t="shared" si="30"/>
        <v>540000</v>
      </c>
      <c r="F124" s="2">
        <f t="shared" si="35"/>
        <v>968265.674</v>
      </c>
      <c r="G124" s="2">
        <f t="shared" si="36"/>
        <v>16267.123599999999</v>
      </c>
      <c r="H124" s="2">
        <f t="shared" si="37"/>
        <v>56934.932599999993</v>
      </c>
      <c r="I124" s="2">
        <f t="shared" si="38"/>
        <v>33.195788836325065</v>
      </c>
      <c r="J124" s="2">
        <f t="shared" si="39"/>
        <v>17.006530609294163</v>
      </c>
      <c r="K124">
        <f t="shared" si="40"/>
        <v>261064556694796.06</v>
      </c>
      <c r="L124" s="13">
        <f t="shared" si="31"/>
        <v>102165531.02887703</v>
      </c>
      <c r="M124" s="2">
        <f t="shared" si="41"/>
        <v>24313215.526218034</v>
      </c>
      <c r="N124" s="2">
        <f t="shared" si="42"/>
        <v>1.7036396252809478E+17</v>
      </c>
      <c r="O124" s="2">
        <f t="shared" si="43"/>
        <v>538738152800354.56</v>
      </c>
      <c r="P124" s="2">
        <f t="shared" si="44"/>
        <v>4.5680432188710223E+22</v>
      </c>
      <c r="Q124" s="2">
        <f t="shared" si="32"/>
        <v>4.1377040066695201E+19</v>
      </c>
    </row>
    <row r="125" spans="1:17" x14ac:dyDescent="0.2">
      <c r="A125">
        <f t="shared" si="33"/>
        <v>966</v>
      </c>
      <c r="B125">
        <f t="shared" si="28"/>
        <v>966000</v>
      </c>
      <c r="C125" s="1">
        <f t="shared" si="29"/>
        <v>31272318000</v>
      </c>
      <c r="D125">
        <f t="shared" si="34"/>
        <v>1956</v>
      </c>
      <c r="E125" s="2">
        <f t="shared" si="30"/>
        <v>540000</v>
      </c>
      <c r="F125" s="2">
        <f t="shared" si="35"/>
        <v>967812.45200000005</v>
      </c>
      <c r="G125" s="2">
        <f t="shared" si="36"/>
        <v>16262.966399999998</v>
      </c>
      <c r="H125" s="2">
        <f t="shared" si="37"/>
        <v>56920.382399999995</v>
      </c>
      <c r="I125" s="2">
        <f t="shared" si="38"/>
        <v>33.204274467418202</v>
      </c>
      <c r="J125" s="2">
        <f t="shared" si="39"/>
        <v>17.002915496927514</v>
      </c>
      <c r="K125">
        <f t="shared" si="40"/>
        <v>263289279955414.59</v>
      </c>
      <c r="L125" s="13">
        <f t="shared" si="31"/>
        <v>102648300.86261937</v>
      </c>
      <c r="M125" s="2">
        <f t="shared" si="41"/>
        <v>24225479.203980379</v>
      </c>
      <c r="N125" s="2">
        <f t="shared" si="42"/>
        <v>1.7181575925992954E+17</v>
      </c>
      <c r="O125" s="2">
        <f t="shared" si="43"/>
        <v>543329137172541.12</v>
      </c>
      <c r="P125" s="2">
        <f t="shared" si="44"/>
        <v>4.5515590433651451E+22</v>
      </c>
      <c r="Q125" s="2">
        <f t="shared" si="32"/>
        <v>4.1572561849360843E+19</v>
      </c>
    </row>
    <row r="126" spans="1:17" x14ac:dyDescent="0.2">
      <c r="A126">
        <f t="shared" si="33"/>
        <v>965</v>
      </c>
      <c r="B126">
        <f t="shared" si="28"/>
        <v>965000</v>
      </c>
      <c r="C126" s="1">
        <f t="shared" si="29"/>
        <v>31239945000</v>
      </c>
      <c r="D126">
        <f t="shared" si="34"/>
        <v>1955.5</v>
      </c>
      <c r="E126" s="2">
        <f t="shared" si="30"/>
        <v>540000</v>
      </c>
      <c r="F126" s="2">
        <f t="shared" si="35"/>
        <v>967359.23</v>
      </c>
      <c r="G126" s="2">
        <f t="shared" si="36"/>
        <v>16258.809199999998</v>
      </c>
      <c r="H126" s="2">
        <f t="shared" si="37"/>
        <v>56905.832199999997</v>
      </c>
      <c r="I126" s="2">
        <f t="shared" si="38"/>
        <v>33.21276443787778</v>
      </c>
      <c r="J126" s="2">
        <f t="shared" si="39"/>
        <v>16.999298535871336</v>
      </c>
      <c r="K126">
        <f t="shared" si="40"/>
        <v>265534113967907.81</v>
      </c>
      <c r="L126" s="13">
        <f t="shared" si="31"/>
        <v>103133600.59194107</v>
      </c>
      <c r="M126" s="2">
        <f t="shared" si="41"/>
        <v>24138014.862045284</v>
      </c>
      <c r="N126" s="2">
        <f t="shared" si="42"/>
        <v>1.7328067974713795E+17</v>
      </c>
      <c r="O126" s="2">
        <f t="shared" si="43"/>
        <v>547961622503163.19</v>
      </c>
      <c r="P126" s="2">
        <f t="shared" si="44"/>
        <v>4.5351259683718854E+22</v>
      </c>
      <c r="Q126" s="2">
        <f t="shared" si="32"/>
        <v>4.1769108239736136E+19</v>
      </c>
    </row>
    <row r="127" spans="1:17" x14ac:dyDescent="0.2">
      <c r="A127">
        <f t="shared" si="33"/>
        <v>964</v>
      </c>
      <c r="B127">
        <f t="shared" si="28"/>
        <v>964000</v>
      </c>
      <c r="C127" s="1">
        <f t="shared" si="29"/>
        <v>31207572000</v>
      </c>
      <c r="D127">
        <f t="shared" si="34"/>
        <v>1955</v>
      </c>
      <c r="E127" s="2">
        <f t="shared" si="30"/>
        <v>540000</v>
      </c>
      <c r="F127" s="2">
        <f t="shared" si="35"/>
        <v>966906.00799999991</v>
      </c>
      <c r="G127" s="2">
        <f t="shared" si="36"/>
        <v>16254.651999999998</v>
      </c>
      <c r="H127" s="2">
        <f t="shared" si="37"/>
        <v>56891.281999999992</v>
      </c>
      <c r="I127" s="2">
        <f t="shared" si="38"/>
        <v>33.221258751033247</v>
      </c>
      <c r="J127" s="2">
        <f t="shared" si="39"/>
        <v>16.995679724707205</v>
      </c>
      <c r="K127">
        <f t="shared" si="40"/>
        <v>267799250655842.78</v>
      </c>
      <c r="L127" s="13">
        <f t="shared" si="31"/>
        <v>103621444.71474308</v>
      </c>
      <c r="M127" s="2">
        <f t="shared" si="41"/>
        <v>24050821.807137996</v>
      </c>
      <c r="N127" s="2">
        <f t="shared" si="42"/>
        <v>1.7475884923406493E+17</v>
      </c>
      <c r="O127" s="2">
        <f t="shared" si="43"/>
        <v>552636004849614.94</v>
      </c>
      <c r="P127" s="2">
        <f t="shared" si="44"/>
        <v>4.5187438636366073E+22</v>
      </c>
      <c r="Q127" s="2">
        <f t="shared" si="32"/>
        <v>4.1966685109470945E+19</v>
      </c>
    </row>
    <row r="128" spans="1:17" x14ac:dyDescent="0.2">
      <c r="A128">
        <f t="shared" si="33"/>
        <v>963</v>
      </c>
      <c r="B128">
        <f t="shared" si="28"/>
        <v>963000</v>
      </c>
      <c r="C128" s="1">
        <f t="shared" si="29"/>
        <v>31175199000</v>
      </c>
      <c r="D128">
        <f t="shared" si="34"/>
        <v>1954.5</v>
      </c>
      <c r="E128" s="2">
        <f t="shared" si="30"/>
        <v>540000</v>
      </c>
      <c r="F128" s="2">
        <f t="shared" si="35"/>
        <v>966452.78599999996</v>
      </c>
      <c r="G128" s="2">
        <f t="shared" si="36"/>
        <v>16250.494799999999</v>
      </c>
      <c r="H128" s="2">
        <f t="shared" si="37"/>
        <v>56876.731799999994</v>
      </c>
      <c r="I128" s="2">
        <f t="shared" si="38"/>
        <v>33.229757410217445</v>
      </c>
      <c r="J128" s="2">
        <f t="shared" si="39"/>
        <v>16.992059062015233</v>
      </c>
      <c r="K128">
        <f t="shared" si="40"/>
        <v>270084883868739.81</v>
      </c>
      <c r="L128" s="13">
        <f t="shared" si="31"/>
        <v>104111847.81884995</v>
      </c>
      <c r="M128" s="2">
        <f t="shared" si="41"/>
        <v>23963899.347320259</v>
      </c>
      <c r="N128" s="2">
        <f t="shared" si="42"/>
        <v>1.7625039422188256E+17</v>
      </c>
      <c r="O128" s="2">
        <f t="shared" si="43"/>
        <v>557352684243726.75</v>
      </c>
      <c r="P128" s="2">
        <f t="shared" si="44"/>
        <v>4.5024125991557811E+22</v>
      </c>
      <c r="Q128" s="2">
        <f t="shared" si="32"/>
        <v>4.216529836663423E+19</v>
      </c>
    </row>
    <row r="129" spans="1:17" x14ac:dyDescent="0.2">
      <c r="A129">
        <f t="shared" si="33"/>
        <v>962</v>
      </c>
      <c r="B129">
        <f t="shared" si="28"/>
        <v>962000</v>
      </c>
      <c r="C129" s="1">
        <f t="shared" si="29"/>
        <v>31142826000</v>
      </c>
      <c r="D129">
        <f t="shared" si="34"/>
        <v>1954</v>
      </c>
      <c r="E129" s="2">
        <f t="shared" si="30"/>
        <v>540000</v>
      </c>
      <c r="F129" s="2">
        <f t="shared" si="35"/>
        <v>965999.56400000001</v>
      </c>
      <c r="G129" s="2">
        <f t="shared" si="36"/>
        <v>16246.337599999999</v>
      </c>
      <c r="H129" s="2">
        <f t="shared" si="37"/>
        <v>56862.181599999996</v>
      </c>
      <c r="I129" s="2">
        <f t="shared" si="38"/>
        <v>33.238260418766629</v>
      </c>
      <c r="J129" s="2">
        <f t="shared" si="39"/>
        <v>16.988436546374086</v>
      </c>
      <c r="K129">
        <f t="shared" si="40"/>
        <v>272391209402329.22</v>
      </c>
      <c r="L129" s="13">
        <f t="shared" si="31"/>
        <v>104604824.58260851</v>
      </c>
      <c r="M129" s="2">
        <f t="shared" si="41"/>
        <v>23877246.791989245</v>
      </c>
      <c r="N129" s="2">
        <f t="shared" si="42"/>
        <v>1.7775544248180918E+17</v>
      </c>
      <c r="O129" s="2">
        <f t="shared" si="43"/>
        <v>562112064733567.94</v>
      </c>
      <c r="P129" s="2">
        <f t="shared" si="44"/>
        <v>4.4861320451767797E+22</v>
      </c>
      <c r="Q129" s="2">
        <f t="shared" si="32"/>
        <v>4.2364953955956441E+19</v>
      </c>
    </row>
    <row r="130" spans="1:17" x14ac:dyDescent="0.2">
      <c r="A130">
        <f t="shared" si="33"/>
        <v>961</v>
      </c>
      <c r="B130">
        <f t="shared" si="28"/>
        <v>961000</v>
      </c>
      <c r="C130" s="1">
        <f t="shared" si="29"/>
        <v>31110453000</v>
      </c>
      <c r="D130">
        <f t="shared" si="34"/>
        <v>1953.5</v>
      </c>
      <c r="E130" s="2">
        <f t="shared" si="30"/>
        <v>540000</v>
      </c>
      <c r="F130" s="2">
        <f t="shared" si="35"/>
        <v>965546.34199999995</v>
      </c>
      <c r="G130" s="2">
        <f t="shared" si="36"/>
        <v>16242.180399999997</v>
      </c>
      <c r="H130" s="2">
        <f t="shared" si="37"/>
        <v>56847.631399999991</v>
      </c>
      <c r="I130" s="2">
        <f t="shared" si="38"/>
        <v>33.246767780020477</v>
      </c>
      <c r="J130" s="2">
        <f t="shared" si="39"/>
        <v>16.984812176360968</v>
      </c>
      <c r="K130">
        <f t="shared" si="40"/>
        <v>274718425019030.66</v>
      </c>
      <c r="L130" s="13">
        <f t="shared" si="31"/>
        <v>105100389.77549076</v>
      </c>
      <c r="M130" s="2">
        <f t="shared" si="41"/>
        <v>23790863.451875687</v>
      </c>
      <c r="N130" s="2">
        <f t="shared" si="42"/>
        <v>1.7927412306847354E+17</v>
      </c>
      <c r="O130" s="2">
        <f t="shared" si="43"/>
        <v>566914554425708</v>
      </c>
      <c r="P130" s="2">
        <f t="shared" si="44"/>
        <v>4.4699020721975311E+22</v>
      </c>
      <c r="Q130" s="2">
        <f t="shared" si="32"/>
        <v>4.2565657859073761E+19</v>
      </c>
    </row>
    <row r="131" spans="1:17" x14ac:dyDescent="0.2">
      <c r="A131">
        <f t="shared" si="33"/>
        <v>960</v>
      </c>
      <c r="B131">
        <f t="shared" si="28"/>
        <v>960000</v>
      </c>
      <c r="C131" s="1">
        <f t="shared" si="29"/>
        <v>31078080000</v>
      </c>
      <c r="D131">
        <f t="shared" si="34"/>
        <v>1953</v>
      </c>
      <c r="E131" s="2">
        <f t="shared" si="30"/>
        <v>540000</v>
      </c>
      <c r="F131" s="2">
        <f t="shared" si="35"/>
        <v>965093.12</v>
      </c>
      <c r="G131" s="2">
        <f t="shared" si="36"/>
        <v>16238.023199999998</v>
      </c>
      <c r="H131" s="2">
        <f t="shared" si="37"/>
        <v>56833.081199999993</v>
      </c>
      <c r="I131" s="2">
        <f t="shared" si="38"/>
        <v>33.255279497322064</v>
      </c>
      <c r="J131" s="2">
        <f t="shared" si="39"/>
        <v>16.981185950551634</v>
      </c>
      <c r="K131">
        <f t="shared" si="40"/>
        <v>277066730468646.22</v>
      </c>
      <c r="L131" s="13">
        <f t="shared" si="31"/>
        <v>105598558.25870258</v>
      </c>
      <c r="M131" s="2">
        <f t="shared" si="41"/>
        <v>23704748.639042545</v>
      </c>
      <c r="N131" s="2">
        <f t="shared" si="42"/>
        <v>1.8080656633341866E+17</v>
      </c>
      <c r="O131" s="2">
        <f t="shared" si="43"/>
        <v>571760565527919.5</v>
      </c>
      <c r="P131" s="2">
        <f t="shared" si="44"/>
        <v>4.4537225509662659E+22</v>
      </c>
      <c r="Q131" s="2">
        <f t="shared" si="32"/>
        <v>4.2767416094774542E+19</v>
      </c>
    </row>
    <row r="132" spans="1:17" x14ac:dyDescent="0.2">
      <c r="A132">
        <f t="shared" si="33"/>
        <v>959</v>
      </c>
      <c r="B132">
        <f t="shared" si="28"/>
        <v>959000</v>
      </c>
      <c r="C132" s="1">
        <f t="shared" si="29"/>
        <v>31045707000</v>
      </c>
      <c r="D132">
        <f t="shared" si="34"/>
        <v>1952.5</v>
      </c>
      <c r="E132" s="2">
        <f t="shared" si="30"/>
        <v>540000</v>
      </c>
      <c r="F132" s="2">
        <f t="shared" si="35"/>
        <v>964639.89800000004</v>
      </c>
      <c r="G132" s="2">
        <f t="shared" si="36"/>
        <v>16233.865999999998</v>
      </c>
      <c r="H132" s="2">
        <f t="shared" si="37"/>
        <v>56818.530999999995</v>
      </c>
      <c r="I132" s="2">
        <f t="shared" si="38"/>
        <v>33.263795574017927</v>
      </c>
      <c r="J132" s="2">
        <f t="shared" si="39"/>
        <v>16.977557867520371</v>
      </c>
      <c r="K132">
        <f t="shared" si="40"/>
        <v>279436327509306.41</v>
      </c>
      <c r="L132" s="13">
        <f t="shared" si="31"/>
        <v>106099344.98579368</v>
      </c>
      <c r="M132" s="2">
        <f t="shared" si="41"/>
        <v>23618901.666883234</v>
      </c>
      <c r="N132" s="2">
        <f t="shared" si="42"/>
        <v>1.8235290393877069E+17</v>
      </c>
      <c r="O132" s="2">
        <f t="shared" si="43"/>
        <v>576650514392402.38</v>
      </c>
      <c r="P132" s="2">
        <f t="shared" si="44"/>
        <v>4.4375933524811836E+22</v>
      </c>
      <c r="Q132" s="2">
        <f t="shared" si="32"/>
        <v>4.2970234719246442E+19</v>
      </c>
    </row>
    <row r="133" spans="1:17" x14ac:dyDescent="0.2">
      <c r="A133">
        <f t="shared" si="33"/>
        <v>958</v>
      </c>
      <c r="B133">
        <f t="shared" si="28"/>
        <v>958000</v>
      </c>
      <c r="C133" s="1">
        <f t="shared" si="29"/>
        <v>31013334000</v>
      </c>
      <c r="D133">
        <f t="shared" si="34"/>
        <v>1952</v>
      </c>
      <c r="E133" s="2">
        <f t="shared" si="30"/>
        <v>540000</v>
      </c>
      <c r="F133" s="2">
        <f t="shared" si="35"/>
        <v>964186.67599999998</v>
      </c>
      <c r="G133" s="2">
        <f t="shared" si="36"/>
        <v>16229.708799999999</v>
      </c>
      <c r="H133" s="2">
        <f t="shared" si="37"/>
        <v>56803.980799999998</v>
      </c>
      <c r="I133" s="2">
        <f t="shared" si="38"/>
        <v>33.272316013457989</v>
      </c>
      <c r="J133" s="2">
        <f t="shared" si="39"/>
        <v>16.973927925840016</v>
      </c>
      <c r="K133">
        <f t="shared" si="40"/>
        <v>281827419928609.06</v>
      </c>
      <c r="L133" s="13">
        <f t="shared" si="31"/>
        <v>106602765.00327535</v>
      </c>
      <c r="M133" s="2">
        <f t="shared" si="41"/>
        <v>23533321.850120354</v>
      </c>
      <c r="N133" s="2">
        <f t="shared" si="42"/>
        <v>1.8391326887103347E+17</v>
      </c>
      <c r="O133" s="2">
        <f t="shared" si="43"/>
        <v>581584821559407.12</v>
      </c>
      <c r="P133" s="2">
        <f t="shared" si="44"/>
        <v>4.4215143479902174E+22</v>
      </c>
      <c r="Q133" s="2">
        <f t="shared" si="32"/>
        <v>4.317411982632652E+19</v>
      </c>
    </row>
    <row r="134" spans="1:17" x14ac:dyDescent="0.2">
      <c r="A134">
        <f t="shared" si="33"/>
        <v>957</v>
      </c>
      <c r="B134">
        <f t="shared" si="28"/>
        <v>957000</v>
      </c>
      <c r="C134" s="1">
        <f t="shared" si="29"/>
        <v>30980961000</v>
      </c>
      <c r="D134">
        <f t="shared" si="34"/>
        <v>1951.5</v>
      </c>
      <c r="E134" s="2">
        <f t="shared" si="30"/>
        <v>540000</v>
      </c>
      <c r="F134" s="2">
        <f t="shared" si="35"/>
        <v>963733.45399999991</v>
      </c>
      <c r="G134" s="2">
        <f t="shared" si="36"/>
        <v>16225.551599999999</v>
      </c>
      <c r="H134" s="2">
        <f t="shared" si="37"/>
        <v>56789.430599999992</v>
      </c>
      <c r="I134" s="2">
        <f t="shared" si="38"/>
        <v>33.280840818995642</v>
      </c>
      <c r="J134" s="2">
        <f t="shared" si="39"/>
        <v>16.970296124081933</v>
      </c>
      <c r="K134">
        <f t="shared" si="40"/>
        <v>284240213565032.88</v>
      </c>
      <c r="L134" s="13">
        <f t="shared" si="31"/>
        <v>107108833.45124036</v>
      </c>
      <c r="M134" s="2">
        <f t="shared" si="41"/>
        <v>23448008.504803769</v>
      </c>
      <c r="N134" s="2">
        <f t="shared" si="42"/>
        <v>1.8548779545506256E+17</v>
      </c>
      <c r="O134" s="2">
        <f t="shared" si="43"/>
        <v>586563911801423.62</v>
      </c>
      <c r="P134" s="2">
        <f t="shared" si="44"/>
        <v>4.405485408990668E+22</v>
      </c>
      <c r="Q134" s="2">
        <f t="shared" si="32"/>
        <v>4.337907754775235E+19</v>
      </c>
    </row>
    <row r="135" spans="1:17" x14ac:dyDescent="0.2">
      <c r="A135">
        <f t="shared" si="33"/>
        <v>956</v>
      </c>
      <c r="B135">
        <f t="shared" si="28"/>
        <v>956000</v>
      </c>
      <c r="C135" s="1">
        <f t="shared" si="29"/>
        <v>30948588000</v>
      </c>
      <c r="D135">
        <f t="shared" si="34"/>
        <v>1951</v>
      </c>
      <c r="E135" s="2">
        <f t="shared" si="30"/>
        <v>540000</v>
      </c>
      <c r="F135" s="2">
        <f t="shared" si="35"/>
        <v>963280.23199999996</v>
      </c>
      <c r="G135" s="2">
        <f t="shared" si="36"/>
        <v>16221.394399999997</v>
      </c>
      <c r="H135" s="2">
        <f t="shared" si="37"/>
        <v>56774.880399999995</v>
      </c>
      <c r="I135" s="2">
        <f t="shared" si="38"/>
        <v>33.289369993987698</v>
      </c>
      <c r="J135" s="2">
        <f t="shared" si="39"/>
        <v>16.966662460816035</v>
      </c>
      <c r="K135">
        <f t="shared" si="40"/>
        <v>286674916329550.81</v>
      </c>
      <c r="L135" s="13">
        <f t="shared" si="31"/>
        <v>107617565.56398755</v>
      </c>
      <c r="M135" s="2">
        <f t="shared" si="41"/>
        <v>23362960.948309503</v>
      </c>
      <c r="N135" s="2">
        <f t="shared" si="42"/>
        <v>1.8707661936816963E+17</v>
      </c>
      <c r="O135" s="2">
        <f t="shared" si="43"/>
        <v>591588214167783.25</v>
      </c>
      <c r="P135" s="2">
        <f t="shared" si="44"/>
        <v>4.3895064072290036E+22</v>
      </c>
      <c r="Q135" s="2">
        <f t="shared" si="32"/>
        <v>4.3585114053414961E+19</v>
      </c>
    </row>
    <row r="136" spans="1:17" x14ac:dyDescent="0.2">
      <c r="A136">
        <f t="shared" si="33"/>
        <v>955</v>
      </c>
      <c r="B136">
        <f t="shared" si="28"/>
        <v>955000</v>
      </c>
      <c r="C136" s="1">
        <f t="shared" si="29"/>
        <v>30916215000</v>
      </c>
      <c r="D136">
        <f t="shared" si="34"/>
        <v>1950.5</v>
      </c>
      <c r="E136" s="2">
        <f t="shared" si="30"/>
        <v>540000</v>
      </c>
      <c r="F136" s="2">
        <f t="shared" si="35"/>
        <v>962827.01</v>
      </c>
      <c r="G136" s="2">
        <f t="shared" si="36"/>
        <v>16217.237199999998</v>
      </c>
      <c r="H136" s="2">
        <f t="shared" si="37"/>
        <v>56760.330199999997</v>
      </c>
      <c r="I136" s="2">
        <f t="shared" si="38"/>
        <v>33.297903541794412</v>
      </c>
      <c r="J136" s="2">
        <f t="shared" si="39"/>
        <v>16.963026934610753</v>
      </c>
      <c r="K136">
        <f t="shared" si="40"/>
        <v>289131738227503.5</v>
      </c>
      <c r="L136" s="13">
        <f t="shared" si="31"/>
        <v>108128976.67065102</v>
      </c>
      <c r="M136" s="2">
        <f t="shared" si="41"/>
        <v>23278178.499337554</v>
      </c>
      <c r="N136" s="2">
        <f t="shared" si="42"/>
        <v>1.8867987765439626E+17</v>
      </c>
      <c r="O136" s="2">
        <f t="shared" si="43"/>
        <v>596658162029797.62</v>
      </c>
      <c r="P136" s="2">
        <f t="shared" si="44"/>
        <v>4.3735772147004398E+22</v>
      </c>
      <c r="Q136" s="2">
        <f t="shared" si="32"/>
        <v>4.3792235551613665E+19</v>
      </c>
    </row>
    <row r="137" spans="1:17" x14ac:dyDescent="0.2">
      <c r="A137">
        <f t="shared" si="33"/>
        <v>954</v>
      </c>
      <c r="B137">
        <f t="shared" si="28"/>
        <v>954000</v>
      </c>
      <c r="C137" s="1">
        <f t="shared" si="29"/>
        <v>30883842000</v>
      </c>
      <c r="D137">
        <f t="shared" si="34"/>
        <v>1950</v>
      </c>
      <c r="E137" s="2">
        <f t="shared" si="30"/>
        <v>540000</v>
      </c>
      <c r="F137" s="2">
        <f t="shared" si="35"/>
        <v>962373.78799999994</v>
      </c>
      <c r="G137" s="2">
        <f t="shared" si="36"/>
        <v>16213.079999999998</v>
      </c>
      <c r="H137" s="2">
        <f t="shared" si="37"/>
        <v>56745.779999999992</v>
      </c>
      <c r="I137" s="2">
        <f t="shared" si="38"/>
        <v>33.306441465779486</v>
      </c>
      <c r="J137" s="2">
        <f t="shared" si="39"/>
        <v>16.959389544033055</v>
      </c>
      <c r="K137">
        <f t="shared" si="40"/>
        <v>291610891380706</v>
      </c>
      <c r="L137" s="13">
        <f t="shared" si="31"/>
        <v>108643082.19583513</v>
      </c>
      <c r="M137" s="2">
        <f t="shared" si="41"/>
        <v>23193660.477910887</v>
      </c>
      <c r="N137" s="2">
        <f t="shared" si="42"/>
        <v>1.9029770873894048E+17</v>
      </c>
      <c r="O137" s="2">
        <f t="shared" si="43"/>
        <v>601774193126377.75</v>
      </c>
      <c r="P137" s="2">
        <f t="shared" si="44"/>
        <v>4.3576977036487585E+22</v>
      </c>
      <c r="Q137" s="2">
        <f t="shared" si="32"/>
        <v>4.4000448289313227E+19</v>
      </c>
    </row>
    <row r="138" spans="1:17" x14ac:dyDescent="0.2">
      <c r="A138">
        <f t="shared" si="33"/>
        <v>953</v>
      </c>
      <c r="B138">
        <f t="shared" si="28"/>
        <v>953000</v>
      </c>
      <c r="C138" s="1">
        <f t="shared" si="29"/>
        <v>30851469000</v>
      </c>
      <c r="D138">
        <f t="shared" si="34"/>
        <v>1949.5</v>
      </c>
      <c r="E138" s="2">
        <f t="shared" si="30"/>
        <v>540000</v>
      </c>
      <c r="F138" s="2">
        <f t="shared" si="35"/>
        <v>961920.56599999999</v>
      </c>
      <c r="G138" s="2">
        <f t="shared" si="36"/>
        <v>16208.922799999998</v>
      </c>
      <c r="H138" s="2">
        <f t="shared" si="37"/>
        <v>56731.229799999994</v>
      </c>
      <c r="I138" s="2">
        <f t="shared" si="38"/>
        <v>33.314983769310075</v>
      </c>
      <c r="J138" s="2">
        <f t="shared" si="39"/>
        <v>16.955750287648446</v>
      </c>
      <c r="K138">
        <f t="shared" si="40"/>
        <v>294112590049800.31</v>
      </c>
      <c r="L138" s="13">
        <f t="shared" si="31"/>
        <v>109159897.66025154</v>
      </c>
      <c r="M138" s="2">
        <f t="shared" si="41"/>
        <v>23109406.205373749</v>
      </c>
      <c r="N138" s="2">
        <f t="shared" si="42"/>
        <v>1.9193025244274333E+17</v>
      </c>
      <c r="O138" s="2">
        <f t="shared" si="43"/>
        <v>606936749610162</v>
      </c>
      <c r="P138" s="2">
        <f t="shared" si="44"/>
        <v>4.3418677465659883E+22</v>
      </c>
      <c r="Q138" s="2">
        <f t="shared" si="32"/>
        <v>4.4209758552401871E+19</v>
      </c>
    </row>
    <row r="139" spans="1:17" x14ac:dyDescent="0.2">
      <c r="A139">
        <f t="shared" si="33"/>
        <v>952</v>
      </c>
      <c r="B139">
        <f t="shared" si="28"/>
        <v>952000</v>
      </c>
      <c r="C139" s="1">
        <f t="shared" si="29"/>
        <v>30819096000</v>
      </c>
      <c r="D139">
        <f t="shared" si="34"/>
        <v>1949</v>
      </c>
      <c r="E139" s="2">
        <f t="shared" si="30"/>
        <v>540000</v>
      </c>
      <c r="F139" s="2">
        <f t="shared" si="35"/>
        <v>961467.34400000004</v>
      </c>
      <c r="G139" s="2">
        <f t="shared" si="36"/>
        <v>16204.765599999999</v>
      </c>
      <c r="H139" s="2">
        <f t="shared" si="37"/>
        <v>56716.679599999996</v>
      </c>
      <c r="I139" s="2">
        <f t="shared" si="38"/>
        <v>33.323530455756796</v>
      </c>
      <c r="J139" s="2">
        <f t="shared" si="39"/>
        <v>16.95210916402095</v>
      </c>
      <c r="K139">
        <f t="shared" si="40"/>
        <v>296637050656854.62</v>
      </c>
      <c r="L139" s="13">
        <f t="shared" si="31"/>
        <v>109679438.68136346</v>
      </c>
      <c r="M139" s="2">
        <f t="shared" si="41"/>
        <v>23025415.004389893</v>
      </c>
      <c r="N139" s="2">
        <f t="shared" si="42"/>
        <v>1.9357764999723648E+17</v>
      </c>
      <c r="O139" s="2">
        <f t="shared" si="43"/>
        <v>612146278094151.75</v>
      </c>
      <c r="P139" s="2">
        <f t="shared" si="44"/>
        <v>4.3260872161920685E+22</v>
      </c>
      <c r="Q139" s="2">
        <f t="shared" si="32"/>
        <v>4.4420172665952199E+19</v>
      </c>
    </row>
    <row r="140" spans="1:17" x14ac:dyDescent="0.2">
      <c r="A140">
        <f t="shared" si="33"/>
        <v>951</v>
      </c>
      <c r="B140">
        <f t="shared" si="28"/>
        <v>951000</v>
      </c>
      <c r="C140" s="1">
        <f t="shared" si="29"/>
        <v>30786723000</v>
      </c>
      <c r="D140">
        <f t="shared" si="34"/>
        <v>1948.5</v>
      </c>
      <c r="E140" s="2">
        <f t="shared" si="30"/>
        <v>540000</v>
      </c>
      <c r="F140" s="2">
        <f t="shared" si="35"/>
        <v>961014.12199999997</v>
      </c>
      <c r="G140" s="2">
        <f t="shared" si="36"/>
        <v>16200.608399999999</v>
      </c>
      <c r="H140" s="2">
        <f t="shared" si="37"/>
        <v>56702.129399999991</v>
      </c>
      <c r="I140" s="2">
        <f t="shared" si="38"/>
        <v>33.33208152849371</v>
      </c>
      <c r="J140" s="2">
        <f t="shared" si="39"/>
        <v>16.948466171713122</v>
      </c>
      <c r="K140">
        <f t="shared" si="40"/>
        <v>299184491808205.62</v>
      </c>
      <c r="L140" s="13">
        <f t="shared" si="31"/>
        <v>110201720.97403198</v>
      </c>
      <c r="M140" s="2">
        <f t="shared" si="41"/>
        <v>22941686.198941249</v>
      </c>
      <c r="N140" s="2">
        <f t="shared" si="42"/>
        <v>1.9524004405924874E+17</v>
      </c>
      <c r="O140" s="2">
        <f t="shared" si="43"/>
        <v>617403229698849.62</v>
      </c>
      <c r="P140" s="2">
        <f t="shared" si="44"/>
        <v>4.310355985514604E+22</v>
      </c>
      <c r="Q140" s="2">
        <f t="shared" si="32"/>
        <v>4.4631696994482954E+19</v>
      </c>
    </row>
    <row r="141" spans="1:17" x14ac:dyDescent="0.2">
      <c r="A141">
        <f t="shared" si="33"/>
        <v>950</v>
      </c>
      <c r="B141">
        <f t="shared" si="28"/>
        <v>950000</v>
      </c>
      <c r="C141" s="1">
        <f t="shared" si="29"/>
        <v>30754350000</v>
      </c>
      <c r="D141">
        <f t="shared" si="34"/>
        <v>1948</v>
      </c>
      <c r="E141" s="2">
        <f t="shared" si="30"/>
        <v>540000</v>
      </c>
      <c r="F141" s="2">
        <f t="shared" si="35"/>
        <v>960560.89999999991</v>
      </c>
      <c r="G141" s="2">
        <f t="shared" si="36"/>
        <v>16196.451199999998</v>
      </c>
      <c r="H141" s="2">
        <f t="shared" si="37"/>
        <v>56687.579199999993</v>
      </c>
      <c r="I141" s="2">
        <f t="shared" si="38"/>
        <v>33.340636990898354</v>
      </c>
      <c r="J141" s="2">
        <f t="shared" si="39"/>
        <v>16.944821309286038</v>
      </c>
      <c r="K141">
        <f t="shared" si="40"/>
        <v>301755134317565.69</v>
      </c>
      <c r="L141" s="13">
        <f t="shared" si="31"/>
        <v>110726760.35116884</v>
      </c>
      <c r="M141" s="2">
        <f t="shared" si="41"/>
        <v>22858219.114326235</v>
      </c>
      <c r="N141" s="2">
        <f t="shared" si="42"/>
        <v>1.9691757872608493E+17</v>
      </c>
      <c r="O141" s="2">
        <f t="shared" si="43"/>
        <v>622708060099943.75</v>
      </c>
      <c r="P141" s="2">
        <f t="shared" si="44"/>
        <v>4.2946739277685443E+22</v>
      </c>
      <c r="Q141" s="2">
        <f t="shared" si="32"/>
        <v>4.484433794222338E+19</v>
      </c>
    </row>
    <row r="142" spans="1:17" x14ac:dyDescent="0.2">
      <c r="A142">
        <f t="shared" si="33"/>
        <v>949</v>
      </c>
      <c r="B142">
        <f t="shared" si="28"/>
        <v>949000</v>
      </c>
      <c r="C142" s="1">
        <f t="shared" si="29"/>
        <v>30721977000</v>
      </c>
      <c r="D142">
        <f t="shared" si="34"/>
        <v>1947.5</v>
      </c>
      <c r="E142" s="2">
        <f t="shared" si="30"/>
        <v>540000</v>
      </c>
      <c r="F142" s="2">
        <f t="shared" si="35"/>
        <v>960107.67799999996</v>
      </c>
      <c r="G142" s="2">
        <f t="shared" si="36"/>
        <v>16192.293999999998</v>
      </c>
      <c r="H142" s="2">
        <f t="shared" si="37"/>
        <v>56673.028999999995</v>
      </c>
      <c r="I142" s="2">
        <f t="shared" si="38"/>
        <v>33.349196846351731</v>
      </c>
      <c r="J142" s="2">
        <f t="shared" si="39"/>
        <v>16.941174575299303</v>
      </c>
      <c r="K142">
        <f t="shared" si="40"/>
        <v>304349201229375.12</v>
      </c>
      <c r="L142" s="13">
        <f t="shared" si="31"/>
        <v>111254572.72439212</v>
      </c>
      <c r="M142" s="2">
        <f t="shared" si="41"/>
        <v>22775013.077158395</v>
      </c>
      <c r="N142" s="2">
        <f t="shared" si="42"/>
        <v>1.9861039955076522E+17</v>
      </c>
      <c r="O142" s="2">
        <f t="shared" si="43"/>
        <v>628061229576497.88</v>
      </c>
      <c r="P142" s="2">
        <f t="shared" si="44"/>
        <v>4.2790409164359289E+22</v>
      </c>
      <c r="Q142" s="2">
        <f t="shared" si="32"/>
        <v>4.5058101953378804E+19</v>
      </c>
    </row>
    <row r="143" spans="1:17" x14ac:dyDescent="0.2">
      <c r="A143">
        <f t="shared" si="33"/>
        <v>948</v>
      </c>
      <c r="B143">
        <f t="shared" si="28"/>
        <v>948000</v>
      </c>
      <c r="C143" s="1">
        <f t="shared" si="29"/>
        <v>30689604000</v>
      </c>
      <c r="D143">
        <f t="shared" si="34"/>
        <v>1947</v>
      </c>
      <c r="E143" s="2">
        <f t="shared" si="30"/>
        <v>540000</v>
      </c>
      <c r="F143" s="2">
        <f t="shared" si="35"/>
        <v>959654.45600000001</v>
      </c>
      <c r="G143" s="2">
        <f t="shared" si="36"/>
        <v>16188.136799999998</v>
      </c>
      <c r="H143" s="2">
        <f t="shared" si="37"/>
        <v>56658.478799999997</v>
      </c>
      <c r="I143" s="2">
        <f t="shared" si="38"/>
        <v>33.357761098238313</v>
      </c>
      <c r="J143" s="2">
        <f t="shared" si="39"/>
        <v>16.937525968311032</v>
      </c>
      <c r="K143">
        <f t="shared" si="40"/>
        <v>306966917842414.38</v>
      </c>
      <c r="L143" s="13">
        <f t="shared" si="31"/>
        <v>111785174.10469058</v>
      </c>
      <c r="M143" s="2">
        <f t="shared" si="41"/>
        <v>22692067.415364411</v>
      </c>
      <c r="N143" s="2">
        <f t="shared" si="42"/>
        <v>2.003186535574336E+17</v>
      </c>
      <c r="O143" s="2">
        <f t="shared" si="43"/>
        <v>633463203059678.38</v>
      </c>
      <c r="P143" s="2">
        <f t="shared" si="44"/>
        <v>4.2634568252455144E+22</v>
      </c>
      <c r="Q143" s="2">
        <f t="shared" si="32"/>
        <v>4.5272995512399684E+19</v>
      </c>
    </row>
    <row r="144" spans="1:17" x14ac:dyDescent="0.2">
      <c r="A144">
        <f t="shared" si="33"/>
        <v>947</v>
      </c>
      <c r="B144">
        <f t="shared" si="28"/>
        <v>947000</v>
      </c>
      <c r="C144" s="1">
        <f t="shared" si="29"/>
        <v>30657231000</v>
      </c>
      <c r="D144">
        <f t="shared" si="34"/>
        <v>1946.5</v>
      </c>
      <c r="E144" s="2">
        <f t="shared" si="30"/>
        <v>540000</v>
      </c>
      <c r="F144" s="2">
        <f t="shared" si="35"/>
        <v>959201.23399999994</v>
      </c>
      <c r="G144" s="2">
        <f t="shared" si="36"/>
        <v>16183.979599999999</v>
      </c>
      <c r="H144" s="2">
        <f t="shared" si="37"/>
        <v>56643.928599999992</v>
      </c>
      <c r="I144" s="2">
        <f t="shared" si="38"/>
        <v>33.366329749946054</v>
      </c>
      <c r="J144" s="2">
        <f t="shared" si="39"/>
        <v>16.933875486877866</v>
      </c>
      <c r="K144">
        <f t="shared" si="40"/>
        <v>309608511733681.75</v>
      </c>
      <c r="L144" s="13">
        <f t="shared" si="31"/>
        <v>112318580.60308614</v>
      </c>
      <c r="M144" s="2">
        <f t="shared" si="41"/>
        <v>22609381.45818305</v>
      </c>
      <c r="N144" s="2">
        <f t="shared" si="42"/>
        <v>2.0204248925694006E+17</v>
      </c>
      <c r="O144" s="2">
        <f t="shared" si="43"/>
        <v>638914450182028.38</v>
      </c>
      <c r="P144" s="2">
        <f t="shared" si="44"/>
        <v>4.2479215281725761E+22</v>
      </c>
      <c r="Q144" s="2">
        <f t="shared" si="32"/>
        <v>4.5489025144249885E+19</v>
      </c>
    </row>
    <row r="145" spans="1:17" x14ac:dyDescent="0.2">
      <c r="A145">
        <f t="shared" si="33"/>
        <v>946</v>
      </c>
      <c r="B145">
        <f t="shared" si="28"/>
        <v>946000</v>
      </c>
      <c r="C145" s="1">
        <f t="shared" si="29"/>
        <v>30624858000</v>
      </c>
      <c r="D145">
        <f t="shared" si="34"/>
        <v>1946</v>
      </c>
      <c r="E145" s="2">
        <f t="shared" si="30"/>
        <v>540000</v>
      </c>
      <c r="F145" s="2">
        <f t="shared" si="35"/>
        <v>958748.01199999999</v>
      </c>
      <c r="G145" s="2">
        <f t="shared" si="36"/>
        <v>16179.822399999999</v>
      </c>
      <c r="H145" s="2">
        <f t="shared" si="37"/>
        <v>56629.378399999994</v>
      </c>
      <c r="I145" s="2">
        <f t="shared" si="38"/>
        <v>33.374902804866387</v>
      </c>
      <c r="J145" s="2">
        <f t="shared" si="39"/>
        <v>16.93022312955496</v>
      </c>
      <c r="K145">
        <f t="shared" si="40"/>
        <v>312274212782531.12</v>
      </c>
      <c r="L145" s="13">
        <f t="shared" si="31"/>
        <v>112854808.43130805</v>
      </c>
      <c r="M145" s="2">
        <f t="shared" si="41"/>
        <v>22526954.536163274</v>
      </c>
      <c r="N145" s="2">
        <f t="shared" si="42"/>
        <v>2.0378205666259213E+17</v>
      </c>
      <c r="O145" s="2">
        <f t="shared" si="43"/>
        <v>644415445327279</v>
      </c>
      <c r="P145" s="2">
        <f t="shared" si="44"/>
        <v>4.2324348994385523E+22</v>
      </c>
      <c r="Q145" s="2">
        <f t="shared" si="32"/>
        <v>4.5706197414679757E+19</v>
      </c>
    </row>
    <row r="146" spans="1:17" x14ac:dyDescent="0.2">
      <c r="A146">
        <f t="shared" si="33"/>
        <v>945</v>
      </c>
      <c r="B146">
        <f t="shared" si="28"/>
        <v>945000</v>
      </c>
      <c r="C146" s="1">
        <f t="shared" si="29"/>
        <v>30592485000</v>
      </c>
      <c r="D146">
        <f t="shared" si="34"/>
        <v>1945.5</v>
      </c>
      <c r="E146" s="2">
        <f t="shared" si="30"/>
        <v>540000</v>
      </c>
      <c r="F146" s="2">
        <f t="shared" si="35"/>
        <v>958294.79</v>
      </c>
      <c r="G146" s="2">
        <f t="shared" si="36"/>
        <v>16175.665199999998</v>
      </c>
      <c r="H146" s="2">
        <f t="shared" si="37"/>
        <v>56614.828199999996</v>
      </c>
      <c r="I146" s="2">
        <f t="shared" si="38"/>
        <v>33.383480266394244</v>
      </c>
      <c r="J146" s="2">
        <f t="shared" si="39"/>
        <v>16.926568894895986</v>
      </c>
      <c r="K146">
        <f t="shared" si="40"/>
        <v>314964253195081.25</v>
      </c>
      <c r="L146" s="13">
        <f t="shared" si="31"/>
        <v>113393873.90246646</v>
      </c>
      <c r="M146" s="2">
        <f t="shared" si="41"/>
        <v>22444785.981162865</v>
      </c>
      <c r="N146" s="2">
        <f t="shared" si="42"/>
        <v>2.0553750730608381E+17</v>
      </c>
      <c r="O146" s="2">
        <f t="shared" si="43"/>
        <v>649966667680721</v>
      </c>
      <c r="P146" s="2">
        <f t="shared" si="44"/>
        <v>4.2169968135107863E+22</v>
      </c>
      <c r="Q146" s="2">
        <f t="shared" si="32"/>
        <v>4.592451893049892E+19</v>
      </c>
    </row>
    <row r="147" spans="1:17" x14ac:dyDescent="0.2">
      <c r="A147">
        <f t="shared" si="33"/>
        <v>944</v>
      </c>
      <c r="B147">
        <f t="shared" si="28"/>
        <v>944000</v>
      </c>
      <c r="C147" s="1">
        <f t="shared" si="29"/>
        <v>30560112000</v>
      </c>
      <c r="D147">
        <f t="shared" si="34"/>
        <v>1945</v>
      </c>
      <c r="E147" s="2">
        <f t="shared" si="30"/>
        <v>540000</v>
      </c>
      <c r="F147" s="2">
        <f t="shared" si="35"/>
        <v>957841.56799999997</v>
      </c>
      <c r="G147" s="2">
        <f t="shared" si="36"/>
        <v>16171.507999999998</v>
      </c>
      <c r="H147" s="2">
        <f t="shared" si="37"/>
        <v>56600.277999999991</v>
      </c>
      <c r="I147" s="2">
        <f t="shared" si="38"/>
        <v>33.392062137928022</v>
      </c>
      <c r="J147" s="2">
        <f t="shared" si="39"/>
        <v>16.922912781453125</v>
      </c>
      <c r="K147">
        <f t="shared" si="40"/>
        <v>317678867528882</v>
      </c>
      <c r="L147" s="13">
        <f t="shared" si="31"/>
        <v>113935793.43173438</v>
      </c>
      <c r="M147" s="2">
        <f t="shared" si="41"/>
        <v>22362875.126346663</v>
      </c>
      <c r="N147" s="2">
        <f t="shared" si="42"/>
        <v>2.0730899425359206E+17</v>
      </c>
      <c r="O147" s="2">
        <f t="shared" si="43"/>
        <v>655568601280106.12</v>
      </c>
      <c r="P147" s="2">
        <f t="shared" si="44"/>
        <v>4.2016071451021956E+22</v>
      </c>
      <c r="Q147" s="2">
        <f t="shared" si="32"/>
        <v>4.6143996339852427E+19</v>
      </c>
    </row>
    <row r="148" spans="1:17" x14ac:dyDescent="0.2">
      <c r="A148">
        <f t="shared" si="33"/>
        <v>943</v>
      </c>
      <c r="B148">
        <f t="shared" si="28"/>
        <v>943000</v>
      </c>
      <c r="C148" s="1">
        <f t="shared" si="29"/>
        <v>30527739000</v>
      </c>
      <c r="D148">
        <f t="shared" si="34"/>
        <v>1944.5</v>
      </c>
      <c r="E148" s="2">
        <f t="shared" si="30"/>
        <v>540000</v>
      </c>
      <c r="F148" s="2">
        <f t="shared" si="35"/>
        <v>957388.3459999999</v>
      </c>
      <c r="G148" s="2">
        <f t="shared" si="36"/>
        <v>16167.350799999998</v>
      </c>
      <c r="H148" s="2">
        <f t="shared" si="37"/>
        <v>56585.727799999993</v>
      </c>
      <c r="I148" s="2">
        <f t="shared" si="38"/>
        <v>33.400648422869629</v>
      </c>
      <c r="J148" s="2">
        <f t="shared" si="39"/>
        <v>16.919254787777071</v>
      </c>
      <c r="K148">
        <f t="shared" si="40"/>
        <v>320418292717876.06</v>
      </c>
      <c r="L148" s="13">
        <f t="shared" si="31"/>
        <v>114480583.53703205</v>
      </c>
      <c r="M148" s="2">
        <f t="shared" si="41"/>
        <v>22281221.306185227</v>
      </c>
      <c r="N148" s="2">
        <f t="shared" si="42"/>
        <v>2.0909667212206624E+17</v>
      </c>
      <c r="O148" s="2">
        <f t="shared" si="43"/>
        <v>661221735067159.38</v>
      </c>
      <c r="P148" s="2">
        <f t="shared" si="44"/>
        <v>4.1862657691710225E+22</v>
      </c>
      <c r="Q148" s="2">
        <f t="shared" si="32"/>
        <v>4.6364636332497977E+19</v>
      </c>
    </row>
    <row r="149" spans="1:17" x14ac:dyDescent="0.2">
      <c r="A149">
        <f t="shared" si="33"/>
        <v>942</v>
      </c>
      <c r="B149">
        <f t="shared" si="28"/>
        <v>942000</v>
      </c>
      <c r="C149" s="1">
        <f t="shared" si="29"/>
        <v>30495366000</v>
      </c>
      <c r="D149">
        <f t="shared" si="34"/>
        <v>1944</v>
      </c>
      <c r="E149" s="2">
        <f t="shared" si="30"/>
        <v>540000</v>
      </c>
      <c r="F149" s="2">
        <f t="shared" si="35"/>
        <v>956935.12399999995</v>
      </c>
      <c r="G149" s="2">
        <f t="shared" si="36"/>
        <v>16163.193599999999</v>
      </c>
      <c r="H149" s="2">
        <f t="shared" si="37"/>
        <v>56571.177599999995</v>
      </c>
      <c r="I149" s="2">
        <f t="shared" si="38"/>
        <v>33.409239124624484</v>
      </c>
      <c r="J149" s="2">
        <f t="shared" si="39"/>
        <v>16.915594912417028</v>
      </c>
      <c r="K149">
        <f t="shared" si="40"/>
        <v>323182768097624.44</v>
      </c>
      <c r="L149" s="13">
        <f t="shared" si="31"/>
        <v>115028260.83971909</v>
      </c>
      <c r="M149" s="2">
        <f t="shared" si="41"/>
        <v>22199823.856453139</v>
      </c>
      <c r="N149" s="2">
        <f t="shared" si="42"/>
        <v>2.1090069709568947E+17</v>
      </c>
      <c r="O149" s="2">
        <f t="shared" si="43"/>
        <v>666926562939634</v>
      </c>
      <c r="P149" s="2">
        <f t="shared" si="44"/>
        <v>4.1709725609205095E+22</v>
      </c>
      <c r="Q149" s="2">
        <f t="shared" si="32"/>
        <v>4.6586445640086233E+19</v>
      </c>
    </row>
    <row r="150" spans="1:17" x14ac:dyDescent="0.2">
      <c r="A150">
        <f t="shared" si="33"/>
        <v>941</v>
      </c>
      <c r="B150">
        <f t="shared" si="28"/>
        <v>941000</v>
      </c>
      <c r="C150" s="1">
        <f t="shared" si="29"/>
        <v>30462993000</v>
      </c>
      <c r="D150">
        <f t="shared" si="34"/>
        <v>1943.5</v>
      </c>
      <c r="E150" s="2">
        <f t="shared" si="30"/>
        <v>540000</v>
      </c>
      <c r="F150" s="2">
        <f t="shared" si="35"/>
        <v>956481.902</v>
      </c>
      <c r="G150" s="2">
        <f t="shared" si="36"/>
        <v>16159.036399999999</v>
      </c>
      <c r="H150" s="2">
        <f t="shared" si="37"/>
        <v>56556.627399999998</v>
      </c>
      <c r="I150" s="2">
        <f t="shared" si="38"/>
        <v>33.417834246601487</v>
      </c>
      <c r="J150" s="2">
        <f t="shared" si="39"/>
        <v>16.911933153920703</v>
      </c>
      <c r="K150">
        <f t="shared" si="40"/>
        <v>325972535430802.06</v>
      </c>
      <c r="L150" s="13">
        <f t="shared" si="31"/>
        <v>115578842.06528841</v>
      </c>
      <c r="M150" s="2">
        <f t="shared" si="41"/>
        <v>22118682.114227433</v>
      </c>
      <c r="N150" s="2">
        <f t="shared" si="42"/>
        <v>2.1272122694251661E+17</v>
      </c>
      <c r="O150" s="2">
        <f t="shared" si="43"/>
        <v>672683583803925.25</v>
      </c>
      <c r="P150" s="2">
        <f t="shared" si="44"/>
        <v>4.1557273957986099E+22</v>
      </c>
      <c r="Q150" s="2">
        <f t="shared" si="32"/>
        <v>4.6809431036441805E+19</v>
      </c>
    </row>
    <row r="151" spans="1:17" x14ac:dyDescent="0.2">
      <c r="A151">
        <f t="shared" si="33"/>
        <v>940</v>
      </c>
      <c r="B151">
        <f t="shared" si="28"/>
        <v>940000</v>
      </c>
      <c r="C151" s="1">
        <f t="shared" si="29"/>
        <v>30430620000</v>
      </c>
      <c r="D151">
        <f t="shared" si="34"/>
        <v>1943</v>
      </c>
      <c r="E151" s="2">
        <f t="shared" si="30"/>
        <v>540000</v>
      </c>
      <c r="F151" s="2">
        <f t="shared" si="35"/>
        <v>956028.67999999993</v>
      </c>
      <c r="G151" s="2">
        <f t="shared" si="36"/>
        <v>16154.879199999998</v>
      </c>
      <c r="H151" s="2">
        <f t="shared" si="37"/>
        <v>56542.077199999992</v>
      </c>
      <c r="I151" s="2">
        <f t="shared" si="38"/>
        <v>33.426433792213075</v>
      </c>
      <c r="J151" s="2">
        <f t="shared" si="39"/>
        <v>16.908269510834316</v>
      </c>
      <c r="K151">
        <f t="shared" si="40"/>
        <v>328787838933004.06</v>
      </c>
      <c r="L151" s="13">
        <f t="shared" si="31"/>
        <v>116132344.04406577</v>
      </c>
      <c r="M151" s="2">
        <f t="shared" si="41"/>
        <v>22037795.417886205</v>
      </c>
      <c r="N151" s="2">
        <f t="shared" si="42"/>
        <v>2.1455842103131466E+17</v>
      </c>
      <c r="O151" s="2">
        <f t="shared" si="43"/>
        <v>678493301628324.62</v>
      </c>
      <c r="P151" s="2">
        <f t="shared" si="44"/>
        <v>4.1405301494977252E+22</v>
      </c>
      <c r="Q151" s="2">
        <f t="shared" si="32"/>
        <v>4.7033599337846637E+19</v>
      </c>
    </row>
    <row r="152" spans="1:17" x14ac:dyDescent="0.2">
      <c r="A152">
        <f t="shared" si="33"/>
        <v>939</v>
      </c>
      <c r="B152">
        <f t="shared" si="28"/>
        <v>939000</v>
      </c>
      <c r="C152" s="1">
        <f t="shared" si="29"/>
        <v>30398247000</v>
      </c>
      <c r="D152">
        <f t="shared" si="34"/>
        <v>1942.5</v>
      </c>
      <c r="E152" s="2">
        <f t="shared" si="30"/>
        <v>540000</v>
      </c>
      <c r="F152" s="2">
        <f t="shared" si="35"/>
        <v>955575.45799999998</v>
      </c>
      <c r="G152" s="2">
        <f t="shared" si="36"/>
        <v>16150.721999999998</v>
      </c>
      <c r="H152" s="2">
        <f t="shared" si="37"/>
        <v>56527.526999999995</v>
      </c>
      <c r="I152" s="2">
        <f t="shared" si="38"/>
        <v>33.435037764875162</v>
      </c>
      <c r="J152" s="2">
        <f t="shared" si="39"/>
        <v>16.904603981702579</v>
      </c>
      <c r="K152">
        <f t="shared" si="40"/>
        <v>331628925298799.25</v>
      </c>
      <c r="L152" s="13">
        <f t="shared" si="31"/>
        <v>116688783.71191825</v>
      </c>
      <c r="M152" s="2">
        <f t="shared" si="41"/>
        <v>21957163.107106723</v>
      </c>
      <c r="N152" s="2">
        <f t="shared" si="42"/>
        <v>2.1641244034856448E+17</v>
      </c>
      <c r="O152" s="2">
        <f t="shared" si="43"/>
        <v>684356225496784.25</v>
      </c>
      <c r="P152" s="2">
        <f t="shared" si="44"/>
        <v>4.1253806979543487E+22</v>
      </c>
      <c r="Q152" s="2">
        <f t="shared" si="32"/>
        <v>4.725895740332689E+19</v>
      </c>
    </row>
    <row r="153" spans="1:17" x14ac:dyDescent="0.2">
      <c r="A153">
        <f t="shared" si="33"/>
        <v>938</v>
      </c>
      <c r="B153">
        <f t="shared" si="28"/>
        <v>938000</v>
      </c>
      <c r="C153" s="1">
        <f t="shared" si="29"/>
        <v>30365874000</v>
      </c>
      <c r="D153">
        <f t="shared" si="34"/>
        <v>1942</v>
      </c>
      <c r="E153" s="2">
        <f t="shared" si="30"/>
        <v>540000</v>
      </c>
      <c r="F153" s="2">
        <f t="shared" si="35"/>
        <v>955122.23600000003</v>
      </c>
      <c r="G153" s="2">
        <f t="shared" si="36"/>
        <v>16146.564799999998</v>
      </c>
      <c r="H153" s="2">
        <f t="shared" si="37"/>
        <v>56512.976799999997</v>
      </c>
      <c r="I153" s="2">
        <f t="shared" si="38"/>
        <v>33.443646168007206</v>
      </c>
      <c r="J153" s="2">
        <f t="shared" si="39"/>
        <v>16.900936565068719</v>
      </c>
      <c r="K153">
        <f t="shared" si="40"/>
        <v>334496043728116.62</v>
      </c>
      <c r="L153" s="13">
        <f t="shared" si="31"/>
        <v>117248178.11096096</v>
      </c>
      <c r="M153" s="2">
        <f t="shared" si="41"/>
        <v>21876784.522864379</v>
      </c>
      <c r="N153" s="2">
        <f t="shared" si="42"/>
        <v>2.1828344751568013E+17</v>
      </c>
      <c r="O153" s="2">
        <f t="shared" si="43"/>
        <v>690272869663369</v>
      </c>
      <c r="P153" s="2">
        <f t="shared" si="44"/>
        <v>4.110278917348869E+22</v>
      </c>
      <c r="Q153" s="2">
        <f t="shared" si="32"/>
        <v>4.7485512134939189E+19</v>
      </c>
    </row>
    <row r="154" spans="1:17" x14ac:dyDescent="0.2">
      <c r="A154">
        <f t="shared" si="33"/>
        <v>937</v>
      </c>
      <c r="B154">
        <f t="shared" si="28"/>
        <v>937000</v>
      </c>
      <c r="C154" s="1">
        <f t="shared" si="29"/>
        <v>30333501000</v>
      </c>
      <c r="D154">
        <f t="shared" si="34"/>
        <v>1941.5</v>
      </c>
      <c r="E154" s="2">
        <f t="shared" si="30"/>
        <v>540000</v>
      </c>
      <c r="F154" s="2">
        <f t="shared" si="35"/>
        <v>954669.01399999997</v>
      </c>
      <c r="G154" s="2">
        <f t="shared" si="36"/>
        <v>16142.407599999999</v>
      </c>
      <c r="H154" s="2">
        <f t="shared" si="37"/>
        <v>56498.426599999992</v>
      </c>
      <c r="I154" s="2">
        <f t="shared" si="38"/>
        <v>33.45225900503219</v>
      </c>
      <c r="J154" s="2">
        <f t="shared" si="39"/>
        <v>16.897267259474447</v>
      </c>
      <c r="K154">
        <f t="shared" si="40"/>
        <v>337389445952895.81</v>
      </c>
      <c r="L154" s="13">
        <f t="shared" si="31"/>
        <v>117810544.39027528</v>
      </c>
      <c r="M154" s="2">
        <f t="shared" si="41"/>
        <v>21796659.007430457</v>
      </c>
      <c r="N154" s="2">
        <f t="shared" si="42"/>
        <v>2.2017160680640016E+17</v>
      </c>
      <c r="O154" s="2">
        <f t="shared" si="43"/>
        <v>696243753607252.38</v>
      </c>
      <c r="P154" s="2">
        <f t="shared" si="44"/>
        <v>4.0952246841051508E+22</v>
      </c>
      <c r="Q154" s="2">
        <f t="shared" si="32"/>
        <v>4.7713270478061494E+19</v>
      </c>
    </row>
    <row r="155" spans="1:17" x14ac:dyDescent="0.2">
      <c r="A155">
        <f t="shared" si="33"/>
        <v>936</v>
      </c>
      <c r="B155">
        <f t="shared" si="28"/>
        <v>936000</v>
      </c>
      <c r="C155" s="1">
        <f t="shared" si="29"/>
        <v>30301128000</v>
      </c>
      <c r="D155">
        <f t="shared" si="34"/>
        <v>1941</v>
      </c>
      <c r="E155" s="2">
        <f t="shared" si="30"/>
        <v>540000</v>
      </c>
      <c r="F155" s="2">
        <f t="shared" si="35"/>
        <v>954215.7919999999</v>
      </c>
      <c r="G155" s="2">
        <f t="shared" si="36"/>
        <v>16138.250399999999</v>
      </c>
      <c r="H155" s="2">
        <f t="shared" si="37"/>
        <v>56483.876399999994</v>
      </c>
      <c r="I155" s="2">
        <f t="shared" si="38"/>
        <v>33.460876279376606</v>
      </c>
      <c r="J155" s="2">
        <f t="shared" si="39"/>
        <v>16.893596063459977</v>
      </c>
      <c r="K155">
        <f t="shared" si="40"/>
        <v>340309386264034.75</v>
      </c>
      <c r="L155" s="13">
        <f t="shared" si="31"/>
        <v>118375899.80662839</v>
      </c>
      <c r="M155" s="2">
        <f t="shared" si="41"/>
        <v>21716785.904371098</v>
      </c>
      <c r="N155" s="2">
        <f t="shared" si="42"/>
        <v>2.2207708416437299E+17</v>
      </c>
      <c r="O155" s="2">
        <f t="shared" si="43"/>
        <v>702269402088326.5</v>
      </c>
      <c r="P155" s="2">
        <f t="shared" si="44"/>
        <v>4.0802178748903418E+22</v>
      </c>
      <c r="Q155" s="2">
        <f t="shared" si="32"/>
        <v>4.7942239421684498E+19</v>
      </c>
    </row>
    <row r="156" spans="1:17" x14ac:dyDescent="0.2">
      <c r="A156">
        <f t="shared" si="33"/>
        <v>935</v>
      </c>
      <c r="B156">
        <f t="shared" si="28"/>
        <v>935000</v>
      </c>
      <c r="C156" s="1">
        <f t="shared" si="29"/>
        <v>30268755000</v>
      </c>
      <c r="D156">
        <f t="shared" si="34"/>
        <v>1940.5</v>
      </c>
      <c r="E156" s="2">
        <f t="shared" si="30"/>
        <v>540000</v>
      </c>
      <c r="F156" s="2">
        <f t="shared" si="35"/>
        <v>953762.57000000007</v>
      </c>
      <c r="G156" s="2">
        <f t="shared" si="36"/>
        <v>16134.093199999998</v>
      </c>
      <c r="H156" s="2">
        <f t="shared" si="37"/>
        <v>56469.326199999996</v>
      </c>
      <c r="I156" s="2">
        <f t="shared" si="38"/>
        <v>33.469497994470494</v>
      </c>
      <c r="J156" s="2">
        <f t="shared" si="39"/>
        <v>16.889922975564037</v>
      </c>
      <c r="K156">
        <f t="shared" si="40"/>
        <v>343256121538654.56</v>
      </c>
      <c r="L156" s="13">
        <f t="shared" si="31"/>
        <v>118944261.72520004</v>
      </c>
      <c r="M156" s="2">
        <f t="shared" si="41"/>
        <v>21637164.558545921</v>
      </c>
      <c r="N156" s="2">
        <f t="shared" si="42"/>
        <v>2.2400004722094922E+17</v>
      </c>
      <c r="O156" s="2">
        <f t="shared" si="43"/>
        <v>708350345203466.62</v>
      </c>
      <c r="P156" s="2">
        <f t="shared" si="44"/>
        <v>4.065258366614611E+22</v>
      </c>
      <c r="Q156" s="2">
        <f t="shared" si="32"/>
        <v>4.8172425998706016E+19</v>
      </c>
    </row>
    <row r="157" spans="1:17" x14ac:dyDescent="0.2">
      <c r="A157">
        <f t="shared" si="33"/>
        <v>934</v>
      </c>
      <c r="B157">
        <f t="shared" si="28"/>
        <v>934000</v>
      </c>
      <c r="C157" s="1">
        <f t="shared" si="29"/>
        <v>30236382000</v>
      </c>
      <c r="D157">
        <f t="shared" si="34"/>
        <v>1940</v>
      </c>
      <c r="E157" s="2">
        <f t="shared" si="30"/>
        <v>540000</v>
      </c>
      <c r="F157" s="2">
        <f t="shared" si="35"/>
        <v>953309.348</v>
      </c>
      <c r="G157" s="2">
        <f t="shared" si="36"/>
        <v>16129.935999999998</v>
      </c>
      <c r="H157" s="2">
        <f t="shared" si="37"/>
        <v>56454.775999999991</v>
      </c>
      <c r="I157" s="2">
        <f t="shared" si="38"/>
        <v>33.478124153747423</v>
      </c>
      <c r="J157" s="2">
        <f t="shared" si="39"/>
        <v>16.886247994323814</v>
      </c>
      <c r="K157">
        <f t="shared" si="40"/>
        <v>346229911267650.88</v>
      </c>
      <c r="L157" s="13">
        <f t="shared" si="31"/>
        <v>119515647.62031126</v>
      </c>
      <c r="M157" s="2">
        <f t="shared" si="41"/>
        <v>21557794.316105433</v>
      </c>
      <c r="N157" s="2">
        <f t="shared" si="42"/>
        <v>2.2594066531316096E+17</v>
      </c>
      <c r="O157" s="2">
        <f t="shared" si="43"/>
        <v>714487118443386.38</v>
      </c>
      <c r="P157" s="2">
        <f t="shared" si="44"/>
        <v>4.0503460364306639E+22</v>
      </c>
      <c r="Q157" s="2">
        <f t="shared" si="32"/>
        <v>4.8403837286226059E+19</v>
      </c>
    </row>
    <row r="158" spans="1:17" x14ac:dyDescent="0.2">
      <c r="A158">
        <f t="shared" si="33"/>
        <v>933</v>
      </c>
      <c r="B158">
        <f t="shared" si="28"/>
        <v>933000</v>
      </c>
      <c r="C158" s="1">
        <f t="shared" si="29"/>
        <v>30204009000</v>
      </c>
      <c r="D158">
        <f t="shared" si="34"/>
        <v>1939.5</v>
      </c>
      <c r="E158" s="2">
        <f t="shared" si="30"/>
        <v>540000</v>
      </c>
      <c r="F158" s="2">
        <f t="shared" si="35"/>
        <v>952856.12599999993</v>
      </c>
      <c r="G158" s="2">
        <f t="shared" si="36"/>
        <v>16125.778799999998</v>
      </c>
      <c r="H158" s="2">
        <f t="shared" si="37"/>
        <v>56440.225799999993</v>
      </c>
      <c r="I158" s="2">
        <f t="shared" si="38"/>
        <v>33.486754760644494</v>
      </c>
      <c r="J158" s="2">
        <f t="shared" si="39"/>
        <v>16.88257111827501</v>
      </c>
      <c r="K158">
        <f t="shared" si="40"/>
        <v>349231017583556.38</v>
      </c>
      <c r="L158" s="13">
        <f t="shared" si="31"/>
        <v>120090075.07616417</v>
      </c>
      <c r="M158" s="2">
        <f t="shared" si="41"/>
        <v>21478674.524490666</v>
      </c>
      <c r="N158" s="2">
        <f t="shared" si="42"/>
        <v>2.2789910950190422E+17</v>
      </c>
      <c r="O158" s="2">
        <f t="shared" si="43"/>
        <v>720680262750135.62</v>
      </c>
      <c r="P158" s="2">
        <f t="shared" si="44"/>
        <v>4.0354807617336755E+22</v>
      </c>
      <c r="Q158" s="2">
        <f t="shared" si="32"/>
        <v>4.8636480405846491E+19</v>
      </c>
    </row>
    <row r="159" spans="1:17" x14ac:dyDescent="0.2">
      <c r="A159">
        <f t="shared" si="33"/>
        <v>932</v>
      </c>
      <c r="B159">
        <f t="shared" ref="B159:B190" si="45">A159*1000</f>
        <v>932000</v>
      </c>
      <c r="C159" s="1">
        <f t="shared" si="29"/>
        <v>30171636000</v>
      </c>
      <c r="D159">
        <f t="shared" si="34"/>
        <v>1939</v>
      </c>
      <c r="E159" s="2">
        <f t="shared" si="30"/>
        <v>540000</v>
      </c>
      <c r="F159" s="2">
        <f t="shared" si="35"/>
        <v>952402.90399999998</v>
      </c>
      <c r="G159" s="2">
        <f t="shared" si="36"/>
        <v>16121.621599999999</v>
      </c>
      <c r="H159" s="2">
        <f t="shared" si="37"/>
        <v>56425.675599999995</v>
      </c>
      <c r="I159" s="2">
        <f t="shared" si="38"/>
        <v>33.495389818602369</v>
      </c>
      <c r="J159" s="2">
        <f t="shared" si="39"/>
        <v>16.878892345951815</v>
      </c>
      <c r="K159">
        <f t="shared" si="40"/>
        <v>352259705288723.75</v>
      </c>
      <c r="L159" s="13">
        <f t="shared" si="31"/>
        <v>120667561.78758034</v>
      </c>
      <c r="M159" s="2">
        <f t="shared" si="41"/>
        <v>21399804.53243104</v>
      </c>
      <c r="N159" s="2">
        <f t="shared" si="42"/>
        <v>2.2987555259033024E+17</v>
      </c>
      <c r="O159" s="2">
        <f t="shared" si="43"/>
        <v>726930324575259.5</v>
      </c>
      <c r="P159" s="2">
        <f t="shared" si="44"/>
        <v>4.0206624201608838E+22</v>
      </c>
      <c r="Q159" s="2">
        <f t="shared" si="32"/>
        <v>4.8870362523970036E+19</v>
      </c>
    </row>
    <row r="160" spans="1:17" x14ac:dyDescent="0.2">
      <c r="A160">
        <f t="shared" si="33"/>
        <v>931</v>
      </c>
      <c r="B160">
        <f t="shared" si="45"/>
        <v>931000</v>
      </c>
      <c r="C160" s="1">
        <f t="shared" ref="C160:C223" si="46">$B$3*$B$1*B160</f>
        <v>30139263000</v>
      </c>
      <c r="D160">
        <f t="shared" si="34"/>
        <v>1938.5</v>
      </c>
      <c r="E160" s="2">
        <f t="shared" ref="E160:E223" si="47">+$B$19+$B$16*0</f>
        <v>540000</v>
      </c>
      <c r="F160" s="2">
        <f t="shared" si="35"/>
        <v>951949.68200000003</v>
      </c>
      <c r="G160" s="2">
        <f t="shared" si="36"/>
        <v>16117.464399999999</v>
      </c>
      <c r="H160" s="2">
        <f t="shared" si="37"/>
        <v>56411.125399999997</v>
      </c>
      <c r="I160" s="2">
        <f t="shared" si="38"/>
        <v>33.504029331065254</v>
      </c>
      <c r="J160" s="2">
        <f t="shared" si="39"/>
        <v>16.875211675886899</v>
      </c>
      <c r="K160">
        <f t="shared" si="40"/>
        <v>355316241883807.75</v>
      </c>
      <c r="L160" s="13">
        <f t="shared" ref="L160:L223" si="48">EXP((300*1000)/($B$17*D160))</f>
        <v>121248125.56074998</v>
      </c>
      <c r="M160" s="2">
        <f t="shared" si="41"/>
        <v>21321183.689942703</v>
      </c>
      <c r="N160" s="2">
        <f t="shared" si="42"/>
        <v>2.3187016914243235E+17</v>
      </c>
      <c r="O160" s="2">
        <f t="shared" si="43"/>
        <v>733237855938574</v>
      </c>
      <c r="P160" s="2">
        <f t="shared" si="44"/>
        <v>4.0058908895912852E+22</v>
      </c>
      <c r="Q160" s="2">
        <f t="shared" ref="Q160:Q223" si="49">$B$12*L160</f>
        <v>4.9105490852103741E+19</v>
      </c>
    </row>
    <row r="161" spans="1:17" x14ac:dyDescent="0.2">
      <c r="A161">
        <f t="shared" ref="A161:A190" si="50">+A160-1</f>
        <v>930</v>
      </c>
      <c r="B161">
        <f t="shared" si="45"/>
        <v>930000</v>
      </c>
      <c r="C161" s="1">
        <f t="shared" si="46"/>
        <v>30106890000</v>
      </c>
      <c r="D161">
        <f t="shared" ref="D161:D190" si="51">IF(A161&gt;$B$4,$B$2+(A161-$B$4)*$B$5,$B$6+(($B$2-$B$6)/$B$4)*(A161))</f>
        <v>1938</v>
      </c>
      <c r="E161" s="2">
        <f t="shared" si="47"/>
        <v>540000</v>
      </c>
      <c r="F161" s="2">
        <f t="shared" ref="F161:F190" si="52">+$F$20+$H$15*C161*(0.000001)</f>
        <v>951496.46</v>
      </c>
      <c r="G161" s="2">
        <f t="shared" ref="G161:G190" si="53">+$B$17*D161</f>
        <v>16113.307199999997</v>
      </c>
      <c r="H161" s="2">
        <f t="shared" ref="H161:H190" si="54">+$B$23*$B$17*D161</f>
        <v>56396.575199999992</v>
      </c>
      <c r="I161" s="2">
        <f t="shared" ref="I161:I190" si="55">+E161/G161</f>
        <v>33.512673301480909</v>
      </c>
      <c r="J161" s="2">
        <f t="shared" ref="J161:J190" si="56">+F161/H161</f>
        <v>16.871529106611426</v>
      </c>
      <c r="K161">
        <f t="shared" ref="K161:K190" si="57">+EXP(I161)</f>
        <v>358400897596572.19</v>
      </c>
      <c r="L161" s="13">
        <f t="shared" si="48"/>
        <v>121831784.3139832</v>
      </c>
      <c r="M161" s="2">
        <f t="shared" ref="M161:M190" si="58">+EXP(J161)</f>
        <v>21242811.34832738</v>
      </c>
      <c r="N161" s="2">
        <f t="shared" ref="N161:N190" si="59">+$B$13*(($B$15/$B$21)^($B$23-1))*K161</f>
        <v>2.3388313550184451E+17</v>
      </c>
      <c r="O161" s="2">
        <f t="shared" ref="O161:O190" si="60">+$B$13*(($B$15/$B$22)^($B$23-1))*K161</f>
        <v>739603414487613.5</v>
      </c>
      <c r="P161" s="2">
        <f t="shared" ref="P161:P190" si="61">(1000000)*($F$18^(-1/$B$23))*($F$19^((1/$B$23)-1))*M161</f>
        <v>3.9911660481454115E+22</v>
      </c>
      <c r="Q161" s="2">
        <f t="shared" si="49"/>
        <v>4.9341872647163199E+19</v>
      </c>
    </row>
    <row r="162" spans="1:17" x14ac:dyDescent="0.2">
      <c r="A162">
        <f t="shared" si="50"/>
        <v>929</v>
      </c>
      <c r="B162">
        <f t="shared" si="45"/>
        <v>929000</v>
      </c>
      <c r="C162" s="1">
        <f t="shared" si="46"/>
        <v>30074517000</v>
      </c>
      <c r="D162">
        <f t="shared" si="51"/>
        <v>1937.5</v>
      </c>
      <c r="E162" s="2">
        <f t="shared" si="47"/>
        <v>540000</v>
      </c>
      <c r="F162" s="2">
        <f t="shared" si="52"/>
        <v>951043.2379999999</v>
      </c>
      <c r="G162" s="2">
        <f t="shared" si="53"/>
        <v>16109.149999999998</v>
      </c>
      <c r="H162" s="2">
        <f t="shared" si="54"/>
        <v>56382.024999999994</v>
      </c>
      <c r="I162" s="2">
        <f t="shared" si="55"/>
        <v>33.521321733300645</v>
      </c>
      <c r="J162" s="2">
        <f t="shared" si="56"/>
        <v>16.867844636655033</v>
      </c>
      <c r="K162">
        <f t="shared" si="57"/>
        <v>361513945411015.75</v>
      </c>
      <c r="L162" s="13">
        <f t="shared" si="48"/>
        <v>122418556.0784687</v>
      </c>
      <c r="M162" s="2">
        <f t="shared" si="58"/>
        <v>21164686.860170249</v>
      </c>
      <c r="N162" s="2">
        <f t="shared" si="59"/>
        <v>2.3591462981084813E+17</v>
      </c>
      <c r="O162" s="2">
        <f t="shared" si="60"/>
        <v>746027563557734.88</v>
      </c>
      <c r="P162" s="2">
        <f t="shared" si="61"/>
        <v>3.9764877741849345E+22</v>
      </c>
      <c r="Q162" s="2">
        <f t="shared" si="49"/>
        <v>4.9579515211779826E+19</v>
      </c>
    </row>
    <row r="163" spans="1:17" x14ac:dyDescent="0.2">
      <c r="A163">
        <f t="shared" si="50"/>
        <v>928</v>
      </c>
      <c r="B163">
        <f t="shared" si="45"/>
        <v>928000</v>
      </c>
      <c r="C163" s="1">
        <f t="shared" si="46"/>
        <v>30042144000</v>
      </c>
      <c r="D163">
        <f t="shared" si="51"/>
        <v>1937</v>
      </c>
      <c r="E163" s="2">
        <f t="shared" si="47"/>
        <v>540000</v>
      </c>
      <c r="F163" s="2">
        <f t="shared" si="52"/>
        <v>950590.01600000006</v>
      </c>
      <c r="G163" s="2">
        <f t="shared" si="53"/>
        <v>16104.992799999998</v>
      </c>
      <c r="H163" s="2">
        <f t="shared" si="54"/>
        <v>56367.474799999996</v>
      </c>
      <c r="I163" s="2">
        <f t="shared" si="55"/>
        <v>33.52997462997935</v>
      </c>
      <c r="J163" s="2">
        <f t="shared" si="56"/>
        <v>16.864158264545853</v>
      </c>
      <c r="K163">
        <f t="shared" si="57"/>
        <v>364655661096830.06</v>
      </c>
      <c r="L163" s="13">
        <f t="shared" si="48"/>
        <v>123008458.99903493</v>
      </c>
      <c r="M163" s="2">
        <f t="shared" si="58"/>
        <v>21086809.579339121</v>
      </c>
      <c r="N163" s="2">
        <f t="shared" si="59"/>
        <v>2.3796483202959562E+17</v>
      </c>
      <c r="O163" s="2">
        <f t="shared" si="60"/>
        <v>752510872232907.62</v>
      </c>
      <c r="P163" s="2">
        <f t="shared" si="61"/>
        <v>3.9618559463125112E+22</v>
      </c>
      <c r="Q163" s="2">
        <f t="shared" si="49"/>
        <v>4.9818425894609142E+19</v>
      </c>
    </row>
    <row r="164" spans="1:17" x14ac:dyDescent="0.2">
      <c r="A164">
        <f t="shared" si="50"/>
        <v>927</v>
      </c>
      <c r="B164">
        <f t="shared" si="45"/>
        <v>927000</v>
      </c>
      <c r="C164" s="1">
        <f t="shared" si="46"/>
        <v>30009771000</v>
      </c>
      <c r="D164">
        <f t="shared" si="51"/>
        <v>1936.5</v>
      </c>
      <c r="E164" s="2">
        <f t="shared" si="47"/>
        <v>540000</v>
      </c>
      <c r="F164" s="2">
        <f t="shared" si="52"/>
        <v>950136.79399999999</v>
      </c>
      <c r="G164" s="2">
        <f t="shared" si="53"/>
        <v>16100.835599999999</v>
      </c>
      <c r="H164" s="2">
        <f t="shared" si="54"/>
        <v>56352.924599999991</v>
      </c>
      <c r="I164" s="2">
        <f t="shared" si="55"/>
        <v>33.538631994975468</v>
      </c>
      <c r="J164" s="2">
        <f t="shared" si="56"/>
        <v>16.860469988810486</v>
      </c>
      <c r="K164">
        <f t="shared" si="57"/>
        <v>367826323239174.62</v>
      </c>
      <c r="L164" s="13">
        <f t="shared" si="48"/>
        <v>123601511.33492208</v>
      </c>
      <c r="M164" s="2">
        <f t="shared" si="58"/>
        <v>21009178.86098206</v>
      </c>
      <c r="N164" s="2">
        <f t="shared" si="59"/>
        <v>2.400339239555407E+17</v>
      </c>
      <c r="O164" s="2">
        <f t="shared" si="60"/>
        <v>759053915407158.5</v>
      </c>
      <c r="P164" s="2">
        <f t="shared" si="61"/>
        <v>3.947270443371337E+22</v>
      </c>
      <c r="Q164" s="2">
        <f t="shared" si="49"/>
        <v>5.005861209064344E+19</v>
      </c>
    </row>
    <row r="165" spans="1:17" x14ac:dyDescent="0.2">
      <c r="A165">
        <f t="shared" si="50"/>
        <v>926</v>
      </c>
      <c r="B165">
        <f t="shared" si="45"/>
        <v>926000</v>
      </c>
      <c r="C165" s="1">
        <f t="shared" si="46"/>
        <v>29977398000</v>
      </c>
      <c r="D165">
        <f t="shared" si="51"/>
        <v>1936</v>
      </c>
      <c r="E165" s="2">
        <f t="shared" si="47"/>
        <v>540000</v>
      </c>
      <c r="F165" s="2">
        <f t="shared" si="52"/>
        <v>949683.57199999993</v>
      </c>
      <c r="G165" s="2">
        <f t="shared" si="53"/>
        <v>16096.678399999999</v>
      </c>
      <c r="H165" s="2">
        <f t="shared" si="54"/>
        <v>56338.374399999993</v>
      </c>
      <c r="I165" s="2">
        <f t="shared" si="55"/>
        <v>33.547293831751027</v>
      </c>
      <c r="J165" s="2">
        <f t="shared" si="56"/>
        <v>16.856779807974014</v>
      </c>
      <c r="K165">
        <f t="shared" si="57"/>
        <v>371026213268796.12</v>
      </c>
      <c r="L165" s="13">
        <f t="shared" si="48"/>
        <v>124197731.46055335</v>
      </c>
      <c r="M165" s="2">
        <f t="shared" si="58"/>
        <v>20931794.061526436</v>
      </c>
      <c r="N165" s="2">
        <f t="shared" si="59"/>
        <v>2.4212208924309363E+17</v>
      </c>
      <c r="O165" s="2">
        <f t="shared" si="60"/>
        <v>765657273846726.12</v>
      </c>
      <c r="P165" s="2">
        <f t="shared" si="61"/>
        <v>3.9327311444449662E+22</v>
      </c>
      <c r="Q165" s="2">
        <f t="shared" si="49"/>
        <v>5.0300081241524109E+19</v>
      </c>
    </row>
    <row r="166" spans="1:17" x14ac:dyDescent="0.2">
      <c r="A166">
        <f t="shared" si="50"/>
        <v>925</v>
      </c>
      <c r="B166">
        <f t="shared" si="45"/>
        <v>925000</v>
      </c>
      <c r="C166" s="1">
        <f t="shared" si="46"/>
        <v>29945025000</v>
      </c>
      <c r="D166">
        <f t="shared" si="51"/>
        <v>1935.5</v>
      </c>
      <c r="E166" s="2">
        <f t="shared" si="47"/>
        <v>540000</v>
      </c>
      <c r="F166" s="2">
        <f t="shared" si="52"/>
        <v>949230.35</v>
      </c>
      <c r="G166" s="2">
        <f t="shared" si="53"/>
        <v>16092.521199999997</v>
      </c>
      <c r="H166" s="2">
        <f t="shared" si="54"/>
        <v>56323.824199999995</v>
      </c>
      <c r="I166" s="2">
        <f t="shared" si="55"/>
        <v>33.555960143771635</v>
      </c>
      <c r="J166" s="2">
        <f t="shared" si="56"/>
        <v>16.853087720559998</v>
      </c>
      <c r="K166">
        <f t="shared" si="57"/>
        <v>374255615492477.31</v>
      </c>
      <c r="L166" s="13">
        <f t="shared" si="48"/>
        <v>124797137.86631675</v>
      </c>
      <c r="M166" s="2">
        <f t="shared" si="58"/>
        <v>20854654.53867713</v>
      </c>
      <c r="N166" s="2">
        <f t="shared" si="59"/>
        <v>2.442295134234911E+17</v>
      </c>
      <c r="O166" s="2">
        <f t="shared" si="60"/>
        <v>772321534252895.75</v>
      </c>
      <c r="P166" s="2">
        <f t="shared" si="61"/>
        <v>3.9182379288569779E+22</v>
      </c>
      <c r="Q166" s="2">
        <f t="shared" si="49"/>
        <v>5.0542840835858285E+19</v>
      </c>
    </row>
    <row r="167" spans="1:17" x14ac:dyDescent="0.2">
      <c r="A167">
        <f t="shared" si="50"/>
        <v>924</v>
      </c>
      <c r="B167">
        <f t="shared" si="45"/>
        <v>924000</v>
      </c>
      <c r="C167" s="1">
        <f t="shared" si="46"/>
        <v>29912652000</v>
      </c>
      <c r="D167">
        <f t="shared" si="51"/>
        <v>1935</v>
      </c>
      <c r="E167" s="2">
        <f t="shared" si="47"/>
        <v>540000</v>
      </c>
      <c r="F167" s="2">
        <f t="shared" si="52"/>
        <v>948777.12800000003</v>
      </c>
      <c r="G167" s="2">
        <f t="shared" si="53"/>
        <v>16088.363999999998</v>
      </c>
      <c r="H167" s="2">
        <f t="shared" si="54"/>
        <v>56309.273999999998</v>
      </c>
      <c r="I167" s="2">
        <f t="shared" si="55"/>
        <v>33.564630934506461</v>
      </c>
      <c r="J167" s="2">
        <f t="shared" si="56"/>
        <v>16.849393725090472</v>
      </c>
      <c r="K167">
        <f t="shared" si="57"/>
        <v>377514817123817.88</v>
      </c>
      <c r="L167" s="13">
        <f t="shared" si="48"/>
        <v>125399749.15934895</v>
      </c>
      <c r="M167" s="2">
        <f t="shared" si="58"/>
        <v>20777759.651415057</v>
      </c>
      <c r="N167" s="2">
        <f t="shared" si="59"/>
        <v>2.4635638392488339E+17</v>
      </c>
      <c r="O167" s="2">
        <f t="shared" si="60"/>
        <v>779047289325519.62</v>
      </c>
      <c r="P167" s="2">
        <f t="shared" si="61"/>
        <v>3.9037906761706933E+22</v>
      </c>
      <c r="Q167" s="2">
        <f t="shared" si="49"/>
        <v>5.0786898409536324E+19</v>
      </c>
    </row>
    <row r="168" spans="1:17" x14ac:dyDescent="0.2">
      <c r="A168">
        <f t="shared" si="50"/>
        <v>923</v>
      </c>
      <c r="B168">
        <f t="shared" si="45"/>
        <v>923000</v>
      </c>
      <c r="C168" s="1">
        <f t="shared" si="46"/>
        <v>29880279000</v>
      </c>
      <c r="D168">
        <f t="shared" si="51"/>
        <v>1934.5</v>
      </c>
      <c r="E168" s="2">
        <f t="shared" si="47"/>
        <v>540000</v>
      </c>
      <c r="F168" s="2">
        <f t="shared" si="52"/>
        <v>948323.90599999996</v>
      </c>
      <c r="G168" s="2">
        <f t="shared" si="53"/>
        <v>16084.206799999998</v>
      </c>
      <c r="H168" s="2">
        <f t="shared" si="54"/>
        <v>56294.723799999992</v>
      </c>
      <c r="I168" s="2">
        <f t="shared" si="55"/>
        <v>33.573306207428274</v>
      </c>
      <c r="J168" s="2">
        <f t="shared" si="56"/>
        <v>16.845697820085942</v>
      </c>
      <c r="K168">
        <f t="shared" si="57"/>
        <v>380804108314383.38</v>
      </c>
      <c r="L168" s="13">
        <f t="shared" si="48"/>
        <v>126005584.06432782</v>
      </c>
      <c r="M168" s="2">
        <f t="shared" si="58"/>
        <v>20701108.759995479</v>
      </c>
      <c r="N168" s="2">
        <f t="shared" si="59"/>
        <v>2.4850289009266093E+17</v>
      </c>
      <c r="O168" s="2">
        <f t="shared" si="60"/>
        <v>785835137827296.25</v>
      </c>
      <c r="P168" s="2">
        <f t="shared" si="61"/>
        <v>3.8893892661888648E+22</v>
      </c>
      <c r="Q168" s="2">
        <f t="shared" si="49"/>
        <v>5.1032261546052764E+19</v>
      </c>
    </row>
    <row r="169" spans="1:17" x14ac:dyDescent="0.2">
      <c r="A169">
        <f t="shared" si="50"/>
        <v>922</v>
      </c>
      <c r="B169">
        <f t="shared" si="45"/>
        <v>922000</v>
      </c>
      <c r="C169" s="1">
        <f t="shared" si="46"/>
        <v>29847906000</v>
      </c>
      <c r="D169">
        <f t="shared" si="51"/>
        <v>1934</v>
      </c>
      <c r="E169" s="2">
        <f t="shared" si="47"/>
        <v>540000</v>
      </c>
      <c r="F169" s="2">
        <f t="shared" si="52"/>
        <v>947870.68400000001</v>
      </c>
      <c r="G169" s="2">
        <f t="shared" si="53"/>
        <v>16080.049599999998</v>
      </c>
      <c r="H169" s="2">
        <f t="shared" si="54"/>
        <v>56280.173599999995</v>
      </c>
      <c r="I169" s="2">
        <f t="shared" si="55"/>
        <v>33.581985966013441</v>
      </c>
      <c r="J169" s="2">
        <f t="shared" si="56"/>
        <v>16.842000004065376</v>
      </c>
      <c r="K169">
        <f t="shared" si="57"/>
        <v>384123782185184.56</v>
      </c>
      <c r="L169" s="13">
        <f t="shared" si="48"/>
        <v>126614661.42427005</v>
      </c>
      <c r="M169" s="2">
        <f t="shared" si="58"/>
        <v>20624701.225946415</v>
      </c>
      <c r="N169" s="2">
        <f t="shared" si="59"/>
        <v>2.5066922320999728E+17</v>
      </c>
      <c r="O169" s="2">
        <f t="shared" si="60"/>
        <v>792685684648731.88</v>
      </c>
      <c r="P169" s="2">
        <f t="shared" si="61"/>
        <v>3.875033578953373E+22</v>
      </c>
      <c r="Q169" s="2">
        <f t="shared" si="49"/>
        <v>5.1278937876829372E+19</v>
      </c>
    </row>
    <row r="170" spans="1:17" x14ac:dyDescent="0.2">
      <c r="A170">
        <f t="shared" si="50"/>
        <v>921</v>
      </c>
      <c r="B170">
        <f t="shared" si="45"/>
        <v>921000</v>
      </c>
      <c r="C170" s="1">
        <f t="shared" si="46"/>
        <v>29815533000</v>
      </c>
      <c r="D170">
        <f t="shared" si="51"/>
        <v>1933.5</v>
      </c>
      <c r="E170" s="2">
        <f t="shared" si="47"/>
        <v>540000</v>
      </c>
      <c r="F170" s="2">
        <f t="shared" si="52"/>
        <v>947417.46200000006</v>
      </c>
      <c r="G170" s="2">
        <f t="shared" si="53"/>
        <v>16075.892399999999</v>
      </c>
      <c r="H170" s="2">
        <f t="shared" si="54"/>
        <v>56265.623399999997</v>
      </c>
      <c r="I170" s="2">
        <f t="shared" si="55"/>
        <v>33.590670213741916</v>
      </c>
      <c r="J170" s="2">
        <f t="shared" si="56"/>
        <v>16.838300275546224</v>
      </c>
      <c r="K170">
        <f t="shared" si="57"/>
        <v>387474134858508.25</v>
      </c>
      <c r="L170" s="13">
        <f t="shared" si="48"/>
        <v>127227000.20133021</v>
      </c>
      <c r="M170" s="2">
        <f t="shared" si="58"/>
        <v>20548536.412067413</v>
      </c>
      <c r="N170" s="2">
        <f t="shared" si="59"/>
        <v>2.5285557651862086E+17</v>
      </c>
      <c r="O170" s="2">
        <f t="shared" si="60"/>
        <v>799599540873827.38</v>
      </c>
      <c r="P170" s="2">
        <f t="shared" si="61"/>
        <v>3.8607234947449983E+22</v>
      </c>
      <c r="Q170" s="2">
        <f t="shared" si="49"/>
        <v>5.152693508153874E+19</v>
      </c>
    </row>
    <row r="171" spans="1:17" x14ac:dyDescent="0.2">
      <c r="A171">
        <f t="shared" si="50"/>
        <v>920</v>
      </c>
      <c r="B171">
        <f t="shared" si="45"/>
        <v>920000</v>
      </c>
      <c r="C171" s="1">
        <f t="shared" si="46"/>
        <v>29783160000</v>
      </c>
      <c r="D171">
        <f t="shared" si="51"/>
        <v>1933</v>
      </c>
      <c r="E171" s="2">
        <f t="shared" si="47"/>
        <v>540000</v>
      </c>
      <c r="F171" s="2">
        <f t="shared" si="52"/>
        <v>946964.24</v>
      </c>
      <c r="G171" s="2">
        <f t="shared" si="53"/>
        <v>16071.735199999999</v>
      </c>
      <c r="H171" s="2">
        <f t="shared" si="54"/>
        <v>56251.073199999992</v>
      </c>
      <c r="I171" s="2">
        <f t="shared" si="55"/>
        <v>33.599358954097255</v>
      </c>
      <c r="J171" s="2">
        <f t="shared" si="56"/>
        <v>16.834598633044394</v>
      </c>
      <c r="K171">
        <f t="shared" si="57"/>
        <v>390855465490113.56</v>
      </c>
      <c r="L171" s="13">
        <f t="shared" si="48"/>
        <v>127842619.47761439</v>
      </c>
      <c r="M171" s="2">
        <f t="shared" si="58"/>
        <v>20472613.682427611</v>
      </c>
      <c r="N171" s="2">
        <f t="shared" si="59"/>
        <v>2.5506214523982557E+17</v>
      </c>
      <c r="O171" s="2">
        <f t="shared" si="60"/>
        <v>806577323846519.25</v>
      </c>
      <c r="P171" s="2">
        <f t="shared" si="61"/>
        <v>3.8464588940830539E+22</v>
      </c>
      <c r="Q171" s="2">
        <f t="shared" si="49"/>
        <v>5.1776260888433828E+19</v>
      </c>
    </row>
    <row r="172" spans="1:17" x14ac:dyDescent="0.2">
      <c r="A172">
        <f t="shared" si="50"/>
        <v>919</v>
      </c>
      <c r="B172">
        <f t="shared" si="45"/>
        <v>919000</v>
      </c>
      <c r="C172" s="1">
        <f t="shared" si="46"/>
        <v>29750787000</v>
      </c>
      <c r="D172">
        <f t="shared" si="51"/>
        <v>1932.5</v>
      </c>
      <c r="E172" s="2">
        <f t="shared" si="47"/>
        <v>540000</v>
      </c>
      <c r="F172" s="2">
        <f t="shared" si="52"/>
        <v>946511.01799999992</v>
      </c>
      <c r="G172" s="2">
        <f t="shared" si="53"/>
        <v>16067.577999999998</v>
      </c>
      <c r="H172" s="2">
        <f t="shared" si="54"/>
        <v>56236.522999999994</v>
      </c>
      <c r="I172" s="2">
        <f t="shared" si="55"/>
        <v>33.608052190566625</v>
      </c>
      <c r="J172" s="2">
        <f t="shared" si="56"/>
        <v>16.830895075074253</v>
      </c>
      <c r="K172">
        <f t="shared" si="57"/>
        <v>394268076301785.75</v>
      </c>
      <c r="L172" s="13">
        <f t="shared" si="48"/>
        <v>128461538.45599</v>
      </c>
      <c r="M172" s="2">
        <f t="shared" si="58"/>
        <v>20396932.402364261</v>
      </c>
      <c r="N172" s="2">
        <f t="shared" si="59"/>
        <v>2.572891265957144E+17</v>
      </c>
      <c r="O172" s="2">
        <f t="shared" si="60"/>
        <v>813619657237858</v>
      </c>
      <c r="P172" s="2">
        <f t="shared" si="61"/>
        <v>3.8322396577251128E+22</v>
      </c>
      <c r="Q172" s="2">
        <f t="shared" si="49"/>
        <v>5.202692307467595E+19</v>
      </c>
    </row>
    <row r="173" spans="1:17" x14ac:dyDescent="0.2">
      <c r="A173">
        <f t="shared" si="50"/>
        <v>918</v>
      </c>
      <c r="B173">
        <f t="shared" si="45"/>
        <v>918000</v>
      </c>
      <c r="C173" s="1">
        <f t="shared" si="46"/>
        <v>29718414000</v>
      </c>
      <c r="D173">
        <f t="shared" si="51"/>
        <v>1932</v>
      </c>
      <c r="E173" s="2">
        <f t="shared" si="47"/>
        <v>540000</v>
      </c>
      <c r="F173" s="2">
        <f t="shared" si="52"/>
        <v>946057.79599999997</v>
      </c>
      <c r="G173" s="2">
        <f t="shared" si="53"/>
        <v>16063.420799999998</v>
      </c>
      <c r="H173" s="2">
        <f t="shared" si="54"/>
        <v>56221.972799999996</v>
      </c>
      <c r="I173" s="2">
        <f t="shared" si="55"/>
        <v>33.616749926640786</v>
      </c>
      <c r="J173" s="2">
        <f t="shared" si="56"/>
        <v>16.827189600148646</v>
      </c>
      <c r="K173">
        <f t="shared" si="57"/>
        <v>397712272614246.56</v>
      </c>
      <c r="L173" s="13">
        <f t="shared" si="48"/>
        <v>129083776.46090761</v>
      </c>
      <c r="M173" s="2">
        <f t="shared" si="58"/>
        <v>20321491.938481525</v>
      </c>
      <c r="N173" s="2">
        <f t="shared" si="59"/>
        <v>2.59536719830676E+17</v>
      </c>
      <c r="O173" s="2">
        <f t="shared" si="60"/>
        <v>820727171113922.62</v>
      </c>
      <c r="P173" s="2">
        <f t="shared" si="61"/>
        <v>3.8180656666667764E+22</v>
      </c>
      <c r="Q173" s="2">
        <f t="shared" si="49"/>
        <v>5.2278929466667581E+19</v>
      </c>
    </row>
    <row r="174" spans="1:17" x14ac:dyDescent="0.2">
      <c r="A174">
        <f t="shared" si="50"/>
        <v>917</v>
      </c>
      <c r="B174">
        <f t="shared" si="45"/>
        <v>917000</v>
      </c>
      <c r="C174" s="1">
        <f t="shared" si="46"/>
        <v>29686041000</v>
      </c>
      <c r="D174">
        <f t="shared" si="51"/>
        <v>1931.5</v>
      </c>
      <c r="E174" s="2">
        <f t="shared" si="47"/>
        <v>540000</v>
      </c>
      <c r="F174" s="2">
        <f t="shared" si="52"/>
        <v>945604.57400000002</v>
      </c>
      <c r="G174" s="2">
        <f t="shared" si="53"/>
        <v>16059.263599999998</v>
      </c>
      <c r="H174" s="2">
        <f t="shared" si="54"/>
        <v>56207.422599999991</v>
      </c>
      <c r="I174" s="2">
        <f t="shared" si="55"/>
        <v>33.625452165814131</v>
      </c>
      <c r="J174" s="2">
        <f t="shared" si="56"/>
        <v>16.823482206778863</v>
      </c>
      <c r="K174">
        <f t="shared" si="57"/>
        <v>401188362880453.62</v>
      </c>
      <c r="L174" s="13">
        <f t="shared" si="48"/>
        <v>129709352.93922846</v>
      </c>
      <c r="M174" s="2">
        <f t="shared" si="58"/>
        <v>20246291.65864829</v>
      </c>
      <c r="N174" s="2">
        <f t="shared" si="59"/>
        <v>2.6180512623311501E+17</v>
      </c>
      <c r="O174" s="2">
        <f t="shared" si="60"/>
        <v>827900502004538.38</v>
      </c>
      <c r="P174" s="2">
        <f t="shared" si="61"/>
        <v>3.8039368021412688E+22</v>
      </c>
      <c r="Q174" s="2">
        <f t="shared" si="49"/>
        <v>5.2532287940387529E+19</v>
      </c>
    </row>
    <row r="175" spans="1:17" x14ac:dyDescent="0.2">
      <c r="A175">
        <f t="shared" si="50"/>
        <v>916</v>
      </c>
      <c r="B175">
        <f t="shared" si="45"/>
        <v>916000</v>
      </c>
      <c r="C175" s="1">
        <f t="shared" si="46"/>
        <v>29653668000</v>
      </c>
      <c r="D175">
        <f t="shared" si="51"/>
        <v>1931</v>
      </c>
      <c r="E175" s="2">
        <f t="shared" si="47"/>
        <v>540000</v>
      </c>
      <c r="F175" s="2">
        <f t="shared" si="52"/>
        <v>945151.35199999996</v>
      </c>
      <c r="G175" s="2">
        <f t="shared" si="53"/>
        <v>16055.106399999999</v>
      </c>
      <c r="H175" s="2">
        <f t="shared" si="54"/>
        <v>56192.872399999993</v>
      </c>
      <c r="I175" s="2">
        <f t="shared" si="55"/>
        <v>33.63415891158467</v>
      </c>
      <c r="J175" s="2">
        <f t="shared" si="56"/>
        <v>16.819772893474656</v>
      </c>
      <c r="K175">
        <f t="shared" si="57"/>
        <v>404696658719253.25</v>
      </c>
      <c r="L175" s="13">
        <f t="shared" si="48"/>
        <v>130338287.4610545</v>
      </c>
      <c r="M175" s="2">
        <f t="shared" si="58"/>
        <v>20171330.931997087</v>
      </c>
      <c r="N175" s="2">
        <f t="shared" si="59"/>
        <v>2.640945491574129E+17</v>
      </c>
      <c r="O175" s="2">
        <f t="shared" si="60"/>
        <v>835140292972722.88</v>
      </c>
      <c r="P175" s="2">
        <f t="shared" si="61"/>
        <v>3.789852945619229E+22</v>
      </c>
      <c r="Q175" s="2">
        <f t="shared" si="49"/>
        <v>5.2787006421727076E+19</v>
      </c>
    </row>
    <row r="176" spans="1:17" x14ac:dyDescent="0.2">
      <c r="A176">
        <f t="shared" si="50"/>
        <v>915</v>
      </c>
      <c r="B176">
        <f t="shared" si="45"/>
        <v>915000</v>
      </c>
      <c r="C176" s="1">
        <f t="shared" si="46"/>
        <v>29621295000</v>
      </c>
      <c r="D176">
        <f t="shared" si="51"/>
        <v>1930.5</v>
      </c>
      <c r="E176" s="2">
        <f t="shared" si="47"/>
        <v>540000</v>
      </c>
      <c r="F176" s="2">
        <f t="shared" si="52"/>
        <v>944698.13</v>
      </c>
      <c r="G176" s="2">
        <f t="shared" si="53"/>
        <v>16050.949199999999</v>
      </c>
      <c r="H176" s="2">
        <f t="shared" si="54"/>
        <v>56178.322199999995</v>
      </c>
      <c r="I176" s="2">
        <f t="shared" si="55"/>
        <v>33.642870167454021</v>
      </c>
      <c r="J176" s="2">
        <f t="shared" si="56"/>
        <v>16.816061658744236</v>
      </c>
      <c r="K176">
        <f t="shared" si="57"/>
        <v>408237474949414.38</v>
      </c>
      <c r="L176" s="13">
        <f t="shared" si="48"/>
        <v>130970599.72056806</v>
      </c>
      <c r="M176" s="2">
        <f t="shared" si="58"/>
        <v>20096609.128922358</v>
      </c>
      <c r="N176" s="2">
        <f t="shared" si="59"/>
        <v>2.664051940461377E+17</v>
      </c>
      <c r="O176" s="2">
        <f t="shared" si="60"/>
        <v>842447193684919.62</v>
      </c>
      <c r="P176" s="2">
        <f t="shared" si="61"/>
        <v>3.775813978808391E+22</v>
      </c>
      <c r="Q176" s="2">
        <f t="shared" si="49"/>
        <v>5.3043092886830064E+19</v>
      </c>
    </row>
    <row r="177" spans="1:17" x14ac:dyDescent="0.2">
      <c r="A177">
        <f t="shared" si="50"/>
        <v>914</v>
      </c>
      <c r="B177">
        <f t="shared" si="45"/>
        <v>914000</v>
      </c>
      <c r="C177" s="1">
        <f t="shared" si="46"/>
        <v>29588922000</v>
      </c>
      <c r="D177">
        <f t="shared" si="51"/>
        <v>1930</v>
      </c>
      <c r="E177" s="2">
        <f t="shared" si="47"/>
        <v>540000</v>
      </c>
      <c r="F177" s="2">
        <f t="shared" si="52"/>
        <v>944244.90800000005</v>
      </c>
      <c r="G177" s="2">
        <f t="shared" si="53"/>
        <v>16046.791999999998</v>
      </c>
      <c r="H177" s="2">
        <f t="shared" si="54"/>
        <v>56163.771999999997</v>
      </c>
      <c r="I177" s="2">
        <f t="shared" si="55"/>
        <v>33.651585936927461</v>
      </c>
      <c r="J177" s="2">
        <f t="shared" si="56"/>
        <v>16.812348501094267</v>
      </c>
      <c r="K177">
        <f t="shared" si="57"/>
        <v>411811129624067.25</v>
      </c>
      <c r="L177" s="13">
        <f t="shared" si="48"/>
        <v>131606309.53687482</v>
      </c>
      <c r="M177" s="2">
        <f t="shared" si="58"/>
        <v>20022125.621079013</v>
      </c>
      <c r="N177" s="2">
        <f t="shared" si="59"/>
        <v>2.6873726845251786E+17</v>
      </c>
      <c r="O177" s="2">
        <f t="shared" si="60"/>
        <v>849821860482065.88</v>
      </c>
      <c r="P177" s="2">
        <f t="shared" si="61"/>
        <v>3.761819783653307E+22</v>
      </c>
      <c r="Q177" s="2">
        <f t="shared" si="49"/>
        <v>5.3300555362434302E+19</v>
      </c>
    </row>
    <row r="178" spans="1:17" x14ac:dyDescent="0.2">
      <c r="A178">
        <f t="shared" si="50"/>
        <v>913</v>
      </c>
      <c r="B178">
        <f t="shared" si="45"/>
        <v>913000</v>
      </c>
      <c r="C178" s="1">
        <f t="shared" si="46"/>
        <v>29556549000</v>
      </c>
      <c r="D178">
        <f t="shared" si="51"/>
        <v>1929.5</v>
      </c>
      <c r="E178" s="2">
        <f t="shared" si="47"/>
        <v>540000</v>
      </c>
      <c r="F178" s="2">
        <f t="shared" si="52"/>
        <v>943791.68599999999</v>
      </c>
      <c r="G178" s="2">
        <f t="shared" si="53"/>
        <v>16042.634799999998</v>
      </c>
      <c r="H178" s="2">
        <f t="shared" si="54"/>
        <v>56149.221799999992</v>
      </c>
      <c r="I178" s="2">
        <f t="shared" si="55"/>
        <v>33.660306223513864</v>
      </c>
      <c r="J178" s="2">
        <f t="shared" si="56"/>
        <v>16.808633419029864</v>
      </c>
      <c r="K178">
        <f t="shared" si="57"/>
        <v>415417944065482.75</v>
      </c>
      <c r="L178" s="13">
        <f t="shared" si="48"/>
        <v>132245436.85485522</v>
      </c>
      <c r="M178" s="2">
        <f t="shared" si="58"/>
        <v>19947879.781380676</v>
      </c>
      <c r="N178" s="2">
        <f t="shared" si="59"/>
        <v>2.7109098206313818E+17</v>
      </c>
      <c r="O178" s="2">
        <f t="shared" si="60"/>
        <v>857264956451364.75</v>
      </c>
      <c r="P178" s="2">
        <f t="shared" si="61"/>
        <v>3.7478702423350209E+22</v>
      </c>
      <c r="Q178" s="2">
        <f t="shared" si="49"/>
        <v>5.3559401926216368E+19</v>
      </c>
    </row>
    <row r="179" spans="1:17" x14ac:dyDescent="0.2">
      <c r="A179">
        <f t="shared" si="50"/>
        <v>912</v>
      </c>
      <c r="B179">
        <f t="shared" si="45"/>
        <v>912000</v>
      </c>
      <c r="C179" s="1">
        <f t="shared" si="46"/>
        <v>29524176000</v>
      </c>
      <c r="D179">
        <f t="shared" si="51"/>
        <v>1929</v>
      </c>
      <c r="E179" s="2">
        <f t="shared" si="47"/>
        <v>540000</v>
      </c>
      <c r="F179" s="2">
        <f t="shared" si="52"/>
        <v>943338.46399999992</v>
      </c>
      <c r="G179" s="2">
        <f t="shared" si="53"/>
        <v>16038.477599999998</v>
      </c>
      <c r="H179" s="2">
        <f t="shared" si="54"/>
        <v>56134.671599999994</v>
      </c>
      <c r="I179" s="2">
        <f t="shared" si="55"/>
        <v>33.669031030725762</v>
      </c>
      <c r="J179" s="2">
        <f t="shared" si="56"/>
        <v>16.804916411054592</v>
      </c>
      <c r="K179">
        <f t="shared" si="57"/>
        <v>419058242900295.38</v>
      </c>
      <c r="L179" s="13">
        <f t="shared" si="48"/>
        <v>132888001.74602076</v>
      </c>
      <c r="M179" s="2">
        <f t="shared" si="58"/>
        <v>19873870.983998261</v>
      </c>
      <c r="N179" s="2">
        <f t="shared" si="59"/>
        <v>2.7346654672092554E+17</v>
      </c>
      <c r="O179" s="2">
        <f t="shared" si="60"/>
        <v>864777151498971.25</v>
      </c>
      <c r="P179" s="2">
        <f t="shared" si="61"/>
        <v>3.7339652372708008E+22</v>
      </c>
      <c r="Q179" s="2">
        <f t="shared" si="49"/>
        <v>5.3819640707138413E+19</v>
      </c>
    </row>
    <row r="180" spans="1:17" x14ac:dyDescent="0.2">
      <c r="A180">
        <f t="shared" si="50"/>
        <v>911</v>
      </c>
      <c r="B180">
        <f t="shared" si="45"/>
        <v>911000</v>
      </c>
      <c r="C180" s="1">
        <f t="shared" si="46"/>
        <v>29491803000</v>
      </c>
      <c r="D180">
        <f t="shared" si="51"/>
        <v>1928.5</v>
      </c>
      <c r="E180" s="2">
        <f t="shared" si="47"/>
        <v>540000</v>
      </c>
      <c r="F180" s="2">
        <f t="shared" si="52"/>
        <v>942885.24199999997</v>
      </c>
      <c r="G180" s="2">
        <f t="shared" si="53"/>
        <v>16034.320399999999</v>
      </c>
      <c r="H180" s="2">
        <f t="shared" si="54"/>
        <v>56120.121399999996</v>
      </c>
      <c r="I180" s="2">
        <f t="shared" si="55"/>
        <v>33.677760362079333</v>
      </c>
      <c r="J180" s="2">
        <f t="shared" si="56"/>
        <v>16.801197475670463</v>
      </c>
      <c r="K180">
        <f t="shared" si="57"/>
        <v>422732354095090.12</v>
      </c>
      <c r="L180" s="13">
        <f t="shared" si="48"/>
        <v>133534024.40937629</v>
      </c>
      <c r="M180" s="2">
        <f t="shared" si="58"/>
        <v>19800098.604358375</v>
      </c>
      <c r="N180" s="2">
        <f t="shared" si="59"/>
        <v>2.7586417644837197E+17</v>
      </c>
      <c r="O180" s="2">
        <f t="shared" si="60"/>
        <v>872359122423430.75</v>
      </c>
      <c r="P180" s="2">
        <f t="shared" si="61"/>
        <v>3.7201046511138374E+22</v>
      </c>
      <c r="Q180" s="2">
        <f t="shared" si="49"/>
        <v>5.4081279885797401E+19</v>
      </c>
    </row>
    <row r="181" spans="1:17" x14ac:dyDescent="0.2">
      <c r="A181">
        <f t="shared" si="50"/>
        <v>910</v>
      </c>
      <c r="B181">
        <f t="shared" si="45"/>
        <v>910000</v>
      </c>
      <c r="C181" s="1">
        <f t="shared" si="46"/>
        <v>29459430000</v>
      </c>
      <c r="D181">
        <f t="shared" si="51"/>
        <v>1928</v>
      </c>
      <c r="E181" s="2">
        <f t="shared" si="47"/>
        <v>540000</v>
      </c>
      <c r="F181" s="2">
        <f t="shared" si="52"/>
        <v>942432.02</v>
      </c>
      <c r="G181" s="2">
        <f t="shared" si="53"/>
        <v>16030.163199999999</v>
      </c>
      <c r="H181" s="2">
        <f t="shared" si="54"/>
        <v>56105.571199999991</v>
      </c>
      <c r="I181" s="2">
        <f t="shared" si="55"/>
        <v>33.686494221094392</v>
      </c>
      <c r="J181" s="2">
        <f t="shared" si="56"/>
        <v>16.797476611377949</v>
      </c>
      <c r="K181">
        <f t="shared" si="57"/>
        <v>426440608992392.31</v>
      </c>
      <c r="L181" s="13">
        <f t="shared" si="48"/>
        <v>134183525.17228973</v>
      </c>
      <c r="M181" s="2">
        <f t="shared" si="58"/>
        <v>19726562.019141998</v>
      </c>
      <c r="N181" s="2">
        <f t="shared" si="59"/>
        <v>2.7828408747102061E+17</v>
      </c>
      <c r="O181" s="2">
        <f t="shared" si="60"/>
        <v>880011552989947.62</v>
      </c>
      <c r="P181" s="2">
        <f t="shared" si="61"/>
        <v>3.7062883667529983E+22</v>
      </c>
      <c r="Q181" s="2">
        <f t="shared" si="49"/>
        <v>5.4344327694777344E+19</v>
      </c>
    </row>
    <row r="182" spans="1:17" x14ac:dyDescent="0.2">
      <c r="A182">
        <f t="shared" si="50"/>
        <v>909</v>
      </c>
      <c r="B182">
        <f t="shared" si="45"/>
        <v>909000</v>
      </c>
      <c r="C182" s="1">
        <f t="shared" si="46"/>
        <v>29427057000</v>
      </c>
      <c r="D182">
        <f t="shared" si="51"/>
        <v>1927.5</v>
      </c>
      <c r="E182" s="2">
        <f t="shared" si="47"/>
        <v>540000</v>
      </c>
      <c r="F182" s="2">
        <f t="shared" si="52"/>
        <v>941978.79799999995</v>
      </c>
      <c r="G182" s="2">
        <f t="shared" si="53"/>
        <v>16026.005999999998</v>
      </c>
      <c r="H182" s="2">
        <f t="shared" si="54"/>
        <v>56091.020999999993</v>
      </c>
      <c r="I182" s="2">
        <f t="shared" si="55"/>
        <v>33.695232611294422</v>
      </c>
      <c r="J182" s="2">
        <f t="shared" si="56"/>
        <v>16.793753816675935</v>
      </c>
      <c r="K182">
        <f t="shared" si="57"/>
        <v>430183342347077.88</v>
      </c>
      <c r="L182" s="13">
        <f t="shared" si="48"/>
        <v>134836524.49136752</v>
      </c>
      <c r="M182" s="2">
        <f t="shared" si="58"/>
        <v>19653260.60628213</v>
      </c>
      <c r="N182" s="2">
        <f t="shared" si="59"/>
        <v>2.8072649824122611E+17</v>
      </c>
      <c r="O182" s="2">
        <f t="shared" si="60"/>
        <v>887735134005523.12</v>
      </c>
      <c r="P182" s="2">
        <f t="shared" si="61"/>
        <v>3.6925162673123826E+22</v>
      </c>
      <c r="Q182" s="2">
        <f t="shared" si="49"/>
        <v>5.4608792419003843E+19</v>
      </c>
    </row>
    <row r="183" spans="1:17" x14ac:dyDescent="0.2">
      <c r="A183">
        <f t="shared" si="50"/>
        <v>908</v>
      </c>
      <c r="B183">
        <f t="shared" si="45"/>
        <v>908000</v>
      </c>
      <c r="C183" s="1">
        <f t="shared" si="46"/>
        <v>29394684000</v>
      </c>
      <c r="D183">
        <f t="shared" si="51"/>
        <v>1927</v>
      </c>
      <c r="E183" s="2">
        <f t="shared" si="47"/>
        <v>540000</v>
      </c>
      <c r="F183" s="2">
        <f t="shared" si="52"/>
        <v>941525.576</v>
      </c>
      <c r="G183" s="2">
        <f t="shared" si="53"/>
        <v>16021.848799999998</v>
      </c>
      <c r="H183" s="2">
        <f t="shared" si="54"/>
        <v>56076.470799999996</v>
      </c>
      <c r="I183" s="2">
        <f t="shared" si="55"/>
        <v>33.703975536206535</v>
      </c>
      <c r="J183" s="2">
        <f t="shared" si="56"/>
        <v>16.790029090061783</v>
      </c>
      <c r="K183">
        <f t="shared" si="57"/>
        <v>433960892363166.31</v>
      </c>
      <c r="L183" s="13">
        <f t="shared" si="48"/>
        <v>135493042.95333409</v>
      </c>
      <c r="M183" s="2">
        <f t="shared" si="58"/>
        <v>19580193.744963475</v>
      </c>
      <c r="N183" s="2">
        <f t="shared" si="59"/>
        <v>2.8319162946216493E+17</v>
      </c>
      <c r="O183" s="2">
        <f t="shared" si="60"/>
        <v>895530563394881.62</v>
      </c>
      <c r="P183" s="2">
        <f t="shared" si="61"/>
        <v>3.678788236151266E+22</v>
      </c>
      <c r="Q183" s="2">
        <f t="shared" si="49"/>
        <v>5.4874682396100305E+19</v>
      </c>
    </row>
    <row r="184" spans="1:17" x14ac:dyDescent="0.2">
      <c r="A184">
        <f t="shared" si="50"/>
        <v>907</v>
      </c>
      <c r="B184">
        <f t="shared" si="45"/>
        <v>907000</v>
      </c>
      <c r="C184" s="1">
        <f t="shared" si="46"/>
        <v>29362311000</v>
      </c>
      <c r="D184">
        <f t="shared" si="51"/>
        <v>1926.5</v>
      </c>
      <c r="E184" s="2">
        <f t="shared" si="47"/>
        <v>540000</v>
      </c>
      <c r="F184" s="2">
        <f t="shared" si="52"/>
        <v>941072.35400000005</v>
      </c>
      <c r="G184" s="2">
        <f t="shared" si="53"/>
        <v>16017.691599999998</v>
      </c>
      <c r="H184" s="2">
        <f t="shared" si="54"/>
        <v>56061.920599999998</v>
      </c>
      <c r="I184" s="2">
        <f t="shared" si="55"/>
        <v>33.712722999361532</v>
      </c>
      <c r="J184" s="2">
        <f t="shared" si="56"/>
        <v>16.78630243003127</v>
      </c>
      <c r="K184">
        <f t="shared" si="57"/>
        <v>437773600731067.69</v>
      </c>
      <c r="L184" s="13">
        <f t="shared" si="48"/>
        <v>136153101.27592397</v>
      </c>
      <c r="M184" s="2">
        <f t="shared" si="58"/>
        <v>19507360.815619703</v>
      </c>
      <c r="N184" s="2">
        <f t="shared" si="59"/>
        <v>2.8567970411214154E+17</v>
      </c>
      <c r="O184" s="2">
        <f t="shared" si="60"/>
        <v>903398546277333.88</v>
      </c>
      <c r="P184" s="2">
        <f t="shared" si="61"/>
        <v>3.6651041568635813E+22</v>
      </c>
      <c r="Q184" s="2">
        <f t="shared" si="49"/>
        <v>5.5142006016749208E+19</v>
      </c>
    </row>
    <row r="185" spans="1:17" x14ac:dyDescent="0.2">
      <c r="A185">
        <f t="shared" si="50"/>
        <v>906</v>
      </c>
      <c r="B185">
        <f t="shared" si="45"/>
        <v>906000</v>
      </c>
      <c r="C185" s="1">
        <f t="shared" si="46"/>
        <v>29329938000</v>
      </c>
      <c r="D185">
        <f t="shared" si="51"/>
        <v>1926</v>
      </c>
      <c r="E185" s="2">
        <f t="shared" si="47"/>
        <v>540000</v>
      </c>
      <c r="F185" s="2">
        <f t="shared" si="52"/>
        <v>940619.13199999998</v>
      </c>
      <c r="G185" s="2">
        <f t="shared" si="53"/>
        <v>16013.534399999999</v>
      </c>
      <c r="H185" s="2">
        <f t="shared" si="54"/>
        <v>56047.370399999993</v>
      </c>
      <c r="I185" s="2">
        <f t="shared" si="55"/>
        <v>33.721475004293872</v>
      </c>
      <c r="J185" s="2">
        <f t="shared" si="56"/>
        <v>16.782573835078622</v>
      </c>
      <c r="K185">
        <f t="shared" si="57"/>
        <v>441621812665213.06</v>
      </c>
      <c r="L185" s="13">
        <f t="shared" si="48"/>
        <v>136816720.30877358</v>
      </c>
      <c r="M185" s="2">
        <f t="shared" si="58"/>
        <v>19434761.19993259</v>
      </c>
      <c r="N185" s="2">
        <f t="shared" si="59"/>
        <v>2.8819094746914522E+17</v>
      </c>
      <c r="O185" s="2">
        <f t="shared" si="60"/>
        <v>911339795044432.62</v>
      </c>
      <c r="P185" s="2">
        <f t="shared" si="61"/>
        <v>3.6514639132777614E+22</v>
      </c>
      <c r="Q185" s="2">
        <f t="shared" si="49"/>
        <v>5.5410771725053297E+19</v>
      </c>
    </row>
    <row r="186" spans="1:17" x14ac:dyDescent="0.2">
      <c r="A186">
        <f t="shared" si="50"/>
        <v>905</v>
      </c>
      <c r="B186">
        <f t="shared" si="45"/>
        <v>905000</v>
      </c>
      <c r="C186" s="1">
        <f t="shared" si="46"/>
        <v>29297565000</v>
      </c>
      <c r="D186">
        <f t="shared" si="51"/>
        <v>1925.5</v>
      </c>
      <c r="E186" s="2">
        <f t="shared" si="47"/>
        <v>540000</v>
      </c>
      <c r="F186" s="2">
        <f t="shared" si="52"/>
        <v>940165.90999999992</v>
      </c>
      <c r="G186" s="2">
        <f t="shared" si="53"/>
        <v>16009.377199999999</v>
      </c>
      <c r="H186" s="2">
        <f t="shared" si="54"/>
        <v>56032.820199999995</v>
      </c>
      <c r="I186" s="2">
        <f t="shared" si="55"/>
        <v>33.730231554541675</v>
      </c>
      <c r="J186" s="2">
        <f t="shared" si="56"/>
        <v>16.778843303696501</v>
      </c>
      <c r="K186">
        <f t="shared" si="57"/>
        <v>445505876942121.25</v>
      </c>
      <c r="L186" s="13">
        <f t="shared" si="48"/>
        <v>137483921.03432301</v>
      </c>
      <c r="M186" s="2">
        <f t="shared" si="58"/>
        <v>19362394.280830272</v>
      </c>
      <c r="N186" s="2">
        <f t="shared" si="59"/>
        <v>2.9072558713569126E+17</v>
      </c>
      <c r="O186" s="2">
        <f t="shared" si="60"/>
        <v>919355029438528</v>
      </c>
      <c r="P186" s="2">
        <f t="shared" si="61"/>
        <v>3.6378673894564072E+22</v>
      </c>
      <c r="Q186" s="2">
        <f t="shared" si="49"/>
        <v>5.568098801890082E+19</v>
      </c>
    </row>
    <row r="187" spans="1:17" x14ac:dyDescent="0.2">
      <c r="A187">
        <f t="shared" si="50"/>
        <v>904</v>
      </c>
      <c r="B187">
        <f t="shared" si="45"/>
        <v>904000</v>
      </c>
      <c r="C187" s="1">
        <f t="shared" si="46"/>
        <v>29265192000</v>
      </c>
      <c r="D187">
        <f t="shared" si="51"/>
        <v>1925</v>
      </c>
      <c r="E187" s="2">
        <f t="shared" si="47"/>
        <v>540000</v>
      </c>
      <c r="F187" s="2">
        <f t="shared" si="52"/>
        <v>939712.68799999997</v>
      </c>
      <c r="G187" s="2">
        <f t="shared" si="53"/>
        <v>16005.219999999998</v>
      </c>
      <c r="H187" s="2">
        <f t="shared" si="54"/>
        <v>56018.27</v>
      </c>
      <c r="I187" s="2">
        <f t="shared" si="55"/>
        <v>33.738992653646754</v>
      </c>
      <c r="J187" s="2">
        <f t="shared" si="56"/>
        <v>16.775110834376001</v>
      </c>
      <c r="K187">
        <f t="shared" si="57"/>
        <v>449426145938910.94</v>
      </c>
      <c r="L187" s="13">
        <f t="shared" si="48"/>
        <v>138154724.56872329</v>
      </c>
      <c r="M187" s="2">
        <f t="shared" si="58"/>
        <v>19290259.44248566</v>
      </c>
      <c r="N187" s="2">
        <f t="shared" si="59"/>
        <v>2.9328385306395334E+17</v>
      </c>
      <c r="O187" s="2">
        <f t="shared" si="60"/>
        <v>927444976632240.88</v>
      </c>
      <c r="P187" s="2">
        <f t="shared" si="61"/>
        <v>3.6243144696959945E+22</v>
      </c>
      <c r="Q187" s="2">
        <f t="shared" si="49"/>
        <v>5.595266345033293E+19</v>
      </c>
    </row>
    <row r="188" spans="1:17" x14ac:dyDescent="0.2">
      <c r="A188">
        <f t="shared" si="50"/>
        <v>903</v>
      </c>
      <c r="B188">
        <f t="shared" si="45"/>
        <v>903000</v>
      </c>
      <c r="C188" s="1">
        <f t="shared" si="46"/>
        <v>29232819000</v>
      </c>
      <c r="D188">
        <f t="shared" si="51"/>
        <v>1924.5</v>
      </c>
      <c r="E188" s="2">
        <f t="shared" si="47"/>
        <v>540000</v>
      </c>
      <c r="F188" s="2">
        <f t="shared" si="52"/>
        <v>939259.46600000001</v>
      </c>
      <c r="G188" s="2">
        <f t="shared" si="53"/>
        <v>16001.062799999998</v>
      </c>
      <c r="H188" s="2">
        <f t="shared" si="54"/>
        <v>56003.719799999992</v>
      </c>
      <c r="I188" s="2">
        <f t="shared" si="55"/>
        <v>33.747758305154584</v>
      </c>
      <c r="J188" s="2">
        <f t="shared" si="56"/>
        <v>16.771376425606647</v>
      </c>
      <c r="K188">
        <f t="shared" si="57"/>
        <v>453382975672215.81</v>
      </c>
      <c r="L188" s="13">
        <f t="shared" si="48"/>
        <v>138829152.16275084</v>
      </c>
      <c r="M188" s="2">
        <f t="shared" si="58"/>
        <v>19218356.070314854</v>
      </c>
      <c r="N188" s="2">
        <f t="shared" si="59"/>
        <v>2.9586597758115802E+17</v>
      </c>
      <c r="O188" s="2">
        <f t="shared" si="60"/>
        <v>935610371308770.25</v>
      </c>
      <c r="P188" s="2">
        <f t="shared" si="61"/>
        <v>3.6108050385265706E+22</v>
      </c>
      <c r="Q188" s="2">
        <f t="shared" si="49"/>
        <v>5.6225806625914094E+19</v>
      </c>
    </row>
    <row r="189" spans="1:17" x14ac:dyDescent="0.2">
      <c r="A189">
        <f t="shared" si="50"/>
        <v>902</v>
      </c>
      <c r="B189">
        <f t="shared" si="45"/>
        <v>902000</v>
      </c>
      <c r="C189" s="1">
        <f t="shared" si="46"/>
        <v>29200446000</v>
      </c>
      <c r="D189">
        <f t="shared" si="51"/>
        <v>1924</v>
      </c>
      <c r="E189" s="2">
        <f t="shared" si="47"/>
        <v>540000</v>
      </c>
      <c r="F189" s="2">
        <f t="shared" si="52"/>
        <v>938806.24399999995</v>
      </c>
      <c r="G189" s="2">
        <f t="shared" si="53"/>
        <v>15996.905599999998</v>
      </c>
      <c r="H189" s="2">
        <f t="shared" si="54"/>
        <v>55989.169599999994</v>
      </c>
      <c r="I189" s="2">
        <f t="shared" si="55"/>
        <v>33.756528512614345</v>
      </c>
      <c r="J189" s="2">
        <f t="shared" si="56"/>
        <v>16.76764007587639</v>
      </c>
      <c r="K189">
        <f t="shared" si="57"/>
        <v>457376725837577.69</v>
      </c>
      <c r="L189" s="13">
        <f t="shared" si="48"/>
        <v>139507225.20273048</v>
      </c>
      <c r="M189" s="2">
        <f t="shared" si="58"/>
        <v>19146683.550975557</v>
      </c>
      <c r="N189" s="2">
        <f t="shared" si="59"/>
        <v>2.984721954152921E+17</v>
      </c>
      <c r="O189" s="2">
        <f t="shared" si="60"/>
        <v>943851955743184.75</v>
      </c>
      <c r="P189" s="2">
        <f t="shared" si="61"/>
        <v>3.5973389807114607E+22</v>
      </c>
      <c r="Q189" s="2">
        <f t="shared" si="49"/>
        <v>5.6500426207105843E+19</v>
      </c>
    </row>
    <row r="190" spans="1:17" x14ac:dyDescent="0.2">
      <c r="A190">
        <f t="shared" si="50"/>
        <v>901</v>
      </c>
      <c r="B190">
        <f t="shared" si="45"/>
        <v>901000</v>
      </c>
      <c r="C190" s="1">
        <f t="shared" si="46"/>
        <v>29168073000</v>
      </c>
      <c r="D190">
        <f t="shared" si="51"/>
        <v>1923.5</v>
      </c>
      <c r="E190" s="2">
        <f t="shared" si="47"/>
        <v>540000</v>
      </c>
      <c r="F190" s="2">
        <f t="shared" si="52"/>
        <v>938353.022</v>
      </c>
      <c r="G190" s="2">
        <f t="shared" si="53"/>
        <v>15992.748399999999</v>
      </c>
      <c r="H190" s="2">
        <f t="shared" si="54"/>
        <v>55974.619399999996</v>
      </c>
      <c r="I190" s="2">
        <f t="shared" si="55"/>
        <v>33.765303279578887</v>
      </c>
      <c r="J190" s="2">
        <f t="shared" si="56"/>
        <v>16.763901783671621</v>
      </c>
      <c r="K190">
        <f t="shared" si="57"/>
        <v>461407759849242.56</v>
      </c>
      <c r="L190" s="13">
        <f t="shared" si="48"/>
        <v>140188965.21145883</v>
      </c>
      <c r="M190" s="2">
        <f t="shared" si="58"/>
        <v>19075241.27236582</v>
      </c>
      <c r="N190" s="2">
        <f t="shared" si="59"/>
        <v>3.0110274372107226E+17</v>
      </c>
      <c r="O190" s="2">
        <f t="shared" si="60"/>
        <v>952170479884547.25</v>
      </c>
      <c r="P190" s="2">
        <f t="shared" si="61"/>
        <v>3.5839161812470303E+22</v>
      </c>
      <c r="Q190" s="2">
        <f t="shared" si="49"/>
        <v>5.6776530910640824E+19</v>
      </c>
    </row>
    <row r="191" spans="1:17" x14ac:dyDescent="0.2">
      <c r="A191">
        <v>900</v>
      </c>
      <c r="B191">
        <f t="shared" ref="B191:B240" si="62">A191*1000</f>
        <v>900000</v>
      </c>
      <c r="C191" s="1">
        <f t="shared" si="46"/>
        <v>29135700000</v>
      </c>
      <c r="D191">
        <f t="shared" ref="D191" si="63">IF(A191&gt;$B$4,$B$2+(A191-$B$4)*$B$5,$B$6+(($B$2-$B$6)/$B$4)*(A191))</f>
        <v>1923</v>
      </c>
      <c r="E191" s="2">
        <f t="shared" si="47"/>
        <v>540000</v>
      </c>
      <c r="F191" s="2">
        <f t="shared" ref="F191" si="64">+$F$20+$H$15*C191*(0.000001)</f>
        <v>937899.8</v>
      </c>
      <c r="G191" s="2">
        <f t="shared" ref="G191" si="65">+$B$17*D191</f>
        <v>15988.591199999999</v>
      </c>
      <c r="H191" s="2">
        <f t="shared" ref="H191" si="66">+$B$23*$B$17*D191</f>
        <v>55960.069199999991</v>
      </c>
      <c r="I191" s="2">
        <f t="shared" ref="I191" si="67">+E191/G191</f>
        <v>33.774082609604783</v>
      </c>
      <c r="J191" s="2">
        <f t="shared" ref="J191" si="68">+F191/H191</f>
        <v>16.760161547477146</v>
      </c>
      <c r="K191">
        <f t="shared" ref="K191" si="69">+EXP(I191)</f>
        <v>465476444880452.31</v>
      </c>
      <c r="L191" s="13">
        <f t="shared" si="48"/>
        <v>140874393.84914333</v>
      </c>
      <c r="M191" s="2">
        <f t="shared" ref="M191" si="70">+EXP(J191)</f>
        <v>19004028.62362206</v>
      </c>
      <c r="N191" s="2">
        <f t="shared" ref="N191" si="71">+$B$13*(($B$15/$B$21)^($B$23-1))*K191</f>
        <v>3.0375786210623853E+17</v>
      </c>
      <c r="O191" s="2">
        <f t="shared" ref="O191" si="72">+$B$13*(($B$15/$B$22)^($B$23-1))*K191</f>
        <v>960566701439060.88</v>
      </c>
      <c r="P191" s="2">
        <f t="shared" ref="P191" si="73">(1000000)*($F$18^(-1/$B$23))*($F$19^((1/$B$23)-1))*M191</f>
        <v>3.5705365253623124E+22</v>
      </c>
      <c r="Q191" s="2">
        <f t="shared" si="49"/>
        <v>5.7054129508903043E+19</v>
      </c>
    </row>
    <row r="192" spans="1:17" x14ac:dyDescent="0.2">
      <c r="A192">
        <f>+A191-1</f>
        <v>899</v>
      </c>
      <c r="B192">
        <f t="shared" si="62"/>
        <v>899000</v>
      </c>
      <c r="C192" s="1">
        <f t="shared" si="46"/>
        <v>29103327000</v>
      </c>
      <c r="D192">
        <f t="shared" ref="D192:D240" si="74">IF(A192&gt;$B$4,$B$2+(A192-$B$4)*$B$5,$B$6+(($B$2-$B$6)/$B$4)*(A192))</f>
        <v>1922.5</v>
      </c>
      <c r="E192" s="2">
        <f t="shared" si="47"/>
        <v>540000</v>
      </c>
      <c r="F192" s="2">
        <f t="shared" ref="F192:F240" si="75">+$F$20+$H$15*C192*(0.000001)</f>
        <v>937446.57799999998</v>
      </c>
      <c r="G192" s="2">
        <f t="shared" ref="G192:G240" si="76">+$B$17*D192</f>
        <v>15984.433999999997</v>
      </c>
      <c r="H192" s="2">
        <f t="shared" ref="H192:H240" si="77">+$B$23*$B$17*D192</f>
        <v>55945.518999999993</v>
      </c>
      <c r="I192" s="2">
        <f t="shared" ref="I192:I240" si="78">+E192/G192</f>
        <v>33.782866506252276</v>
      </c>
      <c r="J192" s="2">
        <f t="shared" ref="J192:J240" si="79">+F192/H192</f>
        <v>16.756419365776196</v>
      </c>
      <c r="K192">
        <f t="shared" ref="K192:K240" si="80">+EXP(I192)</f>
        <v>469583151904142.75</v>
      </c>
      <c r="L192" s="13">
        <f t="shared" si="48"/>
        <v>141563532.91434065</v>
      </c>
      <c r="M192" s="2">
        <f t="shared" ref="M192:M240" si="81">+EXP(J192)</f>
        <v>18933044.995117661</v>
      </c>
      <c r="N192" s="2">
        <f t="shared" ref="N192:N240" si="82">+$B$13*(($B$15/$B$21)^($B$23-1))*K192</f>
        <v>3.0643779265811264E+17</v>
      </c>
      <c r="O192" s="2">
        <f t="shared" ref="O192:O240" si="83">+$B$13*(($B$15/$B$22)^($B$23-1))*K192</f>
        <v>969041385954055.12</v>
      </c>
      <c r="P192" s="2">
        <f t="shared" ref="P192:P240" si="84">(1000000)*($F$18^(-1/$B$23))*($F$19^((1/$B$23)-1))*M192</f>
        <v>3.5571998985187458E+22</v>
      </c>
      <c r="Q192" s="2">
        <f t="shared" si="49"/>
        <v>5.7333230830307959E+19</v>
      </c>
    </row>
    <row r="193" spans="1:17" x14ac:dyDescent="0.2">
      <c r="A193">
        <f t="shared" ref="A193:A256" si="85">+A192-1</f>
        <v>898</v>
      </c>
      <c r="B193">
        <f t="shared" si="62"/>
        <v>898000</v>
      </c>
      <c r="C193" s="1">
        <f t="shared" si="46"/>
        <v>29070954000</v>
      </c>
      <c r="D193">
        <f t="shared" si="74"/>
        <v>1922</v>
      </c>
      <c r="E193" s="2">
        <f t="shared" si="47"/>
        <v>540000</v>
      </c>
      <c r="F193" s="2">
        <f t="shared" si="75"/>
        <v>936993.35599999991</v>
      </c>
      <c r="G193" s="2">
        <f t="shared" si="76"/>
        <v>15980.276799999998</v>
      </c>
      <c r="H193" s="2">
        <f t="shared" si="77"/>
        <v>55930.968799999995</v>
      </c>
      <c r="I193" s="2">
        <f t="shared" si="78"/>
        <v>33.791654973085329</v>
      </c>
      <c r="J193" s="2">
        <f t="shared" si="79"/>
        <v>16.752675237050425</v>
      </c>
      <c r="K193">
        <f t="shared" si="80"/>
        <v>473728255734145</v>
      </c>
      <c r="L193" s="13">
        <f t="shared" si="48"/>
        <v>142256404.34490547</v>
      </c>
      <c r="M193" s="2">
        <f t="shared" si="81"/>
        <v>18862289.778461535</v>
      </c>
      <c r="N193" s="2">
        <f t="shared" si="82"/>
        <v>3.0914277997048512E+17</v>
      </c>
      <c r="O193" s="2">
        <f t="shared" si="83"/>
        <v>977595306903009.38</v>
      </c>
      <c r="P193" s="2">
        <f t="shared" si="84"/>
        <v>3.543906186409904E+22</v>
      </c>
      <c r="Q193" s="2">
        <f t="shared" si="49"/>
        <v>5.7613843759686713E+19</v>
      </c>
    </row>
    <row r="194" spans="1:17" x14ac:dyDescent="0.2">
      <c r="A194">
        <f t="shared" si="85"/>
        <v>897</v>
      </c>
      <c r="B194">
        <f t="shared" si="62"/>
        <v>897000</v>
      </c>
      <c r="C194" s="1">
        <f t="shared" si="46"/>
        <v>29038581000</v>
      </c>
      <c r="D194">
        <f t="shared" si="74"/>
        <v>1921.5</v>
      </c>
      <c r="E194" s="2">
        <f t="shared" si="47"/>
        <v>540000</v>
      </c>
      <c r="F194" s="2">
        <f t="shared" si="75"/>
        <v>936540.13399999996</v>
      </c>
      <c r="G194" s="2">
        <f t="shared" si="76"/>
        <v>15976.119599999998</v>
      </c>
      <c r="H194" s="2">
        <f t="shared" si="77"/>
        <v>55916.418599999997</v>
      </c>
      <c r="I194" s="2">
        <f t="shared" si="78"/>
        <v>33.800448013671613</v>
      </c>
      <c r="J194" s="2">
        <f t="shared" si="79"/>
        <v>16.748929159779916</v>
      </c>
      <c r="K194">
        <f t="shared" si="80"/>
        <v>477912135066830.19</v>
      </c>
      <c r="L194" s="13">
        <f t="shared" si="48"/>
        <v>142953030.21894562</v>
      </c>
      <c r="M194" s="2">
        <f t="shared" si="81"/>
        <v>18791762.3664966</v>
      </c>
      <c r="N194" s="2">
        <f t="shared" si="82"/>
        <v>3.1187307117079136E+17</v>
      </c>
      <c r="O194" s="2">
        <f t="shared" si="83"/>
        <v>986229245771492.12</v>
      </c>
      <c r="P194" s="2">
        <f t="shared" si="84"/>
        <v>3.5306552749612094E+22</v>
      </c>
      <c r="Q194" s="2">
        <f t="shared" si="49"/>
        <v>5.7895977238672974E+19</v>
      </c>
    </row>
    <row r="195" spans="1:17" x14ac:dyDescent="0.2">
      <c r="A195">
        <f t="shared" si="85"/>
        <v>896</v>
      </c>
      <c r="B195">
        <f t="shared" si="62"/>
        <v>896000</v>
      </c>
      <c r="C195" s="1">
        <f t="shared" si="46"/>
        <v>29006208000</v>
      </c>
      <c r="D195">
        <f t="shared" si="74"/>
        <v>1921</v>
      </c>
      <c r="E195" s="2">
        <f t="shared" si="47"/>
        <v>540000</v>
      </c>
      <c r="F195" s="2">
        <f t="shared" si="75"/>
        <v>936086.91200000001</v>
      </c>
      <c r="G195" s="2">
        <f t="shared" si="76"/>
        <v>15971.962399999999</v>
      </c>
      <c r="H195" s="2">
        <f t="shared" si="77"/>
        <v>55901.868399999992</v>
      </c>
      <c r="I195" s="2">
        <f t="shared" si="78"/>
        <v>33.809245631582506</v>
      </c>
      <c r="J195" s="2">
        <f t="shared" si="79"/>
        <v>16.745181132443154</v>
      </c>
      <c r="K195">
        <f t="shared" si="80"/>
        <v>482135172523228.81</v>
      </c>
      <c r="L195" s="13">
        <f t="shared" si="48"/>
        <v>143653432.75578442</v>
      </c>
      <c r="M195" s="2">
        <f t="shared" si="81"/>
        <v>18721462.153297849</v>
      </c>
      <c r="N195" s="2">
        <f t="shared" si="82"/>
        <v>3.1462891594759776E+17</v>
      </c>
      <c r="O195" s="2">
        <f t="shared" si="83"/>
        <v>994943992144078.75</v>
      </c>
      <c r="P195" s="2">
        <f t="shared" si="84"/>
        <v>3.5174470503295701E+22</v>
      </c>
      <c r="Q195" s="2">
        <f t="shared" si="49"/>
        <v>5.8179640266092691E+19</v>
      </c>
    </row>
    <row r="196" spans="1:17" x14ac:dyDescent="0.2">
      <c r="A196">
        <f t="shared" si="85"/>
        <v>895</v>
      </c>
      <c r="B196">
        <f t="shared" si="62"/>
        <v>895000</v>
      </c>
      <c r="C196" s="1">
        <f t="shared" si="46"/>
        <v>28973835000</v>
      </c>
      <c r="D196">
        <f t="shared" si="74"/>
        <v>1920.5</v>
      </c>
      <c r="E196" s="2">
        <f t="shared" si="47"/>
        <v>540000</v>
      </c>
      <c r="F196" s="2">
        <f t="shared" si="75"/>
        <v>935633.69</v>
      </c>
      <c r="G196" s="2">
        <f t="shared" si="76"/>
        <v>15967.805199999999</v>
      </c>
      <c r="H196" s="2">
        <f t="shared" si="77"/>
        <v>55887.318199999994</v>
      </c>
      <c r="I196" s="2">
        <f t="shared" si="78"/>
        <v>33.818047830393127</v>
      </c>
      <c r="J196" s="2">
        <f t="shared" si="79"/>
        <v>16.741431153517045</v>
      </c>
      <c r="K196">
        <f t="shared" si="80"/>
        <v>486397754691641.38</v>
      </c>
      <c r="L196" s="13">
        <f t="shared" si="48"/>
        <v>144357634.3169302</v>
      </c>
      <c r="M196" s="2">
        <f t="shared" si="81"/>
        <v>18651388.534171116</v>
      </c>
      <c r="N196" s="2">
        <f t="shared" si="82"/>
        <v>3.1741056657840838E+17</v>
      </c>
      <c r="O196" s="2">
        <f t="shared" si="83"/>
        <v>1003740343792284.2</v>
      </c>
      <c r="P196" s="2">
        <f t="shared" si="84"/>
        <v>3.5042813989031493E+22</v>
      </c>
      <c r="Q196" s="2">
        <f t="shared" si="49"/>
        <v>5.8464841898356736E+19</v>
      </c>
    </row>
    <row r="197" spans="1:17" x14ac:dyDescent="0.2">
      <c r="A197">
        <f t="shared" si="85"/>
        <v>894</v>
      </c>
      <c r="B197">
        <f t="shared" si="62"/>
        <v>894000</v>
      </c>
      <c r="C197" s="1">
        <f t="shared" si="46"/>
        <v>28941462000</v>
      </c>
      <c r="D197">
        <f t="shared" si="74"/>
        <v>1920</v>
      </c>
      <c r="E197" s="2">
        <f t="shared" si="47"/>
        <v>540000</v>
      </c>
      <c r="F197" s="2">
        <f t="shared" si="75"/>
        <v>935180.46799999999</v>
      </c>
      <c r="G197" s="2">
        <f t="shared" si="76"/>
        <v>15963.647999999997</v>
      </c>
      <c r="H197" s="2">
        <f t="shared" si="77"/>
        <v>55872.767999999996</v>
      </c>
      <c r="I197" s="2">
        <f t="shared" si="78"/>
        <v>33.826854613682293</v>
      </c>
      <c r="J197" s="2">
        <f t="shared" si="79"/>
        <v>16.73767922147691</v>
      </c>
      <c r="K197">
        <f t="shared" si="80"/>
        <v>490700272170700.88</v>
      </c>
      <c r="L197" s="13">
        <f t="shared" si="48"/>
        <v>145065657.40705121</v>
      </c>
      <c r="M197" s="2">
        <f t="shared" si="81"/>
        <v>18581540.905651469</v>
      </c>
      <c r="N197" s="2">
        <f t="shared" si="82"/>
        <v>3.2021827795776608E+17</v>
      </c>
      <c r="O197" s="2">
        <f t="shared" si="83"/>
        <v>1012619106763427.8</v>
      </c>
      <c r="P197" s="2">
        <f t="shared" si="84"/>
        <v>3.4911582073010625E+22</v>
      </c>
      <c r="Q197" s="2">
        <f t="shared" si="49"/>
        <v>5.8751591249855742E+19</v>
      </c>
    </row>
    <row r="198" spans="1:17" x14ac:dyDescent="0.2">
      <c r="A198">
        <f t="shared" si="85"/>
        <v>893</v>
      </c>
      <c r="B198">
        <f t="shared" si="62"/>
        <v>893000</v>
      </c>
      <c r="C198" s="1">
        <f t="shared" si="46"/>
        <v>28909089000</v>
      </c>
      <c r="D198">
        <f t="shared" si="74"/>
        <v>1919.5</v>
      </c>
      <c r="E198" s="2">
        <f t="shared" si="47"/>
        <v>540000</v>
      </c>
      <c r="F198" s="2">
        <f t="shared" si="75"/>
        <v>934727.24600000004</v>
      </c>
      <c r="G198" s="2">
        <f t="shared" si="76"/>
        <v>15959.490799999998</v>
      </c>
      <c r="H198" s="2">
        <f t="shared" si="77"/>
        <v>55858.217799999991</v>
      </c>
      <c r="I198" s="2">
        <f t="shared" si="78"/>
        <v>33.835665985032563</v>
      </c>
      <c r="J198" s="2">
        <f t="shared" si="79"/>
        <v>16.733925334796488</v>
      </c>
      <c r="K198">
        <f t="shared" si="80"/>
        <v>495043119612958.25</v>
      </c>
      <c r="L198" s="13">
        <f t="shared" si="48"/>
        <v>145777524.67495897</v>
      </c>
      <c r="M198" s="2">
        <f t="shared" si="81"/>
        <v>18511918.665501781</v>
      </c>
      <c r="N198" s="2">
        <f t="shared" si="82"/>
        <v>3.2305230762569581E+17</v>
      </c>
      <c r="O198" s="2">
        <f t="shared" si="83"/>
        <v>1021581095470576.2</v>
      </c>
      <c r="P198" s="2">
        <f t="shared" si="84"/>
        <v>3.478077362373108E+22</v>
      </c>
      <c r="Q198" s="2">
        <f t="shared" si="49"/>
        <v>5.9039897493358387E+19</v>
      </c>
    </row>
    <row r="199" spans="1:17" x14ac:dyDescent="0.2">
      <c r="A199">
        <f t="shared" si="85"/>
        <v>892</v>
      </c>
      <c r="B199">
        <f t="shared" si="62"/>
        <v>892000</v>
      </c>
      <c r="C199" s="1">
        <f t="shared" si="46"/>
        <v>28876716000</v>
      </c>
      <c r="D199">
        <f t="shared" si="74"/>
        <v>1919</v>
      </c>
      <c r="E199" s="2">
        <f t="shared" si="47"/>
        <v>540000</v>
      </c>
      <c r="F199" s="2">
        <f t="shared" si="75"/>
        <v>934274.02399999998</v>
      </c>
      <c r="G199" s="2">
        <f t="shared" si="76"/>
        <v>15955.333599999998</v>
      </c>
      <c r="H199" s="2">
        <f t="shared" si="77"/>
        <v>55843.667599999993</v>
      </c>
      <c r="I199" s="2">
        <f t="shared" si="78"/>
        <v>33.844481948030221</v>
      </c>
      <c r="J199" s="2">
        <f t="shared" si="79"/>
        <v>16.730169491947912</v>
      </c>
      <c r="K199">
        <f t="shared" si="80"/>
        <v>499426695768941.5</v>
      </c>
      <c r="L199" s="13">
        <f t="shared" si="48"/>
        <v>146493258.9146007</v>
      </c>
      <c r="M199" s="2">
        <f t="shared" si="81"/>
        <v>18442521.212710653</v>
      </c>
      <c r="N199" s="2">
        <f t="shared" si="82"/>
        <v>3.2591291579645587E+17</v>
      </c>
      <c r="O199" s="2">
        <f t="shared" si="83"/>
        <v>1030627132783465.8</v>
      </c>
      <c r="P199" s="2">
        <f t="shared" si="84"/>
        <v>3.4650387511993786E+22</v>
      </c>
      <c r="Q199" s="2">
        <f t="shared" si="49"/>
        <v>5.9329769860413284E+19</v>
      </c>
    </row>
    <row r="200" spans="1:17" x14ac:dyDescent="0.2">
      <c r="A200">
        <f t="shared" si="85"/>
        <v>891</v>
      </c>
      <c r="B200">
        <f t="shared" si="62"/>
        <v>891000</v>
      </c>
      <c r="C200" s="1">
        <f t="shared" si="46"/>
        <v>28844343000</v>
      </c>
      <c r="D200">
        <f t="shared" si="74"/>
        <v>1918.5</v>
      </c>
      <c r="E200" s="2">
        <f t="shared" si="47"/>
        <v>540000</v>
      </c>
      <c r="F200" s="2">
        <f t="shared" si="75"/>
        <v>933820.80199999991</v>
      </c>
      <c r="G200" s="2">
        <f t="shared" si="76"/>
        <v>15951.176399999998</v>
      </c>
      <c r="H200" s="2">
        <f t="shared" si="77"/>
        <v>55829.117399999996</v>
      </c>
      <c r="I200" s="2">
        <f t="shared" si="78"/>
        <v>33.853302506265308</v>
      </c>
      <c r="J200" s="2">
        <f t="shared" si="79"/>
        <v>16.726411691401733</v>
      </c>
      <c r="K200">
        <f t="shared" si="80"/>
        <v>503851403531728.94</v>
      </c>
      <c r="L200" s="13">
        <f t="shared" si="48"/>
        <v>147212883.06605536</v>
      </c>
      <c r="M200" s="2">
        <f t="shared" si="81"/>
        <v>18373347.947491515</v>
      </c>
      <c r="N200" s="2">
        <f t="shared" si="82"/>
        <v>3.2880036538762554E+17</v>
      </c>
      <c r="O200" s="2">
        <f t="shared" si="83"/>
        <v>1039758050120484</v>
      </c>
      <c r="P200" s="2">
        <f t="shared" si="84"/>
        <v>3.4520422610900921E+22</v>
      </c>
      <c r="Q200" s="2">
        <f t="shared" si="49"/>
        <v>5.962121764175242E+19</v>
      </c>
    </row>
    <row r="201" spans="1:17" x14ac:dyDescent="0.2">
      <c r="A201">
        <f t="shared" si="85"/>
        <v>890</v>
      </c>
      <c r="B201">
        <f t="shared" si="62"/>
        <v>890000</v>
      </c>
      <c r="C201" s="1">
        <f t="shared" si="46"/>
        <v>28811970000</v>
      </c>
      <c r="D201">
        <f t="shared" si="74"/>
        <v>1918</v>
      </c>
      <c r="E201" s="2">
        <f t="shared" si="47"/>
        <v>540000</v>
      </c>
      <c r="F201" s="2">
        <f t="shared" si="75"/>
        <v>933367.58</v>
      </c>
      <c r="G201" s="2">
        <f t="shared" si="76"/>
        <v>15947.019199999999</v>
      </c>
      <c r="H201" s="2">
        <f t="shared" si="77"/>
        <v>55814.567199999998</v>
      </c>
      <c r="I201" s="2">
        <f t="shared" si="78"/>
        <v>33.862127663331592</v>
      </c>
      <c r="J201" s="2">
        <f t="shared" si="79"/>
        <v>16.72265193162691</v>
      </c>
      <c r="K201">
        <f t="shared" si="80"/>
        <v>508317649982007.75</v>
      </c>
      <c r="L201" s="13">
        <f t="shared" si="48"/>
        <v>147936420.21653861</v>
      </c>
      <c r="M201" s="2">
        <f t="shared" si="81"/>
        <v>18304398.271280773</v>
      </c>
      <c r="N201" s="2">
        <f t="shared" si="82"/>
        <v>3.3171492204950925E+17</v>
      </c>
      <c r="O201" s="2">
        <f t="shared" si="83"/>
        <v>1048974687541653.8</v>
      </c>
      <c r="P201" s="2">
        <f t="shared" si="84"/>
        <v>3.4390877795852417E+22</v>
      </c>
      <c r="Q201" s="2">
        <f t="shared" si="49"/>
        <v>5.9914250187698135E+19</v>
      </c>
    </row>
    <row r="202" spans="1:17" x14ac:dyDescent="0.2">
      <c r="A202">
        <f t="shared" si="85"/>
        <v>889</v>
      </c>
      <c r="B202">
        <f t="shared" si="62"/>
        <v>889000</v>
      </c>
      <c r="C202" s="1">
        <f t="shared" si="46"/>
        <v>28779597000</v>
      </c>
      <c r="D202">
        <f t="shared" si="74"/>
        <v>1917.5</v>
      </c>
      <c r="E202" s="2">
        <f t="shared" si="47"/>
        <v>540000</v>
      </c>
      <c r="F202" s="2">
        <f t="shared" si="75"/>
        <v>932914.35800000001</v>
      </c>
      <c r="G202" s="2">
        <f t="shared" si="76"/>
        <v>15942.861999999999</v>
      </c>
      <c r="H202" s="2">
        <f t="shared" si="77"/>
        <v>55800.016999999993</v>
      </c>
      <c r="I202" s="2">
        <f t="shared" si="78"/>
        <v>33.870957422826592</v>
      </c>
      <c r="J202" s="2">
        <f t="shared" si="79"/>
        <v>16.718890211090798</v>
      </c>
      <c r="K202">
        <f t="shared" si="80"/>
        <v>512825846433665.44</v>
      </c>
      <c r="L202" s="13">
        <f t="shared" si="48"/>
        <v>148663893.60141736</v>
      </c>
      <c r="M202" s="2">
        <f t="shared" si="81"/>
        <v>18235671.586736146</v>
      </c>
      <c r="N202" s="2">
        <f t="shared" si="82"/>
        <v>3.3465685419488813E+17</v>
      </c>
      <c r="O202" s="2">
        <f t="shared" si="83"/>
        <v>1058277893842716.5</v>
      </c>
      <c r="P202" s="2">
        <f t="shared" si="84"/>
        <v>3.4261751944542857E+22</v>
      </c>
      <c r="Q202" s="2">
        <f t="shared" si="49"/>
        <v>6.0208876908574032E+19</v>
      </c>
    </row>
    <row r="203" spans="1:17" x14ac:dyDescent="0.2">
      <c r="A203">
        <f t="shared" si="85"/>
        <v>888</v>
      </c>
      <c r="B203">
        <f t="shared" si="62"/>
        <v>888000</v>
      </c>
      <c r="C203" s="1">
        <f t="shared" si="46"/>
        <v>28747224000</v>
      </c>
      <c r="D203">
        <f t="shared" si="74"/>
        <v>1917</v>
      </c>
      <c r="E203" s="2">
        <f t="shared" si="47"/>
        <v>540000</v>
      </c>
      <c r="F203" s="2">
        <f t="shared" si="75"/>
        <v>932461.13599999994</v>
      </c>
      <c r="G203" s="2">
        <f t="shared" si="76"/>
        <v>15938.704799999998</v>
      </c>
      <c r="H203" s="2">
        <f t="shared" si="77"/>
        <v>55785.466799999995</v>
      </c>
      <c r="I203" s="2">
        <f t="shared" si="78"/>
        <v>33.879791788351589</v>
      </c>
      <c r="J203" s="2">
        <f t="shared" si="79"/>
        <v>16.715126528259148</v>
      </c>
      <c r="K203">
        <f t="shared" si="80"/>
        <v>517376408479892.75</v>
      </c>
      <c r="L203" s="13">
        <f t="shared" si="48"/>
        <v>149395326.60522726</v>
      </c>
      <c r="M203" s="2">
        <f t="shared" si="81"/>
        <v>18167167.297735088</v>
      </c>
      <c r="N203" s="2">
        <f t="shared" si="82"/>
        <v>3.376264330291056E+17</v>
      </c>
      <c r="O203" s="2">
        <f t="shared" si="83"/>
        <v>1067668526650271.2</v>
      </c>
      <c r="P203" s="2">
        <f t="shared" si="84"/>
        <v>3.4133043936958498E+22</v>
      </c>
      <c r="Q203" s="2">
        <f t="shared" si="49"/>
        <v>6.0505107275117044E+19</v>
      </c>
    </row>
    <row r="204" spans="1:17" x14ac:dyDescent="0.2">
      <c r="A204">
        <f t="shared" si="85"/>
        <v>887</v>
      </c>
      <c r="B204">
        <f t="shared" si="62"/>
        <v>887000</v>
      </c>
      <c r="C204" s="1">
        <f t="shared" si="46"/>
        <v>28714851000</v>
      </c>
      <c r="D204">
        <f t="shared" si="74"/>
        <v>1916.5</v>
      </c>
      <c r="E204" s="2">
        <f t="shared" si="47"/>
        <v>540000</v>
      </c>
      <c r="F204" s="2">
        <f t="shared" si="75"/>
        <v>932007.91399999999</v>
      </c>
      <c r="G204" s="2">
        <f t="shared" si="76"/>
        <v>15934.547599999998</v>
      </c>
      <c r="H204" s="2">
        <f t="shared" si="77"/>
        <v>55770.916599999997</v>
      </c>
      <c r="I204" s="2">
        <f t="shared" si="78"/>
        <v>33.888630763511607</v>
      </c>
      <c r="J204" s="2">
        <f t="shared" si="79"/>
        <v>16.711360881596125</v>
      </c>
      <c r="K204">
        <f t="shared" si="80"/>
        <v>521969756039799.75</v>
      </c>
      <c r="L204" s="13">
        <f t="shared" si="48"/>
        <v>150130742.76270014</v>
      </c>
      <c r="M204" s="2">
        <f t="shared" si="81"/>
        <v>18098884.809373669</v>
      </c>
      <c r="N204" s="2">
        <f t="shared" si="82"/>
        <v>3.4062393258048806E+17</v>
      </c>
      <c r="O204" s="2">
        <f t="shared" si="83"/>
        <v>1077147452517972.8</v>
      </c>
      <c r="P204" s="2">
        <f t="shared" si="84"/>
        <v>3.4004752655375168E+22</v>
      </c>
      <c r="Q204" s="2">
        <f t="shared" si="49"/>
        <v>6.0802950818893554E+19</v>
      </c>
    </row>
    <row r="205" spans="1:17" x14ac:dyDescent="0.2">
      <c r="A205">
        <f t="shared" si="85"/>
        <v>886</v>
      </c>
      <c r="B205">
        <f t="shared" si="62"/>
        <v>886000</v>
      </c>
      <c r="C205" s="1">
        <f t="shared" si="46"/>
        <v>28682478000</v>
      </c>
      <c r="D205">
        <f t="shared" si="74"/>
        <v>1916</v>
      </c>
      <c r="E205" s="2">
        <f t="shared" si="47"/>
        <v>540000</v>
      </c>
      <c r="F205" s="2">
        <f t="shared" si="75"/>
        <v>931554.69200000004</v>
      </c>
      <c r="G205" s="2">
        <f t="shared" si="76"/>
        <v>15930.390399999998</v>
      </c>
      <c r="H205" s="2">
        <f t="shared" si="77"/>
        <v>55756.366399999992</v>
      </c>
      <c r="I205" s="2">
        <f t="shared" si="78"/>
        <v>33.897474351915449</v>
      </c>
      <c r="J205" s="2">
        <f t="shared" si="79"/>
        <v>16.707593269564285</v>
      </c>
      <c r="K205">
        <f t="shared" si="80"/>
        <v>526606313405587.88</v>
      </c>
      <c r="L205" s="13">
        <f t="shared" si="48"/>
        <v>150870165.75980178</v>
      </c>
      <c r="M205" s="2">
        <f t="shared" si="81"/>
        <v>18030823.527964592</v>
      </c>
      <c r="N205" s="2">
        <f t="shared" si="82"/>
        <v>3.4364962973112787E+17</v>
      </c>
      <c r="O205" s="2">
        <f t="shared" si="83"/>
        <v>1086715547023876.1</v>
      </c>
      <c r="P205" s="2">
        <f t="shared" si="84"/>
        <v>3.3876876984354548E+22</v>
      </c>
      <c r="Q205" s="2">
        <f t="shared" si="49"/>
        <v>6.1102417132719718E+19</v>
      </c>
    </row>
    <row r="206" spans="1:17" x14ac:dyDescent="0.2">
      <c r="A206">
        <f t="shared" si="85"/>
        <v>885</v>
      </c>
      <c r="B206">
        <f t="shared" si="62"/>
        <v>885000</v>
      </c>
      <c r="C206" s="1">
        <f t="shared" si="46"/>
        <v>28650105000</v>
      </c>
      <c r="D206">
        <f t="shared" si="74"/>
        <v>1915.5</v>
      </c>
      <c r="E206" s="2">
        <f t="shared" si="47"/>
        <v>540000</v>
      </c>
      <c r="F206" s="2">
        <f t="shared" si="75"/>
        <v>931101.47</v>
      </c>
      <c r="G206" s="2">
        <f t="shared" si="76"/>
        <v>15926.233199999999</v>
      </c>
      <c r="H206" s="2">
        <f t="shared" si="77"/>
        <v>55741.816199999994</v>
      </c>
      <c r="I206" s="2">
        <f t="shared" si="78"/>
        <v>33.90632255717567</v>
      </c>
      <c r="J206" s="2">
        <f t="shared" si="79"/>
        <v>16.703823690624564</v>
      </c>
      <c r="K206">
        <f t="shared" si="80"/>
        <v>531286509290226.5</v>
      </c>
      <c r="L206" s="13">
        <f t="shared" si="48"/>
        <v>151613619.43477184</v>
      </c>
      <c r="M206" s="2">
        <f t="shared" si="81"/>
        <v>17962982.861035489</v>
      </c>
      <c r="N206" s="2">
        <f t="shared" si="82"/>
        <v>3.4670380424799597E+17</v>
      </c>
      <c r="O206" s="2">
        <f t="shared" si="83"/>
        <v>1096373694868823.6</v>
      </c>
      <c r="P206" s="2">
        <f t="shared" si="84"/>
        <v>3.3749415810740966E+22</v>
      </c>
      <c r="Q206" s="2">
        <f t="shared" si="49"/>
        <v>6.1403515871082594E+19</v>
      </c>
    </row>
    <row r="207" spans="1:17" x14ac:dyDescent="0.2">
      <c r="A207">
        <f t="shared" si="85"/>
        <v>884</v>
      </c>
      <c r="B207">
        <f t="shared" si="62"/>
        <v>884000</v>
      </c>
      <c r="C207" s="1">
        <f t="shared" si="46"/>
        <v>28617732000</v>
      </c>
      <c r="D207">
        <f t="shared" si="74"/>
        <v>1915</v>
      </c>
      <c r="E207" s="2">
        <f t="shared" si="47"/>
        <v>540000</v>
      </c>
      <c r="F207" s="2">
        <f t="shared" si="75"/>
        <v>930648.24799999991</v>
      </c>
      <c r="G207" s="2">
        <f t="shared" si="76"/>
        <v>15922.075999999999</v>
      </c>
      <c r="H207" s="2">
        <f t="shared" si="77"/>
        <v>55727.265999999996</v>
      </c>
      <c r="I207" s="2">
        <f t="shared" si="78"/>
        <v>33.915175382908615</v>
      </c>
      <c r="J207" s="2">
        <f t="shared" si="79"/>
        <v>16.700052143236309</v>
      </c>
      <c r="K207">
        <f t="shared" si="80"/>
        <v>536010776875704.81</v>
      </c>
      <c r="L207" s="13">
        <f t="shared" si="48"/>
        <v>152361127.77917421</v>
      </c>
      <c r="M207" s="2">
        <f t="shared" si="81"/>
        <v>17895362.217327975</v>
      </c>
      <c r="N207" s="2">
        <f t="shared" si="82"/>
        <v>3.4978673881442989E+17</v>
      </c>
      <c r="O207" s="2">
        <f t="shared" si="83"/>
        <v>1106122789976018.2</v>
      </c>
      <c r="P207" s="2">
        <f t="shared" si="84"/>
        <v>3.3622368023659613E+22</v>
      </c>
      <c r="Q207" s="2">
        <f t="shared" si="49"/>
        <v>6.1706256750565556E+19</v>
      </c>
    </row>
    <row r="208" spans="1:17" x14ac:dyDescent="0.2">
      <c r="A208">
        <f t="shared" si="85"/>
        <v>883</v>
      </c>
      <c r="B208">
        <f t="shared" si="62"/>
        <v>883000</v>
      </c>
      <c r="C208" s="1">
        <f t="shared" si="46"/>
        <v>28585359000</v>
      </c>
      <c r="D208">
        <f t="shared" si="74"/>
        <v>1914.5</v>
      </c>
      <c r="E208" s="2">
        <f t="shared" si="47"/>
        <v>540000</v>
      </c>
      <c r="F208" s="2">
        <f t="shared" si="75"/>
        <v>930195.02599999995</v>
      </c>
      <c r="G208" s="2">
        <f t="shared" si="76"/>
        <v>15917.918799999998</v>
      </c>
      <c r="H208" s="2">
        <f t="shared" si="77"/>
        <v>55712.715799999991</v>
      </c>
      <c r="I208" s="2">
        <f t="shared" si="78"/>
        <v>33.924032832734397</v>
      </c>
      <c r="J208" s="2">
        <f t="shared" si="79"/>
        <v>16.696278625857261</v>
      </c>
      <c r="K208">
        <f t="shared" si="80"/>
        <v>540779553861808.31</v>
      </c>
      <c r="L208" s="13">
        <f t="shared" si="48"/>
        <v>153112714.93895566</v>
      </c>
      <c r="M208" s="2">
        <f t="shared" si="81"/>
        <v>17827961.006795738</v>
      </c>
      <c r="N208" s="2">
        <f t="shared" si="82"/>
        <v>3.5289871906196365E+17</v>
      </c>
      <c r="O208" s="2">
        <f t="shared" si="83"/>
        <v>1115963735591679.8</v>
      </c>
      <c r="P208" s="2">
        <f t="shared" si="84"/>
        <v>3.3495732514512964E+22</v>
      </c>
      <c r="Q208" s="2">
        <f t="shared" si="49"/>
        <v>6.2010649550277042E+19</v>
      </c>
    </row>
    <row r="209" spans="1:17" x14ac:dyDescent="0.2">
      <c r="A209">
        <f t="shared" si="85"/>
        <v>882</v>
      </c>
      <c r="B209">
        <f t="shared" si="62"/>
        <v>882000</v>
      </c>
      <c r="C209" s="1">
        <f t="shared" si="46"/>
        <v>28552986000</v>
      </c>
      <c r="D209">
        <f t="shared" si="74"/>
        <v>1914</v>
      </c>
      <c r="E209" s="2">
        <f t="shared" si="47"/>
        <v>540000</v>
      </c>
      <c r="F209" s="2">
        <f t="shared" si="75"/>
        <v>929741.804</v>
      </c>
      <c r="G209" s="2">
        <f t="shared" si="76"/>
        <v>15913.761599999998</v>
      </c>
      <c r="H209" s="2">
        <f t="shared" si="77"/>
        <v>55698.165599999993</v>
      </c>
      <c r="I209" s="2">
        <f t="shared" si="78"/>
        <v>33.932894910276907</v>
      </c>
      <c r="J209" s="2">
        <f t="shared" si="79"/>
        <v>16.692503136943529</v>
      </c>
      <c r="K209">
        <f t="shared" si="80"/>
        <v>545593282515458.19</v>
      </c>
      <c r="L209" s="13">
        <f t="shared" si="48"/>
        <v>153868405.2155115</v>
      </c>
      <c r="M209" s="2">
        <f t="shared" si="81"/>
        <v>17760778.640602726</v>
      </c>
      <c r="N209" s="2">
        <f t="shared" si="82"/>
        <v>3.5604003360252602E+17</v>
      </c>
      <c r="O209" s="2">
        <f t="shared" si="83"/>
        <v>1125897444386862</v>
      </c>
      <c r="P209" s="2">
        <f t="shared" si="84"/>
        <v>3.3369508176977371E+22</v>
      </c>
      <c r="Q209" s="2">
        <f t="shared" si="49"/>
        <v>6.2316704112282157E+19</v>
      </c>
    </row>
    <row r="210" spans="1:17" x14ac:dyDescent="0.2">
      <c r="A210">
        <f t="shared" si="85"/>
        <v>881</v>
      </c>
      <c r="B210">
        <f t="shared" si="62"/>
        <v>881000</v>
      </c>
      <c r="C210" s="1">
        <f t="shared" si="46"/>
        <v>28520613000</v>
      </c>
      <c r="D210">
        <f t="shared" si="74"/>
        <v>1913.5</v>
      </c>
      <c r="E210" s="2">
        <f t="shared" si="47"/>
        <v>540000</v>
      </c>
      <c r="F210" s="2">
        <f t="shared" si="75"/>
        <v>929288.58199999994</v>
      </c>
      <c r="G210" s="2">
        <f t="shared" si="76"/>
        <v>15909.604399999998</v>
      </c>
      <c r="H210" s="2">
        <f t="shared" si="77"/>
        <v>55683.615399999995</v>
      </c>
      <c r="I210" s="2">
        <f t="shared" si="78"/>
        <v>33.941761619163834</v>
      </c>
      <c r="J210" s="2">
        <f t="shared" si="79"/>
        <v>16.68872567494962</v>
      </c>
      <c r="K210">
        <f t="shared" si="80"/>
        <v>550452409720628.81</v>
      </c>
      <c r="L210" s="13">
        <f t="shared" si="48"/>
        <v>154628223.0667589</v>
      </c>
      <c r="M210" s="2">
        <f t="shared" si="81"/>
        <v>17693814.531121984</v>
      </c>
      <c r="N210" s="2">
        <f t="shared" si="82"/>
        <v>3.5921097406101466E+17</v>
      </c>
      <c r="O210" s="2">
        <f t="shared" si="83"/>
        <v>1135924838560464.8</v>
      </c>
      <c r="P210" s="2">
        <f t="shared" si="84"/>
        <v>3.3243693907000869E+22</v>
      </c>
      <c r="Q210" s="2">
        <f t="shared" si="49"/>
        <v>6.2624430342037357E+19</v>
      </c>
    </row>
    <row r="211" spans="1:17" x14ac:dyDescent="0.2">
      <c r="A211">
        <f t="shared" si="85"/>
        <v>880</v>
      </c>
      <c r="B211">
        <f t="shared" si="62"/>
        <v>880000</v>
      </c>
      <c r="C211" s="1">
        <f t="shared" si="46"/>
        <v>28488240000</v>
      </c>
      <c r="D211">
        <f t="shared" si="74"/>
        <v>1913</v>
      </c>
      <c r="E211" s="2">
        <f t="shared" si="47"/>
        <v>540000</v>
      </c>
      <c r="F211" s="2">
        <f t="shared" si="75"/>
        <v>928835.36</v>
      </c>
      <c r="G211" s="2">
        <f t="shared" si="76"/>
        <v>15905.447199999999</v>
      </c>
      <c r="H211" s="2">
        <f t="shared" si="77"/>
        <v>55669.065199999997</v>
      </c>
      <c r="I211" s="2">
        <f t="shared" si="78"/>
        <v>33.950632963026656</v>
      </c>
      <c r="J211" s="2">
        <f t="shared" si="79"/>
        <v>16.684946238328429</v>
      </c>
      <c r="K211">
        <f t="shared" si="80"/>
        <v>555357387028812.25</v>
      </c>
      <c r="L211" s="13">
        <f t="shared" si="48"/>
        <v>155392193.10821885</v>
      </c>
      <c r="M211" s="2">
        <f t="shared" si="81"/>
        <v>17627068.091934085</v>
      </c>
      <c r="N211" s="2">
        <f t="shared" si="82"/>
        <v>3.6241183510822848E+17</v>
      </c>
      <c r="O211" s="2">
        <f t="shared" si="83"/>
        <v>1146046849943372.2</v>
      </c>
      <c r="P211" s="2">
        <f t="shared" si="84"/>
        <v>3.3118288602800245E+22</v>
      </c>
      <c r="Q211" s="2">
        <f t="shared" si="49"/>
        <v>6.2933838208828637E+19</v>
      </c>
    </row>
    <row r="212" spans="1:17" x14ac:dyDescent="0.2">
      <c r="A212">
        <f t="shared" si="85"/>
        <v>879</v>
      </c>
      <c r="B212">
        <f t="shared" si="62"/>
        <v>879000</v>
      </c>
      <c r="C212" s="1">
        <f t="shared" si="46"/>
        <v>28455867000</v>
      </c>
      <c r="D212">
        <f t="shared" si="74"/>
        <v>1912.5</v>
      </c>
      <c r="E212" s="2">
        <f t="shared" si="47"/>
        <v>540000</v>
      </c>
      <c r="F212" s="2">
        <f t="shared" si="75"/>
        <v>928382.13800000004</v>
      </c>
      <c r="G212" s="2">
        <f t="shared" si="76"/>
        <v>15901.289999999999</v>
      </c>
      <c r="H212" s="2">
        <f t="shared" si="77"/>
        <v>55654.514999999992</v>
      </c>
      <c r="I212" s="2">
        <f t="shared" si="78"/>
        <v>33.959508945500652</v>
      </c>
      <c r="J212" s="2">
        <f t="shared" si="79"/>
        <v>16.68116482553123</v>
      </c>
      <c r="K212">
        <f t="shared" si="80"/>
        <v>560308670710073.88</v>
      </c>
      <c r="L212" s="13">
        <f t="shared" si="48"/>
        <v>156160340.11410469</v>
      </c>
      <c r="M212" s="2">
        <f t="shared" si="81"/>
        <v>17560538.737825364</v>
      </c>
      <c r="N212" s="2">
        <f t="shared" si="82"/>
        <v>3.6564291449418496E+17</v>
      </c>
      <c r="O212" s="2">
        <f t="shared" si="83"/>
        <v>1156264420103812.8</v>
      </c>
      <c r="P212" s="2">
        <f t="shared" si="84"/>
        <v>3.2993291164857701E+22</v>
      </c>
      <c r="Q212" s="2">
        <f t="shared" si="49"/>
        <v>6.3244937746212397E+19</v>
      </c>
    </row>
    <row r="213" spans="1:17" x14ac:dyDescent="0.2">
      <c r="A213">
        <f t="shared" si="85"/>
        <v>878</v>
      </c>
      <c r="B213">
        <f t="shared" si="62"/>
        <v>878000</v>
      </c>
      <c r="C213" s="1">
        <f t="shared" si="46"/>
        <v>28423494000</v>
      </c>
      <c r="D213">
        <f t="shared" si="74"/>
        <v>1912</v>
      </c>
      <c r="E213" s="2">
        <f t="shared" si="47"/>
        <v>540000</v>
      </c>
      <c r="F213" s="2">
        <f t="shared" si="75"/>
        <v>927928.91599999997</v>
      </c>
      <c r="G213" s="2">
        <f t="shared" si="76"/>
        <v>15897.132799999998</v>
      </c>
      <c r="H213" s="2">
        <f t="shared" si="77"/>
        <v>55639.964799999994</v>
      </c>
      <c r="I213" s="2">
        <f t="shared" si="78"/>
        <v>33.968389570224893</v>
      </c>
      <c r="J213" s="2">
        <f t="shared" si="79"/>
        <v>16.677381435007668</v>
      </c>
      <c r="K213">
        <f t="shared" si="80"/>
        <v>565306721804679.12</v>
      </c>
      <c r="L213" s="13">
        <f t="shared" si="48"/>
        <v>156932689.01841962</v>
      </c>
      <c r="M213" s="2">
        <f t="shared" si="81"/>
        <v>17494225.884786323</v>
      </c>
      <c r="N213" s="2">
        <f t="shared" si="82"/>
        <v>3.689045130818105E+17</v>
      </c>
      <c r="O213" s="2">
        <f t="shared" si="83"/>
        <v>1166578500453897.8</v>
      </c>
      <c r="P213" s="2">
        <f t="shared" si="84"/>
        <v>3.2868700495917869E+22</v>
      </c>
      <c r="Q213" s="2">
        <f t="shared" si="49"/>
        <v>6.355773905245995E+19</v>
      </c>
    </row>
    <row r="214" spans="1:17" x14ac:dyDescent="0.2">
      <c r="A214">
        <f t="shared" si="85"/>
        <v>877</v>
      </c>
      <c r="B214">
        <f t="shared" si="62"/>
        <v>877000</v>
      </c>
      <c r="C214" s="1">
        <f t="shared" si="46"/>
        <v>28391121000</v>
      </c>
      <c r="D214">
        <f t="shared" si="74"/>
        <v>1911.5</v>
      </c>
      <c r="E214" s="2">
        <f t="shared" si="47"/>
        <v>540000</v>
      </c>
      <c r="F214" s="2">
        <f t="shared" si="75"/>
        <v>927475.6939999999</v>
      </c>
      <c r="G214" s="2">
        <f t="shared" si="76"/>
        <v>15892.975599999998</v>
      </c>
      <c r="H214" s="2">
        <f t="shared" si="77"/>
        <v>55625.414599999996</v>
      </c>
      <c r="I214" s="2">
        <f t="shared" si="78"/>
        <v>33.97727484084227</v>
      </c>
      <c r="J214" s="2">
        <f t="shared" si="79"/>
        <v>16.673596065205778</v>
      </c>
      <c r="K214">
        <f t="shared" si="80"/>
        <v>570352006175326.75</v>
      </c>
      <c r="L214" s="13">
        <f t="shared" si="48"/>
        <v>157709264.91606355</v>
      </c>
      <c r="M214" s="2">
        <f t="shared" si="81"/>
        <v>17428128.950010438</v>
      </c>
      <c r="N214" s="2">
        <f t="shared" si="82"/>
        <v>3.7219693488102643E+17</v>
      </c>
      <c r="O214" s="2">
        <f t="shared" si="83"/>
        <v>1176990052357409.8</v>
      </c>
      <c r="P214" s="2">
        <f t="shared" si="84"/>
        <v>3.2744515500985568E+22</v>
      </c>
      <c r="Q214" s="2">
        <f t="shared" si="49"/>
        <v>6.3872252291005735E+19</v>
      </c>
    </row>
    <row r="215" spans="1:17" x14ac:dyDescent="0.2">
      <c r="A215">
        <f t="shared" si="85"/>
        <v>876</v>
      </c>
      <c r="B215">
        <f t="shared" si="62"/>
        <v>876000</v>
      </c>
      <c r="C215" s="1">
        <f t="shared" si="46"/>
        <v>28358748000</v>
      </c>
      <c r="D215">
        <f t="shared" si="74"/>
        <v>1911</v>
      </c>
      <c r="E215" s="2">
        <f t="shared" si="47"/>
        <v>540000</v>
      </c>
      <c r="F215" s="2">
        <f t="shared" si="75"/>
        <v>927022.47200000007</v>
      </c>
      <c r="G215" s="2">
        <f t="shared" si="76"/>
        <v>15888.818399999998</v>
      </c>
      <c r="H215" s="2">
        <f t="shared" si="77"/>
        <v>55610.864399999991</v>
      </c>
      <c r="I215" s="2">
        <f t="shared" si="78"/>
        <v>33.986164760999472</v>
      </c>
      <c r="J215" s="2">
        <f t="shared" si="79"/>
        <v>16.669808714571971</v>
      </c>
      <c r="K215">
        <f t="shared" si="80"/>
        <v>575444994559958.5</v>
      </c>
      <c r="L215" s="13">
        <f t="shared" si="48"/>
        <v>158490093.06394458</v>
      </c>
      <c r="M215" s="2">
        <f t="shared" si="81"/>
        <v>17362247.351892322</v>
      </c>
      <c r="N215" s="2">
        <f t="shared" si="82"/>
        <v>3.7552048708321139E+17</v>
      </c>
      <c r="O215" s="2">
        <f t="shared" si="83"/>
        <v>1187500047238782.5</v>
      </c>
      <c r="P215" s="2">
        <f t="shared" si="84"/>
        <v>3.2620735087322342E+22</v>
      </c>
      <c r="Q215" s="2">
        <f t="shared" si="49"/>
        <v>6.4188487690897555E+19</v>
      </c>
    </row>
    <row r="216" spans="1:17" x14ac:dyDescent="0.2">
      <c r="A216">
        <f t="shared" si="85"/>
        <v>875</v>
      </c>
      <c r="B216">
        <f t="shared" si="62"/>
        <v>875000</v>
      </c>
      <c r="C216" s="1">
        <f t="shared" si="46"/>
        <v>28326375000</v>
      </c>
      <c r="D216">
        <f t="shared" si="74"/>
        <v>1910.5</v>
      </c>
      <c r="E216" s="2">
        <f t="shared" si="47"/>
        <v>540000</v>
      </c>
      <c r="F216" s="2">
        <f t="shared" si="75"/>
        <v>926569.25</v>
      </c>
      <c r="G216" s="2">
        <f t="shared" si="76"/>
        <v>15884.661199999999</v>
      </c>
      <c r="H216" s="2">
        <f t="shared" si="77"/>
        <v>55596.314199999993</v>
      </c>
      <c r="I216" s="2">
        <f t="shared" si="78"/>
        <v>33.995059334347026</v>
      </c>
      <c r="J216" s="2">
        <f t="shared" si="79"/>
        <v>16.666019381551017</v>
      </c>
      <c r="K216">
        <f t="shared" si="80"/>
        <v>580586162625201.62</v>
      </c>
      <c r="L216" s="13">
        <f t="shared" si="48"/>
        <v>159275198.88210383</v>
      </c>
      <c r="M216" s="2">
        <f t="shared" si="81"/>
        <v>17296580.510026027</v>
      </c>
      <c r="N216" s="2">
        <f t="shared" si="82"/>
        <v>3.7887548009607629E+17</v>
      </c>
      <c r="O216" s="2">
        <f t="shared" si="83"/>
        <v>1198109466693386.2</v>
      </c>
      <c r="P216" s="2">
        <f t="shared" si="84"/>
        <v>3.2497358164443284E+22</v>
      </c>
      <c r="Q216" s="2">
        <f t="shared" si="49"/>
        <v>6.4506455547252048E+19</v>
      </c>
    </row>
    <row r="217" spans="1:17" x14ac:dyDescent="0.2">
      <c r="A217">
        <f t="shared" si="85"/>
        <v>874</v>
      </c>
      <c r="B217">
        <f t="shared" si="62"/>
        <v>874000</v>
      </c>
      <c r="C217" s="1">
        <f t="shared" si="46"/>
        <v>28294002000</v>
      </c>
      <c r="D217">
        <f t="shared" si="74"/>
        <v>1910</v>
      </c>
      <c r="E217" s="2">
        <f t="shared" si="47"/>
        <v>540000</v>
      </c>
      <c r="F217" s="2">
        <f t="shared" si="75"/>
        <v>926116.02799999993</v>
      </c>
      <c r="G217" s="2">
        <f t="shared" si="76"/>
        <v>15880.503999999999</v>
      </c>
      <c r="H217" s="2">
        <f t="shared" si="77"/>
        <v>55581.763999999996</v>
      </c>
      <c r="I217" s="2">
        <f t="shared" si="78"/>
        <v>34.003958564539261</v>
      </c>
      <c r="J217" s="2">
        <f t="shared" si="79"/>
        <v>16.662228064586074</v>
      </c>
      <c r="K217">
        <f t="shared" si="80"/>
        <v>585775991020381.75</v>
      </c>
      <c r="L217" s="13">
        <f t="shared" si="48"/>
        <v>160064607.95484251</v>
      </c>
      <c r="M217" s="2">
        <f t="shared" si="81"/>
        <v>17231127.845203962</v>
      </c>
      <c r="N217" s="2">
        <f t="shared" si="82"/>
        <v>3.82262227578912E+17</v>
      </c>
      <c r="O217" s="2">
        <f t="shared" si="83"/>
        <v>1208819302598988.8</v>
      </c>
      <c r="P217" s="2">
        <f t="shared" si="84"/>
        <v>3.2374383644115007E+22</v>
      </c>
      <c r="Q217" s="2">
        <f t="shared" si="49"/>
        <v>6.4826166221711213E+19</v>
      </c>
    </row>
    <row r="218" spans="1:17" x14ac:dyDescent="0.2">
      <c r="A218">
        <f t="shared" si="85"/>
        <v>873</v>
      </c>
      <c r="B218">
        <f t="shared" si="62"/>
        <v>873000</v>
      </c>
      <c r="C218" s="1">
        <f t="shared" si="46"/>
        <v>28261629000</v>
      </c>
      <c r="D218">
        <f t="shared" si="74"/>
        <v>1909.5</v>
      </c>
      <c r="E218" s="2">
        <f t="shared" si="47"/>
        <v>540000</v>
      </c>
      <c r="F218" s="2">
        <f t="shared" si="75"/>
        <v>925662.80599999998</v>
      </c>
      <c r="G218" s="2">
        <f t="shared" si="76"/>
        <v>15876.346799999998</v>
      </c>
      <c r="H218" s="2">
        <f t="shared" si="77"/>
        <v>55567.213799999998</v>
      </c>
      <c r="I218" s="2">
        <f t="shared" si="78"/>
        <v>34.012862455234355</v>
      </c>
      <c r="J218" s="2">
        <f t="shared" si="79"/>
        <v>16.658434762118667</v>
      </c>
      <c r="K218">
        <f t="shared" si="80"/>
        <v>591014965432203.75</v>
      </c>
      <c r="L218" s="13">
        <f t="shared" si="48"/>
        <v>160858346.03186324</v>
      </c>
      <c r="M218" s="2">
        <f t="shared" si="81"/>
        <v>17165888.779414989</v>
      </c>
      <c r="N218" s="2">
        <f t="shared" si="82"/>
        <v>3.8568104647827232E+17</v>
      </c>
      <c r="O218" s="2">
        <f t="shared" si="83"/>
        <v>1219630557228597.2</v>
      </c>
      <c r="P218" s="2">
        <f t="shared" si="84"/>
        <v>3.2251810440352044E+22</v>
      </c>
      <c r="Q218" s="2">
        <f t="shared" si="49"/>
        <v>6.5147630142904615E+19</v>
      </c>
    </row>
    <row r="219" spans="1:17" x14ac:dyDescent="0.2">
      <c r="A219">
        <f t="shared" si="85"/>
        <v>872</v>
      </c>
      <c r="B219">
        <f t="shared" si="62"/>
        <v>872000</v>
      </c>
      <c r="C219" s="1">
        <f t="shared" si="46"/>
        <v>28229256000</v>
      </c>
      <c r="D219">
        <f t="shared" si="74"/>
        <v>1909</v>
      </c>
      <c r="E219" s="2">
        <f t="shared" si="47"/>
        <v>540000</v>
      </c>
      <c r="F219" s="2">
        <f t="shared" si="75"/>
        <v>925209.58400000003</v>
      </c>
      <c r="G219" s="2">
        <f t="shared" si="76"/>
        <v>15872.189599999998</v>
      </c>
      <c r="H219" s="2">
        <f t="shared" si="77"/>
        <v>55552.663599999993</v>
      </c>
      <c r="I219" s="2">
        <f t="shared" si="78"/>
        <v>34.021771010094291</v>
      </c>
      <c r="J219" s="2">
        <f t="shared" si="79"/>
        <v>16.654639472588677</v>
      </c>
      <c r="K219">
        <f t="shared" si="80"/>
        <v>596303576640000.12</v>
      </c>
      <c r="L219" s="13">
        <f t="shared" si="48"/>
        <v>161656439.02941385</v>
      </c>
      <c r="M219" s="2">
        <f t="shared" si="81"/>
        <v>17100862.735842798</v>
      </c>
      <c r="N219" s="2">
        <f t="shared" si="82"/>
        <v>3.891322570640279E+17</v>
      </c>
      <c r="O219" s="2">
        <f t="shared" si="83"/>
        <v>1230544243364469</v>
      </c>
      <c r="P219" s="2">
        <f t="shared" si="84"/>
        <v>3.2129637469413811E+22</v>
      </c>
      <c r="Q219" s="2">
        <f t="shared" si="49"/>
        <v>6.547085780691261E+19</v>
      </c>
    </row>
    <row r="220" spans="1:17" x14ac:dyDescent="0.2">
      <c r="A220">
        <f t="shared" si="85"/>
        <v>871</v>
      </c>
      <c r="B220">
        <f t="shared" si="62"/>
        <v>871000</v>
      </c>
      <c r="C220" s="1">
        <f t="shared" si="46"/>
        <v>28196883000</v>
      </c>
      <c r="D220">
        <f t="shared" si="74"/>
        <v>1908.5</v>
      </c>
      <c r="E220" s="2">
        <f t="shared" si="47"/>
        <v>540000</v>
      </c>
      <c r="F220" s="2">
        <f t="shared" si="75"/>
        <v>924756.36199999996</v>
      </c>
      <c r="G220" s="2">
        <f t="shared" si="76"/>
        <v>15868.032399999998</v>
      </c>
      <c r="H220" s="2">
        <f t="shared" si="77"/>
        <v>55538.113399999995</v>
      </c>
      <c r="I220" s="2">
        <f t="shared" si="78"/>
        <v>34.030684232784907</v>
      </c>
      <c r="J220" s="2">
        <f t="shared" si="79"/>
        <v>16.650842194434354</v>
      </c>
      <c r="K220">
        <f t="shared" si="80"/>
        <v>601642320571676.62</v>
      </c>
      <c r="L220" s="13">
        <f t="shared" si="48"/>
        <v>162458913.03144562</v>
      </c>
      <c r="M220" s="2">
        <f t="shared" si="81"/>
        <v>17036049.138864513</v>
      </c>
      <c r="N220" s="2">
        <f t="shared" si="82"/>
        <v>3.9261618296587501E+17</v>
      </c>
      <c r="O220" s="2">
        <f t="shared" si="83"/>
        <v>1241561384413562</v>
      </c>
      <c r="P220" s="2">
        <f t="shared" si="84"/>
        <v>3.2007863649801991E+22</v>
      </c>
      <c r="Q220" s="2">
        <f t="shared" si="49"/>
        <v>6.5795859777735475E+19</v>
      </c>
    </row>
    <row r="221" spans="1:17" x14ac:dyDescent="0.2">
      <c r="A221">
        <f t="shared" si="85"/>
        <v>870</v>
      </c>
      <c r="B221">
        <f t="shared" si="62"/>
        <v>870000</v>
      </c>
      <c r="C221" s="1">
        <f t="shared" si="46"/>
        <v>28164510000</v>
      </c>
      <c r="D221">
        <f t="shared" si="74"/>
        <v>1908</v>
      </c>
      <c r="E221" s="2">
        <f t="shared" si="47"/>
        <v>540000</v>
      </c>
      <c r="F221" s="2">
        <f t="shared" si="75"/>
        <v>924303.1399999999</v>
      </c>
      <c r="G221" s="2">
        <f t="shared" si="76"/>
        <v>15863.875199999999</v>
      </c>
      <c r="H221" s="2">
        <f t="shared" si="77"/>
        <v>55523.563199999997</v>
      </c>
      <c r="I221" s="2">
        <f t="shared" si="78"/>
        <v>34.039602126975886</v>
      </c>
      <c r="J221" s="2">
        <f t="shared" si="79"/>
        <v>16.647042926092322</v>
      </c>
      <c r="K221">
        <f t="shared" si="80"/>
        <v>607031698360255.5</v>
      </c>
      <c r="L221" s="13">
        <f t="shared" si="48"/>
        <v>163265794.29077691</v>
      </c>
      <c r="M221" s="2">
        <f t="shared" si="81"/>
        <v>16971447.414049346</v>
      </c>
      <c r="N221" s="2">
        <f t="shared" si="82"/>
        <v>3.9613315121023379E+17</v>
      </c>
      <c r="O221" s="2">
        <f t="shared" si="83"/>
        <v>1252683014524219.2</v>
      </c>
      <c r="P221" s="2">
        <f t="shared" si="84"/>
        <v>3.1886487902257997E+22</v>
      </c>
      <c r="Q221" s="2">
        <f t="shared" si="49"/>
        <v>6.6122646687764644E+19</v>
      </c>
    </row>
    <row r="222" spans="1:17" x14ac:dyDescent="0.2">
      <c r="A222">
        <f t="shared" si="85"/>
        <v>869</v>
      </c>
      <c r="B222">
        <f t="shared" si="62"/>
        <v>869000</v>
      </c>
      <c r="C222" s="1">
        <f t="shared" si="46"/>
        <v>28132137000</v>
      </c>
      <c r="D222">
        <f t="shared" si="74"/>
        <v>1907.5</v>
      </c>
      <c r="E222" s="2">
        <f t="shared" si="47"/>
        <v>540000</v>
      </c>
      <c r="F222" s="2">
        <f t="shared" si="75"/>
        <v>923849.91800000006</v>
      </c>
      <c r="G222" s="2">
        <f t="shared" si="76"/>
        <v>15859.717999999999</v>
      </c>
      <c r="H222" s="2">
        <f t="shared" si="77"/>
        <v>55509.012999999992</v>
      </c>
      <c r="I222" s="2">
        <f t="shared" si="78"/>
        <v>34.048524696340756</v>
      </c>
      <c r="J222" s="2">
        <f t="shared" si="79"/>
        <v>16.643241665997561</v>
      </c>
      <c r="K222">
        <f t="shared" si="80"/>
        <v>612472216401076.75</v>
      </c>
      <c r="L222" s="13">
        <f t="shared" si="48"/>
        <v>164077109.23026475</v>
      </c>
      <c r="M222" s="2">
        <f t="shared" si="81"/>
        <v>16907056.988156725</v>
      </c>
      <c r="N222" s="2">
        <f t="shared" si="82"/>
        <v>3.9968349225757664E+17</v>
      </c>
      <c r="O222" s="2">
        <f t="shared" si="83"/>
        <v>1263910178704210.2</v>
      </c>
      <c r="P222" s="2">
        <f t="shared" si="84"/>
        <v>3.1765509149759455E+22</v>
      </c>
      <c r="Q222" s="2">
        <f t="shared" si="49"/>
        <v>6.6451229238257222E+19</v>
      </c>
    </row>
    <row r="223" spans="1:17" x14ac:dyDescent="0.2">
      <c r="A223">
        <f t="shared" si="85"/>
        <v>868</v>
      </c>
      <c r="B223">
        <f t="shared" si="62"/>
        <v>868000</v>
      </c>
      <c r="C223" s="1">
        <f t="shared" si="46"/>
        <v>28099764000</v>
      </c>
      <c r="D223">
        <f t="shared" si="74"/>
        <v>1907</v>
      </c>
      <c r="E223" s="2">
        <f t="shared" si="47"/>
        <v>540000</v>
      </c>
      <c r="F223" s="2">
        <f t="shared" si="75"/>
        <v>923396.696</v>
      </c>
      <c r="G223" s="2">
        <f t="shared" si="76"/>
        <v>15855.560799999997</v>
      </c>
      <c r="H223" s="2">
        <f t="shared" si="77"/>
        <v>55494.462799999994</v>
      </c>
      <c r="I223" s="2">
        <f t="shared" si="78"/>
        <v>34.057451944556895</v>
      </c>
      <c r="J223" s="2">
        <f t="shared" si="79"/>
        <v>16.639438412583392</v>
      </c>
      <c r="K223">
        <f t="shared" si="80"/>
        <v>617964386409660.25</v>
      </c>
      <c r="L223" s="13">
        <f t="shared" si="48"/>
        <v>164892884.44398552</v>
      </c>
      <c r="M223" s="2">
        <f t="shared" si="81"/>
        <v>16842877.289134528</v>
      </c>
      <c r="N223" s="2">
        <f t="shared" si="82"/>
        <v>4.0326754004018739E+17</v>
      </c>
      <c r="O223" s="2">
        <f t="shared" si="83"/>
        <v>1275243932940136.2</v>
      </c>
      <c r="P223" s="2">
        <f t="shared" si="84"/>
        <v>3.1644926317516892E+22</v>
      </c>
      <c r="Q223" s="2">
        <f t="shared" si="49"/>
        <v>6.6781618199814136E+19</v>
      </c>
    </row>
    <row r="224" spans="1:17" x14ac:dyDescent="0.2">
      <c r="A224">
        <f t="shared" si="85"/>
        <v>867</v>
      </c>
      <c r="B224">
        <f t="shared" si="62"/>
        <v>867000</v>
      </c>
      <c r="C224" s="1">
        <f t="shared" ref="C224:C287" si="86">$B$3*$B$1*B224</f>
        <v>28067391000</v>
      </c>
      <c r="D224">
        <f t="shared" si="74"/>
        <v>1906.5</v>
      </c>
      <c r="E224" s="2">
        <f t="shared" ref="E224:E287" si="87">+$B$19+$B$16*0</f>
        <v>540000</v>
      </c>
      <c r="F224" s="2">
        <f t="shared" si="75"/>
        <v>922943.47399999993</v>
      </c>
      <c r="G224" s="2">
        <f t="shared" si="76"/>
        <v>15851.403599999998</v>
      </c>
      <c r="H224" s="2">
        <f t="shared" si="77"/>
        <v>55479.912599999996</v>
      </c>
      <c r="I224" s="2">
        <f t="shared" si="78"/>
        <v>34.066383875305533</v>
      </c>
      <c r="J224" s="2">
        <f t="shared" si="79"/>
        <v>16.635633164281519</v>
      </c>
      <c r="K224">
        <f t="shared" si="80"/>
        <v>623508725480226.38</v>
      </c>
      <c r="L224" s="13">
        <f t="shared" ref="L224:L287" si="88">EXP((300*1000)/($B$17*D224))</f>
        <v>165713146.69842634</v>
      </c>
      <c r="M224" s="2">
        <f t="shared" si="81"/>
        <v>16778907.7461183</v>
      </c>
      <c r="N224" s="2">
        <f t="shared" si="82"/>
        <v>4.0688563200035046E+17</v>
      </c>
      <c r="O224" s="2">
        <f t="shared" si="83"/>
        <v>1286685344318194.8</v>
      </c>
      <c r="P224" s="2">
        <f t="shared" si="84"/>
        <v>3.152473833297225E+22</v>
      </c>
      <c r="Q224" s="2">
        <f t="shared" ref="Q224:Q287" si="89">$B$12*L224</f>
        <v>6.7113824412862669E+19</v>
      </c>
    </row>
    <row r="225" spans="1:17" x14ac:dyDescent="0.2">
      <c r="A225">
        <f t="shared" si="85"/>
        <v>866</v>
      </c>
      <c r="B225">
        <f t="shared" si="62"/>
        <v>866000</v>
      </c>
      <c r="C225" s="1">
        <f t="shared" si="86"/>
        <v>28035018000</v>
      </c>
      <c r="D225">
        <f t="shared" si="74"/>
        <v>1906</v>
      </c>
      <c r="E225" s="2">
        <f t="shared" si="87"/>
        <v>540000</v>
      </c>
      <c r="F225" s="2">
        <f t="shared" si="75"/>
        <v>922490.25199999998</v>
      </c>
      <c r="G225" s="2">
        <f t="shared" si="76"/>
        <v>15847.246399999998</v>
      </c>
      <c r="H225" s="2">
        <f t="shared" si="77"/>
        <v>55465.362399999991</v>
      </c>
      <c r="I225" s="2">
        <f t="shared" si="78"/>
        <v>34.075320492271771</v>
      </c>
      <c r="J225" s="2">
        <f t="shared" si="79"/>
        <v>16.631825919521987</v>
      </c>
      <c r="K225">
        <f t="shared" si="80"/>
        <v>629105756144903.88</v>
      </c>
      <c r="L225" s="13">
        <f t="shared" si="88"/>
        <v>166537922.93368393</v>
      </c>
      <c r="M225" s="2">
        <f t="shared" si="81"/>
        <v>16715147.789429003</v>
      </c>
      <c r="N225" s="2">
        <f t="shared" si="82"/>
        <v>4.1053810912898829E+17</v>
      </c>
      <c r="O225" s="2">
        <f t="shared" si="83"/>
        <v>1298235491146362</v>
      </c>
      <c r="P225" s="2">
        <f t="shared" si="84"/>
        <v>3.1404944125794686E+22</v>
      </c>
      <c r="Q225" s="2">
        <f t="shared" si="89"/>
        <v>6.744785878814199E+19</v>
      </c>
    </row>
    <row r="226" spans="1:17" x14ac:dyDescent="0.2">
      <c r="A226">
        <f t="shared" si="85"/>
        <v>865</v>
      </c>
      <c r="B226">
        <f t="shared" si="62"/>
        <v>865000</v>
      </c>
      <c r="C226" s="1">
        <f t="shared" si="86"/>
        <v>28002645000</v>
      </c>
      <c r="D226">
        <f t="shared" si="74"/>
        <v>1905.5</v>
      </c>
      <c r="E226" s="2">
        <f t="shared" si="87"/>
        <v>540000</v>
      </c>
      <c r="F226" s="2">
        <f t="shared" si="75"/>
        <v>922037.03</v>
      </c>
      <c r="G226" s="2">
        <f t="shared" si="76"/>
        <v>15843.089199999999</v>
      </c>
      <c r="H226" s="2">
        <f t="shared" si="77"/>
        <v>55450.812199999993</v>
      </c>
      <c r="I226" s="2">
        <f t="shared" si="78"/>
        <v>34.084261799144578</v>
      </c>
      <c r="J226" s="2">
        <f t="shared" si="79"/>
        <v>16.628016676733189</v>
      </c>
      <c r="K226">
        <f t="shared" si="80"/>
        <v>634756006433599</v>
      </c>
      <c r="L226" s="13">
        <f t="shared" si="88"/>
        <v>167367240.26467142</v>
      </c>
      <c r="M226" s="2">
        <f t="shared" si="81"/>
        <v>16651596.850571627</v>
      </c>
      <c r="N226" s="2">
        <f t="shared" si="82"/>
        <v>4.1422531600473037E+17</v>
      </c>
      <c r="O226" s="2">
        <f t="shared" si="83"/>
        <v>1309895463077940.5</v>
      </c>
      <c r="P226" s="2">
        <f t="shared" si="84"/>
        <v>3.1285542627877935E+22</v>
      </c>
      <c r="Q226" s="2">
        <f t="shared" si="89"/>
        <v>6.7783732307191923E+19</v>
      </c>
    </row>
    <row r="227" spans="1:17" x14ac:dyDescent="0.2">
      <c r="A227">
        <f t="shared" si="85"/>
        <v>864</v>
      </c>
      <c r="B227">
        <f t="shared" si="62"/>
        <v>864000</v>
      </c>
      <c r="C227" s="1">
        <f t="shared" si="86"/>
        <v>27970272000</v>
      </c>
      <c r="D227">
        <f t="shared" si="74"/>
        <v>1905</v>
      </c>
      <c r="E227" s="2">
        <f t="shared" si="87"/>
        <v>540000</v>
      </c>
      <c r="F227" s="2">
        <f t="shared" si="75"/>
        <v>921583.80799999996</v>
      </c>
      <c r="G227" s="2">
        <f t="shared" si="76"/>
        <v>15838.931999999999</v>
      </c>
      <c r="H227" s="2">
        <f t="shared" si="77"/>
        <v>55436.261999999995</v>
      </c>
      <c r="I227" s="2">
        <f t="shared" si="78"/>
        <v>34.093207799616792</v>
      </c>
      <c r="J227" s="2">
        <f t="shared" si="79"/>
        <v>16.624205434341874</v>
      </c>
      <c r="K227">
        <f t="shared" si="80"/>
        <v>640460009934562.62</v>
      </c>
      <c r="L227" s="13">
        <f t="shared" si="88"/>
        <v>168201125.98233548</v>
      </c>
      <c r="M227" s="2">
        <f t="shared" si="81"/>
        <v>16588254.362233793</v>
      </c>
      <c r="N227" s="2">
        <f t="shared" si="82"/>
        <v>4.1794760083343789E+17</v>
      </c>
      <c r="O227" s="2">
        <f t="shared" si="83"/>
        <v>1321666361236545.8</v>
      </c>
      <c r="P227" s="2">
        <f t="shared" si="84"/>
        <v>3.1166532773337702E+22</v>
      </c>
      <c r="Q227" s="2">
        <f t="shared" si="89"/>
        <v>6.8121456022845866E+19</v>
      </c>
    </row>
    <row r="228" spans="1:17" x14ac:dyDescent="0.2">
      <c r="A228">
        <f t="shared" si="85"/>
        <v>863</v>
      </c>
      <c r="B228">
        <f t="shared" si="62"/>
        <v>863000</v>
      </c>
      <c r="C228" s="1">
        <f t="shared" si="86"/>
        <v>27937899000</v>
      </c>
      <c r="D228">
        <f t="shared" si="74"/>
        <v>1904.5</v>
      </c>
      <c r="E228" s="2">
        <f t="shared" si="87"/>
        <v>540000</v>
      </c>
      <c r="F228" s="2">
        <f t="shared" si="75"/>
        <v>921130.58600000001</v>
      </c>
      <c r="G228" s="2">
        <f t="shared" si="76"/>
        <v>15834.774799999999</v>
      </c>
      <c r="H228" s="2">
        <f t="shared" si="77"/>
        <v>55421.711799999997</v>
      </c>
      <c r="I228" s="2">
        <f t="shared" si="78"/>
        <v>34.102158497385133</v>
      </c>
      <c r="J228" s="2">
        <f t="shared" si="79"/>
        <v>16.620392190773149</v>
      </c>
      <c r="K228">
        <f t="shared" si="80"/>
        <v>646218305855653.62</v>
      </c>
      <c r="L228" s="13">
        <f t="shared" si="88"/>
        <v>169039607.55488119</v>
      </c>
      <c r="M228" s="2">
        <f t="shared" si="81"/>
        <v>16525119.758284289</v>
      </c>
      <c r="N228" s="2">
        <f t="shared" si="82"/>
        <v>4.2170531548818246E+17</v>
      </c>
      <c r="O228" s="2">
        <f t="shared" si="83"/>
        <v>1333549298342531.8</v>
      </c>
      <c r="P228" s="2">
        <f t="shared" si="84"/>
        <v>3.1047913498508899E+22</v>
      </c>
      <c r="Q228" s="2">
        <f t="shared" si="89"/>
        <v>6.8461041059726877E+19</v>
      </c>
    </row>
    <row r="229" spans="1:17" x14ac:dyDescent="0.2">
      <c r="A229">
        <f t="shared" si="85"/>
        <v>862</v>
      </c>
      <c r="B229">
        <f t="shared" si="62"/>
        <v>862000</v>
      </c>
      <c r="C229" s="1">
        <f t="shared" si="86"/>
        <v>27905526000</v>
      </c>
      <c r="D229">
        <f t="shared" si="74"/>
        <v>1904</v>
      </c>
      <c r="E229" s="2">
        <f t="shared" si="87"/>
        <v>540000</v>
      </c>
      <c r="F229" s="2">
        <f t="shared" si="75"/>
        <v>920677.36400000006</v>
      </c>
      <c r="G229" s="2">
        <f t="shared" si="76"/>
        <v>15830.617599999998</v>
      </c>
      <c r="H229" s="2">
        <f t="shared" si="77"/>
        <v>55407.161599999992</v>
      </c>
      <c r="I229" s="2">
        <f t="shared" si="78"/>
        <v>34.111113896150208</v>
      </c>
      <c r="J229" s="2">
        <f t="shared" si="79"/>
        <v>16.616576944450447</v>
      </c>
      <c r="K229">
        <f t="shared" si="80"/>
        <v>652031439086307.88</v>
      </c>
      <c r="L229" s="13">
        <f t="shared" si="88"/>
        <v>169882712.62900981</v>
      </c>
      <c r="M229" s="2">
        <f t="shared" si="81"/>
        <v>16462192.473771026</v>
      </c>
      <c r="N229" s="2">
        <f t="shared" si="82"/>
        <v>4.2549881554968563E+17</v>
      </c>
      <c r="O229" s="2">
        <f t="shared" si="83"/>
        <v>1345545398840870.5</v>
      </c>
      <c r="P229" s="2">
        <f t="shared" si="84"/>
        <v>3.0929683741941814E+22</v>
      </c>
      <c r="Q229" s="2">
        <f t="shared" si="89"/>
        <v>6.8802498614748971E+19</v>
      </c>
    </row>
    <row r="230" spans="1:17" x14ac:dyDescent="0.2">
      <c r="A230">
        <f t="shared" si="85"/>
        <v>861</v>
      </c>
      <c r="B230">
        <f t="shared" si="62"/>
        <v>861000</v>
      </c>
      <c r="C230" s="1">
        <f t="shared" si="86"/>
        <v>27873153000</v>
      </c>
      <c r="D230">
        <f t="shared" si="74"/>
        <v>1903.5</v>
      </c>
      <c r="E230" s="2">
        <f t="shared" si="87"/>
        <v>540000</v>
      </c>
      <c r="F230" s="2">
        <f t="shared" si="75"/>
        <v>920224.14199999999</v>
      </c>
      <c r="G230" s="2">
        <f t="shared" si="76"/>
        <v>15826.460399999998</v>
      </c>
      <c r="H230" s="2">
        <f t="shared" si="77"/>
        <v>55392.611399999994</v>
      </c>
      <c r="I230" s="2">
        <f t="shared" si="78"/>
        <v>34.120073999616494</v>
      </c>
      <c r="J230" s="2">
        <f t="shared" si="79"/>
        <v>16.612759693795553</v>
      </c>
      <c r="K230">
        <f t="shared" si="80"/>
        <v>657899960260205.5</v>
      </c>
      <c r="L230" s="13">
        <f t="shared" si="88"/>
        <v>170730469.03115746</v>
      </c>
      <c r="M230" s="2">
        <f t="shared" si="81"/>
        <v>16399471.944919938</v>
      </c>
      <c r="N230" s="2">
        <f t="shared" si="82"/>
        <v>4.2932846034721376E+17</v>
      </c>
      <c r="O230" s="2">
        <f t="shared" si="83"/>
        <v>1357655799030473.8</v>
      </c>
      <c r="P230" s="2">
        <f t="shared" si="84"/>
        <v>3.0811842444400045E+22</v>
      </c>
      <c r="Q230" s="2">
        <f t="shared" si="89"/>
        <v>6.914583995761877E+19</v>
      </c>
    </row>
    <row r="231" spans="1:17" x14ac:dyDescent="0.2">
      <c r="A231">
        <f t="shared" si="85"/>
        <v>860</v>
      </c>
      <c r="B231">
        <f t="shared" si="62"/>
        <v>860000</v>
      </c>
      <c r="C231" s="1">
        <f t="shared" si="86"/>
        <v>27840780000</v>
      </c>
      <c r="D231">
        <f t="shared" si="74"/>
        <v>1903</v>
      </c>
      <c r="E231" s="2">
        <f t="shared" si="87"/>
        <v>540000</v>
      </c>
      <c r="F231" s="2">
        <f t="shared" si="75"/>
        <v>919770.91999999993</v>
      </c>
      <c r="G231" s="2">
        <f t="shared" si="76"/>
        <v>15822.303199999998</v>
      </c>
      <c r="H231" s="2">
        <f t="shared" si="77"/>
        <v>55378.061199999996</v>
      </c>
      <c r="I231" s="2">
        <f t="shared" si="78"/>
        <v>34.129038811492379</v>
      </c>
      <c r="J231" s="2">
        <f t="shared" si="79"/>
        <v>16.608940437228597</v>
      </c>
      <c r="K231">
        <f t="shared" si="80"/>
        <v>663824425818694.12</v>
      </c>
      <c r="L231" s="13">
        <f t="shared" si="88"/>
        <v>171582904.76875332</v>
      </c>
      <c r="M231" s="2">
        <f t="shared" si="81"/>
        <v>16336957.609133342</v>
      </c>
      <c r="N231" s="2">
        <f t="shared" si="82"/>
        <v>4.3319461299996666E+17</v>
      </c>
      <c r="O231" s="2">
        <f t="shared" si="83"/>
        <v>1369881647195075</v>
      </c>
      <c r="P231" s="2">
        <f t="shared" si="84"/>
        <v>3.0694388548857416E+22</v>
      </c>
      <c r="Q231" s="2">
        <f t="shared" si="89"/>
        <v>6.9491076431345091E+19</v>
      </c>
    </row>
    <row r="232" spans="1:17" x14ac:dyDescent="0.2">
      <c r="A232">
        <f t="shared" si="85"/>
        <v>859</v>
      </c>
      <c r="B232">
        <f t="shared" si="62"/>
        <v>859000</v>
      </c>
      <c r="C232" s="1">
        <f t="shared" si="86"/>
        <v>27808407000</v>
      </c>
      <c r="D232">
        <f t="shared" si="74"/>
        <v>1902.5</v>
      </c>
      <c r="E232" s="2">
        <f t="shared" si="87"/>
        <v>540000</v>
      </c>
      <c r="F232" s="2">
        <f t="shared" si="75"/>
        <v>919317.69799999997</v>
      </c>
      <c r="G232" s="2">
        <f t="shared" si="76"/>
        <v>15818.145999999999</v>
      </c>
      <c r="H232" s="2">
        <f t="shared" si="77"/>
        <v>55363.510999999991</v>
      </c>
      <c r="I232" s="2">
        <f t="shared" si="78"/>
        <v>34.138008335490142</v>
      </c>
      <c r="J232" s="2">
        <f t="shared" si="79"/>
        <v>16.605119173168049</v>
      </c>
      <c r="K232">
        <f t="shared" si="80"/>
        <v>669805398074909.5</v>
      </c>
      <c r="L232" s="13">
        <f t="shared" si="88"/>
        <v>172440048.03147975</v>
      </c>
      <c r="M232" s="2">
        <f t="shared" si="81"/>
        <v>16274648.904988365</v>
      </c>
      <c r="N232" s="2">
        <f t="shared" si="82"/>
        <v>4.370976404589207E+17</v>
      </c>
      <c r="O232" s="2">
        <f t="shared" si="83"/>
        <v>1382224103735549</v>
      </c>
      <c r="P232" s="2">
        <f t="shared" si="84"/>
        <v>3.0577321000495015E+22</v>
      </c>
      <c r="Q232" s="2">
        <f t="shared" si="89"/>
        <v>6.98382194527493E+19</v>
      </c>
    </row>
    <row r="233" spans="1:17" x14ac:dyDescent="0.2">
      <c r="A233">
        <f t="shared" si="85"/>
        <v>858</v>
      </c>
      <c r="B233">
        <f t="shared" si="62"/>
        <v>858000</v>
      </c>
      <c r="C233" s="1">
        <f t="shared" si="86"/>
        <v>27776034000</v>
      </c>
      <c r="D233">
        <f t="shared" si="74"/>
        <v>1902</v>
      </c>
      <c r="E233" s="2">
        <f t="shared" si="87"/>
        <v>540000</v>
      </c>
      <c r="F233" s="2">
        <f t="shared" si="75"/>
        <v>918864.47600000002</v>
      </c>
      <c r="G233" s="2">
        <f t="shared" si="76"/>
        <v>15813.988799999999</v>
      </c>
      <c r="H233" s="2">
        <f t="shared" si="77"/>
        <v>55348.960799999993</v>
      </c>
      <c r="I233" s="2">
        <f t="shared" si="78"/>
        <v>34.146982575325971</v>
      </c>
      <c r="J233" s="2">
        <f t="shared" si="79"/>
        <v>16.601295900030703</v>
      </c>
      <c r="K233">
        <f t="shared" si="80"/>
        <v>675843445278653.88</v>
      </c>
      <c r="L233" s="13">
        <f t="shared" si="88"/>
        <v>173301927.19254431</v>
      </c>
      <c r="M233" s="2">
        <f t="shared" si="81"/>
        <v>16212545.272235144</v>
      </c>
      <c r="N233" s="2">
        <f t="shared" si="82"/>
        <v>4.4103791354916698E+17</v>
      </c>
      <c r="O233" s="2">
        <f t="shared" si="83"/>
        <v>1394684341303797.2</v>
      </c>
      <c r="P233" s="2">
        <f t="shared" si="84"/>
        <v>3.0460638746697821E+22</v>
      </c>
      <c r="Q233" s="2">
        <f t="shared" si="89"/>
        <v>7.0187280512980443E+19</v>
      </c>
    </row>
    <row r="234" spans="1:17" x14ac:dyDescent="0.2">
      <c r="A234">
        <f t="shared" si="85"/>
        <v>857</v>
      </c>
      <c r="B234">
        <f t="shared" si="62"/>
        <v>857000</v>
      </c>
      <c r="C234" s="1">
        <f t="shared" si="86"/>
        <v>27743661000</v>
      </c>
      <c r="D234">
        <f t="shared" si="74"/>
        <v>1901.5</v>
      </c>
      <c r="E234" s="2">
        <f t="shared" si="87"/>
        <v>540000</v>
      </c>
      <c r="F234" s="2">
        <f t="shared" si="75"/>
        <v>918411.25399999996</v>
      </c>
      <c r="G234" s="2">
        <f t="shared" si="76"/>
        <v>15809.831599999998</v>
      </c>
      <c r="H234" s="2">
        <f t="shared" si="77"/>
        <v>55334.410599999996</v>
      </c>
      <c r="I234" s="2">
        <f t="shared" si="78"/>
        <v>34.155961534719957</v>
      </c>
      <c r="J234" s="2">
        <f t="shared" si="79"/>
        <v>16.597470616231703</v>
      </c>
      <c r="K234">
        <f t="shared" si="80"/>
        <v>681939141682009.12</v>
      </c>
      <c r="L234" s="13">
        <f t="shared" si="88"/>
        <v>174168570.809962</v>
      </c>
      <c r="M234" s="2">
        <f t="shared" si="81"/>
        <v>16150646.151795762</v>
      </c>
      <c r="N234" s="2">
        <f t="shared" si="82"/>
        <v>4.4501580701272864E+17</v>
      </c>
      <c r="O234" s="2">
        <f t="shared" si="83"/>
        <v>1407263544938148.2</v>
      </c>
      <c r="P234" s="2">
        <f t="shared" si="84"/>
        <v>3.0344340737052698E+22</v>
      </c>
      <c r="Q234" s="2">
        <f t="shared" si="89"/>
        <v>7.053827117803461E+19</v>
      </c>
    </row>
    <row r="235" spans="1:17" x14ac:dyDescent="0.2">
      <c r="A235">
        <f t="shared" si="85"/>
        <v>856</v>
      </c>
      <c r="B235">
        <f t="shared" si="62"/>
        <v>856000</v>
      </c>
      <c r="C235" s="1">
        <f t="shared" si="86"/>
        <v>27711288000</v>
      </c>
      <c r="D235">
        <f t="shared" si="74"/>
        <v>1901</v>
      </c>
      <c r="E235" s="2">
        <f t="shared" si="87"/>
        <v>540000</v>
      </c>
      <c r="F235" s="2">
        <f t="shared" si="75"/>
        <v>917958.03200000001</v>
      </c>
      <c r="G235" s="2">
        <f t="shared" si="76"/>
        <v>15805.674399999998</v>
      </c>
      <c r="H235" s="2">
        <f t="shared" si="77"/>
        <v>55319.860399999998</v>
      </c>
      <c r="I235" s="2">
        <f t="shared" si="78"/>
        <v>34.164945217396109</v>
      </c>
      <c r="J235" s="2">
        <f t="shared" si="79"/>
        <v>16.593643320184519</v>
      </c>
      <c r="K235">
        <f t="shared" si="80"/>
        <v>688093067605726.38</v>
      </c>
      <c r="L235" s="13">
        <f t="shared" si="88"/>
        <v>175040007.62784481</v>
      </c>
      <c r="M235" s="2">
        <f t="shared" si="81"/>
        <v>16088950.985762283</v>
      </c>
      <c r="N235" s="2">
        <f t="shared" si="82"/>
        <v>4.4903169955188518E+17</v>
      </c>
      <c r="O235" s="2">
        <f t="shared" si="83"/>
        <v>1419962912200359.8</v>
      </c>
      <c r="P235" s="2">
        <f t="shared" si="84"/>
        <v>3.0228425923344718E+22</v>
      </c>
      <c r="Q235" s="2">
        <f t="shared" si="89"/>
        <v>7.0891203089277149E+19</v>
      </c>
    </row>
    <row r="236" spans="1:17" x14ac:dyDescent="0.2">
      <c r="A236">
        <f t="shared" si="85"/>
        <v>855</v>
      </c>
      <c r="B236">
        <f t="shared" si="62"/>
        <v>855000</v>
      </c>
      <c r="C236" s="1">
        <f t="shared" si="86"/>
        <v>27678915000</v>
      </c>
      <c r="D236">
        <f t="shared" si="74"/>
        <v>1900.5</v>
      </c>
      <c r="E236" s="2">
        <f t="shared" si="87"/>
        <v>540000</v>
      </c>
      <c r="F236" s="2">
        <f t="shared" si="75"/>
        <v>917504.81</v>
      </c>
      <c r="G236" s="2">
        <f t="shared" si="76"/>
        <v>15801.517199999998</v>
      </c>
      <c r="H236" s="2">
        <f t="shared" si="77"/>
        <v>55305.310199999993</v>
      </c>
      <c r="I236" s="2">
        <f t="shared" si="78"/>
        <v>34.173933627082342</v>
      </c>
      <c r="J236" s="2">
        <f t="shared" si="79"/>
        <v>16.589814010300952</v>
      </c>
      <c r="K236">
        <f t="shared" si="80"/>
        <v>694305809506352.12</v>
      </c>
      <c r="L236" s="13">
        <f t="shared" si="88"/>
        <v>175916266.5777038</v>
      </c>
      <c r="M236" s="2">
        <f t="shared" si="81"/>
        <v>16027459.217395402</v>
      </c>
      <c r="N236" s="2">
        <f t="shared" si="82"/>
        <v>4.5308597387297696E+17</v>
      </c>
      <c r="O236" s="2">
        <f t="shared" si="83"/>
        <v>1432783653314142.5</v>
      </c>
      <c r="P236" s="2">
        <f t="shared" si="84"/>
        <v>3.0112893259554602E+22</v>
      </c>
      <c r="Q236" s="2">
        <f t="shared" si="89"/>
        <v>7.1246087963970044E+19</v>
      </c>
    </row>
    <row r="237" spans="1:17" x14ac:dyDescent="0.2">
      <c r="A237">
        <f t="shared" si="85"/>
        <v>854</v>
      </c>
      <c r="B237">
        <f t="shared" si="62"/>
        <v>854000</v>
      </c>
      <c r="C237" s="1">
        <f t="shared" si="86"/>
        <v>27646542000</v>
      </c>
      <c r="D237">
        <f t="shared" si="74"/>
        <v>1900</v>
      </c>
      <c r="E237" s="2">
        <f t="shared" si="87"/>
        <v>540000</v>
      </c>
      <c r="F237" s="2">
        <f t="shared" si="75"/>
        <v>917051.58799999999</v>
      </c>
      <c r="G237" s="2">
        <f t="shared" si="76"/>
        <v>15797.359999999999</v>
      </c>
      <c r="H237" s="2">
        <f t="shared" si="77"/>
        <v>55290.759999999995</v>
      </c>
      <c r="I237" s="2">
        <f t="shared" si="78"/>
        <v>34.182926767510523</v>
      </c>
      <c r="J237" s="2">
        <f t="shared" si="79"/>
        <v>16.58598268499113</v>
      </c>
      <c r="K237">
        <f t="shared" si="80"/>
        <v>700577960044184.12</v>
      </c>
      <c r="L237" s="13">
        <f t="shared" si="88"/>
        <v>176797376.77975804</v>
      </c>
      <c r="M237" s="2">
        <f t="shared" si="81"/>
        <v>15966170.291122815</v>
      </c>
      <c r="N237" s="2">
        <f t="shared" si="82"/>
        <v>4.5717901673075181E+17</v>
      </c>
      <c r="O237" s="2">
        <f t="shared" si="83"/>
        <v>1445726991305395.5</v>
      </c>
      <c r="P237" s="2">
        <f t="shared" si="84"/>
        <v>2.9997741701855674E+22</v>
      </c>
      <c r="Q237" s="2">
        <f t="shared" si="89"/>
        <v>7.1602937595802001E+19</v>
      </c>
    </row>
    <row r="238" spans="1:17" x14ac:dyDescent="0.2">
      <c r="A238">
        <f t="shared" si="85"/>
        <v>853</v>
      </c>
      <c r="B238">
        <f t="shared" si="62"/>
        <v>853000</v>
      </c>
      <c r="C238" s="1">
        <f t="shared" si="86"/>
        <v>27614169000</v>
      </c>
      <c r="D238">
        <f t="shared" si="74"/>
        <v>1899.5</v>
      </c>
      <c r="E238" s="2">
        <f t="shared" si="87"/>
        <v>540000</v>
      </c>
      <c r="F238" s="2">
        <f t="shared" si="75"/>
        <v>916598.36599999992</v>
      </c>
      <c r="G238" s="2">
        <f t="shared" si="76"/>
        <v>15793.202799999999</v>
      </c>
      <c r="H238" s="2">
        <f t="shared" si="77"/>
        <v>55276.209799999997</v>
      </c>
      <c r="I238" s="2">
        <f t="shared" si="78"/>
        <v>34.191924642416424</v>
      </c>
      <c r="J238" s="2">
        <f t="shared" si="79"/>
        <v>16.582149342663506</v>
      </c>
      <c r="K238">
        <f t="shared" si="80"/>
        <v>706910118151935</v>
      </c>
      <c r="L238" s="13">
        <f t="shared" si="88"/>
        <v>177683367.54425398</v>
      </c>
      <c r="M238" s="2">
        <f t="shared" si="81"/>
        <v>15905083.652537651</v>
      </c>
      <c r="N238" s="2">
        <f t="shared" si="82"/>
        <v>4.6131121897317261E+17</v>
      </c>
      <c r="O238" s="2">
        <f t="shared" si="83"/>
        <v>1458794162143900.8</v>
      </c>
      <c r="P238" s="2">
        <f t="shared" si="84"/>
        <v>2.988297020861091E+22</v>
      </c>
      <c r="Q238" s="2">
        <f t="shared" si="89"/>
        <v>7.1961763855422857E+19</v>
      </c>
    </row>
    <row r="239" spans="1:17" x14ac:dyDescent="0.2">
      <c r="A239">
        <f t="shared" si="85"/>
        <v>852</v>
      </c>
      <c r="B239">
        <f t="shared" si="62"/>
        <v>852000</v>
      </c>
      <c r="C239" s="1">
        <f t="shared" si="86"/>
        <v>27581796000</v>
      </c>
      <c r="D239">
        <f t="shared" si="74"/>
        <v>1899</v>
      </c>
      <c r="E239" s="2">
        <f t="shared" si="87"/>
        <v>540000</v>
      </c>
      <c r="F239" s="2">
        <f t="shared" si="75"/>
        <v>916145.14399999997</v>
      </c>
      <c r="G239" s="2">
        <f t="shared" si="76"/>
        <v>15789.045599999998</v>
      </c>
      <c r="H239" s="2">
        <f t="shared" si="77"/>
        <v>55261.659599999992</v>
      </c>
      <c r="I239" s="2">
        <f t="shared" si="78"/>
        <v>34.20092725553976</v>
      </c>
      <c r="J239" s="2">
        <f t="shared" si="79"/>
        <v>16.578313981724865</v>
      </c>
      <c r="K239">
        <f t="shared" si="80"/>
        <v>713302889104256.5</v>
      </c>
      <c r="L239" s="13">
        <f t="shared" si="88"/>
        <v>178574268.37279874</v>
      </c>
      <c r="M239" s="2">
        <f t="shared" si="81"/>
        <v>15844198.748397129</v>
      </c>
      <c r="N239" s="2">
        <f t="shared" si="82"/>
        <v>4.6548297558678765E+17</v>
      </c>
      <c r="O239" s="2">
        <f t="shared" si="83"/>
        <v>1471986414886795</v>
      </c>
      <c r="P239" s="2">
        <f t="shared" si="84"/>
        <v>2.9768577740370413E+22</v>
      </c>
      <c r="Q239" s="2">
        <f t="shared" si="89"/>
        <v>7.2322578690983494E+19</v>
      </c>
    </row>
    <row r="240" spans="1:17" x14ac:dyDescent="0.2">
      <c r="A240">
        <f t="shared" si="85"/>
        <v>851</v>
      </c>
      <c r="B240">
        <f t="shared" si="62"/>
        <v>851000</v>
      </c>
      <c r="C240" s="1">
        <f t="shared" si="86"/>
        <v>27549423000</v>
      </c>
      <c r="D240">
        <f t="shared" si="74"/>
        <v>1898.5</v>
      </c>
      <c r="E240" s="2">
        <f t="shared" si="87"/>
        <v>540000</v>
      </c>
      <c r="F240" s="2">
        <f t="shared" si="75"/>
        <v>915691.92200000002</v>
      </c>
      <c r="G240" s="2">
        <f t="shared" si="76"/>
        <v>15784.888399999998</v>
      </c>
      <c r="H240" s="2">
        <f t="shared" si="77"/>
        <v>55247.109399999994</v>
      </c>
      <c r="I240" s="2">
        <f t="shared" si="78"/>
        <v>34.209934610624174</v>
      </c>
      <c r="J240" s="2">
        <f t="shared" si="79"/>
        <v>16.574476600580304</v>
      </c>
      <c r="K240">
        <f t="shared" si="80"/>
        <v>719756884588030.5</v>
      </c>
      <c r="L240" s="13">
        <f t="shared" si="88"/>
        <v>179470108.95969471</v>
      </c>
      <c r="M240" s="2">
        <f t="shared" si="81"/>
        <v>15783515.026620692</v>
      </c>
      <c r="N240" s="2">
        <f t="shared" si="82"/>
        <v>4.6969468574260019E+17</v>
      </c>
      <c r="O240" s="2">
        <f t="shared" si="83"/>
        <v>1485305011823625.2</v>
      </c>
      <c r="P240" s="2">
        <f t="shared" si="84"/>
        <v>2.9654563259867912E+22</v>
      </c>
      <c r="Q240" s="2">
        <f t="shared" si="89"/>
        <v>7.2685394128676356E+19</v>
      </c>
    </row>
    <row r="241" spans="1:17" x14ac:dyDescent="0.2">
      <c r="A241">
        <f t="shared" si="85"/>
        <v>850</v>
      </c>
      <c r="B241">
        <f t="shared" ref="B241:B304" si="90">A241*1000</f>
        <v>850000</v>
      </c>
      <c r="C241" s="1">
        <f t="shared" si="86"/>
        <v>27517050000</v>
      </c>
      <c r="D241">
        <f t="shared" ref="D241" si="91">IF(A241&gt;$B$4,$B$2+(A241-$B$4)*$B$5,$B$6+(($B$2-$B$6)/$B$4)*(A241))</f>
        <v>1898</v>
      </c>
      <c r="E241" s="2">
        <f t="shared" si="87"/>
        <v>540000</v>
      </c>
      <c r="F241" s="2">
        <f t="shared" ref="F241" si="92">+$F$20+$H$15*C241*(0.000001)</f>
        <v>915238.7</v>
      </c>
      <c r="G241" s="2">
        <f t="shared" ref="G241" si="93">+$B$17*D241</f>
        <v>15780.731199999998</v>
      </c>
      <c r="H241" s="2">
        <f t="shared" ref="H241" si="94">+$B$23*$B$17*D241</f>
        <v>55232.559199999996</v>
      </c>
      <c r="I241" s="2">
        <f t="shared" ref="I241" si="95">+E241/G241</f>
        <v>34.218946711417281</v>
      </c>
      <c r="J241" s="2">
        <f t="shared" ref="J241" si="96">+F241/H241</f>
        <v>16.570637197633239</v>
      </c>
      <c r="K241">
        <f t="shared" ref="K241" si="97">+EXP(I241)</f>
        <v>726272722773512.62</v>
      </c>
      <c r="L241" s="13">
        <f t="shared" si="88"/>
        <v>180370919.19329381</v>
      </c>
      <c r="M241" s="2">
        <f t="shared" ref="M241" si="98">+EXP(J241)</f>
        <v>15723031.936288564</v>
      </c>
      <c r="N241" s="2">
        <f t="shared" ref="N241" si="99">+$B$13*(($B$15/$B$21)^($B$23-1))*K241</f>
        <v>4.7394675284249517E+17</v>
      </c>
      <c r="O241" s="2">
        <f t="shared" ref="O241" si="100">+$B$13*(($B$15/$B$22)^($B$23-1))*K241</f>
        <v>1498751228623160</v>
      </c>
      <c r="P241" s="2">
        <f t="shared" ref="P241" si="101">(1000000)*($F$18^(-1/$B$23))*($F$19^((1/$B$23)-1))*M241</f>
        <v>2.9540925732018043E+22</v>
      </c>
      <c r="Q241" s="2">
        <f t="shared" si="89"/>
        <v>7.305022227328399E+19</v>
      </c>
    </row>
    <row r="242" spans="1:17" x14ac:dyDescent="0.2">
      <c r="A242">
        <f t="shared" si="85"/>
        <v>849</v>
      </c>
      <c r="B242">
        <f t="shared" si="90"/>
        <v>849000</v>
      </c>
      <c r="C242" s="1">
        <f t="shared" si="86"/>
        <v>27484677000</v>
      </c>
      <c r="D242">
        <f t="shared" ref="D242:D305" si="102">IF(A242&gt;$B$4,$B$2+(A242-$B$4)*$B$5,$B$6+(($B$2-$B$6)/$B$4)*(A242))</f>
        <v>1897.5</v>
      </c>
      <c r="E242" s="2">
        <f t="shared" si="87"/>
        <v>540000</v>
      </c>
      <c r="F242" s="2">
        <f t="shared" ref="F242:F305" si="103">+$F$20+$H$15*C242*(0.000001)</f>
        <v>914785.478</v>
      </c>
      <c r="G242" s="2">
        <f t="shared" ref="G242:G305" si="104">+$B$17*D242</f>
        <v>15776.573999999999</v>
      </c>
      <c r="H242" s="2">
        <f t="shared" ref="H242:H305" si="105">+$B$23*$B$17*D242</f>
        <v>55218.008999999991</v>
      </c>
      <c r="I242" s="2">
        <f t="shared" ref="I242:I305" si="106">+E242/G242</f>
        <v>34.227963561670613</v>
      </c>
      <c r="J242" s="2">
        <f t="shared" ref="J242:J305" si="107">+F242/H242</f>
        <v>16.566795771285417</v>
      </c>
      <c r="K242">
        <f t="shared" ref="K242:K305" si="108">+EXP(I242)</f>
        <v>732851028386228.75</v>
      </c>
      <c r="L242" s="13">
        <f t="shared" si="88"/>
        <v>181276729.15735298</v>
      </c>
      <c r="M242" s="2">
        <f t="shared" ref="M242:M305" si="109">+EXP(J242)</f>
        <v>15662748.927640509</v>
      </c>
      <c r="N242" s="2">
        <f t="shared" ref="N242:N305" si="110">+$B$13*(($B$15/$B$21)^($B$23-1))*K242</f>
        <v>4.7823958456615693E+17</v>
      </c>
      <c r="O242" s="2">
        <f t="shared" ref="O242:O305" si="111">+$B$13*(($B$15/$B$22)^($B$23-1))*K242</f>
        <v>1512326354481757.8</v>
      </c>
      <c r="P242" s="2">
        <f t="shared" ref="P242:P305" si="112">(1000000)*($F$18^(-1/$B$23))*($F$19^((1/$B$23)-1))*M242</f>
        <v>2.9427664123914034E+22</v>
      </c>
      <c r="Q242" s="2">
        <f t="shared" si="89"/>
        <v>7.341707530872796E+19</v>
      </c>
    </row>
    <row r="243" spans="1:17" x14ac:dyDescent="0.2">
      <c r="A243">
        <f t="shared" si="85"/>
        <v>848</v>
      </c>
      <c r="B243">
        <f t="shared" si="90"/>
        <v>848000</v>
      </c>
      <c r="C243" s="1">
        <f t="shared" si="86"/>
        <v>27452304000</v>
      </c>
      <c r="D243">
        <f t="shared" si="102"/>
        <v>1897</v>
      </c>
      <c r="E243" s="2">
        <f t="shared" si="87"/>
        <v>540000</v>
      </c>
      <c r="F243" s="2">
        <f t="shared" si="103"/>
        <v>914332.25600000005</v>
      </c>
      <c r="G243" s="2">
        <f t="shared" si="104"/>
        <v>15772.416799999999</v>
      </c>
      <c r="H243" s="2">
        <f t="shared" si="105"/>
        <v>55203.458799999993</v>
      </c>
      <c r="I243" s="2">
        <f t="shared" si="106"/>
        <v>34.236985165139693</v>
      </c>
      <c r="J243" s="2">
        <f t="shared" si="107"/>
        <v>16.562952319936883</v>
      </c>
      <c r="K243">
        <f t="shared" si="108"/>
        <v>739492432779802</v>
      </c>
      <c r="L243" s="13">
        <f t="shared" si="88"/>
        <v>182187569.13241008</v>
      </c>
      <c r="M243" s="2">
        <f t="shared" si="109"/>
        <v>15602665.452073757</v>
      </c>
      <c r="N243" s="2">
        <f t="shared" si="110"/>
        <v>4.8257359291859443E+17</v>
      </c>
      <c r="O243" s="2">
        <f t="shared" si="111"/>
        <v>1526031692273654</v>
      </c>
      <c r="P243" s="2">
        <f t="shared" si="112"/>
        <v>2.9314777404823774E+22</v>
      </c>
      <c r="Q243" s="2">
        <f t="shared" si="89"/>
        <v>7.3785965498626081E+19</v>
      </c>
    </row>
    <row r="244" spans="1:17" x14ac:dyDescent="0.2">
      <c r="A244">
        <f t="shared" si="85"/>
        <v>847</v>
      </c>
      <c r="B244">
        <f t="shared" si="90"/>
        <v>847000</v>
      </c>
      <c r="C244" s="1">
        <f t="shared" si="86"/>
        <v>27419931000</v>
      </c>
      <c r="D244">
        <f t="shared" si="102"/>
        <v>1896.5</v>
      </c>
      <c r="E244" s="2">
        <f t="shared" si="87"/>
        <v>540000</v>
      </c>
      <c r="F244" s="2">
        <f t="shared" si="103"/>
        <v>913879.03399999999</v>
      </c>
      <c r="G244" s="2">
        <f t="shared" si="104"/>
        <v>15768.259599999998</v>
      </c>
      <c r="H244" s="2">
        <f t="shared" si="105"/>
        <v>55188.908599999995</v>
      </c>
      <c r="I244" s="2">
        <f t="shared" si="106"/>
        <v>34.246011525583967</v>
      </c>
      <c r="J244" s="2">
        <f t="shared" si="107"/>
        <v>16.559106841986001</v>
      </c>
      <c r="K244">
        <f t="shared" si="108"/>
        <v>746197574009514.62</v>
      </c>
      <c r="L244" s="13">
        <f t="shared" si="88"/>
        <v>183103469.59715691</v>
      </c>
      <c r="M244" s="2">
        <f t="shared" si="109"/>
        <v>15542780.962141767</v>
      </c>
      <c r="N244" s="2">
        <f t="shared" si="110"/>
        <v>4.8694919427814554E+17</v>
      </c>
      <c r="O244" s="2">
        <f t="shared" si="111"/>
        <v>1539868558702764.5</v>
      </c>
      <c r="P244" s="2">
        <f t="shared" si="112"/>
        <v>2.9202264546187539E+22</v>
      </c>
      <c r="Q244" s="2">
        <f t="shared" si="89"/>
        <v>7.4156905186848555E+19</v>
      </c>
    </row>
    <row r="245" spans="1:17" x14ac:dyDescent="0.2">
      <c r="A245">
        <f t="shared" si="85"/>
        <v>846</v>
      </c>
      <c r="B245">
        <f t="shared" si="90"/>
        <v>846000</v>
      </c>
      <c r="C245" s="1">
        <f t="shared" si="86"/>
        <v>27387558000</v>
      </c>
      <c r="D245">
        <f t="shared" si="102"/>
        <v>1896</v>
      </c>
      <c r="E245" s="2">
        <f t="shared" si="87"/>
        <v>540000</v>
      </c>
      <c r="F245" s="2">
        <f t="shared" si="103"/>
        <v>913425.81199999992</v>
      </c>
      <c r="G245" s="2">
        <f t="shared" si="104"/>
        <v>15764.102399999998</v>
      </c>
      <c r="H245" s="2">
        <f t="shared" si="105"/>
        <v>55174.358399999997</v>
      </c>
      <c r="I245" s="2">
        <f t="shared" si="106"/>
        <v>34.255042646766874</v>
      </c>
      <c r="J245" s="2">
        <f t="shared" si="107"/>
        <v>16.555259335829447</v>
      </c>
      <c r="K245">
        <f t="shared" si="108"/>
        <v>752967096906827.5</v>
      </c>
      <c r="L245" s="13">
        <f t="shared" si="88"/>
        <v>184024461.22983515</v>
      </c>
      <c r="M245" s="2">
        <f t="shared" si="109"/>
        <v>15483094.911552725</v>
      </c>
      <c r="N245" s="2">
        <f t="shared" si="110"/>
        <v>4.9136680944510656E+17</v>
      </c>
      <c r="O245" s="2">
        <f t="shared" si="111"/>
        <v>1553838284456466.5</v>
      </c>
      <c r="P245" s="2">
        <f t="shared" si="112"/>
        <v>2.9090124521615118E+22</v>
      </c>
      <c r="Q245" s="2">
        <f t="shared" si="89"/>
        <v>7.4529906798083244E+19</v>
      </c>
    </row>
    <row r="246" spans="1:17" x14ac:dyDescent="0.2">
      <c r="A246">
        <f t="shared" si="85"/>
        <v>845</v>
      </c>
      <c r="B246">
        <f t="shared" si="90"/>
        <v>845000</v>
      </c>
      <c r="C246" s="1">
        <f t="shared" si="86"/>
        <v>27355185000</v>
      </c>
      <c r="D246">
        <f t="shared" si="102"/>
        <v>1895.5</v>
      </c>
      <c r="E246" s="2">
        <f t="shared" si="87"/>
        <v>540000</v>
      </c>
      <c r="F246" s="2">
        <f t="shared" si="103"/>
        <v>912972.59</v>
      </c>
      <c r="G246" s="2">
        <f t="shared" si="104"/>
        <v>15759.945199999998</v>
      </c>
      <c r="H246" s="2">
        <f t="shared" si="105"/>
        <v>55159.808199999992</v>
      </c>
      <c r="I246" s="2">
        <f t="shared" si="106"/>
        <v>34.264078532455812</v>
      </c>
      <c r="J246" s="2">
        <f t="shared" si="107"/>
        <v>16.551409799862213</v>
      </c>
      <c r="K246">
        <f t="shared" si="108"/>
        <v>759801653154685.25</v>
      </c>
      <c r="L246" s="13">
        <f t="shared" si="88"/>
        <v>184950574.90963402</v>
      </c>
      <c r="M246" s="2">
        <f t="shared" si="109"/>
        <v>15423606.755167957</v>
      </c>
      <c r="N246" s="2">
        <f t="shared" si="110"/>
        <v>4.9582686369087462E+17</v>
      </c>
      <c r="O246" s="2">
        <f t="shared" si="111"/>
        <v>1567942214360998</v>
      </c>
      <c r="P246" s="2">
        <f t="shared" si="112"/>
        <v>2.897835630688287E+22</v>
      </c>
      <c r="Q246" s="2">
        <f t="shared" si="89"/>
        <v>7.4904982838401778E+19</v>
      </c>
    </row>
    <row r="247" spans="1:17" x14ac:dyDescent="0.2">
      <c r="A247">
        <f t="shared" si="85"/>
        <v>844</v>
      </c>
      <c r="B247">
        <f t="shared" si="90"/>
        <v>844000</v>
      </c>
      <c r="C247" s="1">
        <f t="shared" si="86"/>
        <v>27322812000</v>
      </c>
      <c r="D247">
        <f t="shared" si="102"/>
        <v>1895</v>
      </c>
      <c r="E247" s="2">
        <f t="shared" si="87"/>
        <v>540000</v>
      </c>
      <c r="F247" s="2">
        <f t="shared" si="103"/>
        <v>912519.36800000002</v>
      </c>
      <c r="G247" s="2">
        <f t="shared" si="104"/>
        <v>15755.787999999999</v>
      </c>
      <c r="H247" s="2">
        <f t="shared" si="105"/>
        <v>55145.257999999994</v>
      </c>
      <c r="I247" s="2">
        <f t="shared" si="106"/>
        <v>34.273119186422164</v>
      </c>
      <c r="J247" s="2">
        <f t="shared" si="107"/>
        <v>16.547558232477581</v>
      </c>
      <c r="K247">
        <f t="shared" si="108"/>
        <v>766701901363743.5</v>
      </c>
      <c r="L247" s="13">
        <f t="shared" si="88"/>
        <v>185881841.71810514</v>
      </c>
      <c r="M247" s="2">
        <f t="shared" si="109"/>
        <v>15364315.949000098</v>
      </c>
      <c r="N247" s="2">
        <f t="shared" si="110"/>
        <v>5.0032978680769158E+17</v>
      </c>
      <c r="O247" s="2">
        <f t="shared" si="111"/>
        <v>1582181707538763.8</v>
      </c>
      <c r="P247" s="2">
        <f t="shared" si="112"/>
        <v>2.8866958879930261E+22</v>
      </c>
      <c r="Q247" s="2">
        <f t="shared" si="89"/>
        <v>7.5282145895832584E+19</v>
      </c>
    </row>
    <row r="248" spans="1:17" x14ac:dyDescent="0.2">
      <c r="A248">
        <f t="shared" si="85"/>
        <v>843</v>
      </c>
      <c r="B248">
        <f t="shared" si="90"/>
        <v>843000</v>
      </c>
      <c r="C248" s="1">
        <f t="shared" si="86"/>
        <v>27290439000</v>
      </c>
      <c r="D248">
        <f t="shared" si="102"/>
        <v>1894.5</v>
      </c>
      <c r="E248" s="2">
        <f t="shared" si="87"/>
        <v>540000</v>
      </c>
      <c r="F248" s="2">
        <f t="shared" si="103"/>
        <v>912066.14599999995</v>
      </c>
      <c r="G248" s="2">
        <f t="shared" si="104"/>
        <v>15751.630799999999</v>
      </c>
      <c r="H248" s="2">
        <f t="shared" si="105"/>
        <v>55130.707799999996</v>
      </c>
      <c r="I248" s="2">
        <f t="shared" si="106"/>
        <v>34.282164612441271</v>
      </c>
      <c r="J248" s="2">
        <f t="shared" si="107"/>
        <v>16.54370463206714</v>
      </c>
      <c r="K248">
        <f t="shared" si="108"/>
        <v>773668507149437</v>
      </c>
      <c r="L248" s="13">
        <f t="shared" si="88"/>
        <v>186818292.94057986</v>
      </c>
      <c r="M248" s="2">
        <f t="shared" si="109"/>
        <v>15305221.950211849</v>
      </c>
      <c r="N248" s="2">
        <f t="shared" si="110"/>
        <v>5.0487601315893626E+17</v>
      </c>
      <c r="O248" s="2">
        <f t="shared" si="111"/>
        <v>1596558137567373.5</v>
      </c>
      <c r="P248" s="2">
        <f t="shared" si="112"/>
        <v>2.8755931220857548E+22</v>
      </c>
      <c r="Q248" s="2">
        <f t="shared" si="89"/>
        <v>7.5661408640934838E+19</v>
      </c>
    </row>
    <row r="249" spans="1:17" x14ac:dyDescent="0.2">
      <c r="A249">
        <f t="shared" si="85"/>
        <v>842</v>
      </c>
      <c r="B249">
        <f t="shared" si="90"/>
        <v>842000</v>
      </c>
      <c r="C249" s="1">
        <f t="shared" si="86"/>
        <v>27258066000</v>
      </c>
      <c r="D249">
        <f t="shared" si="102"/>
        <v>1894</v>
      </c>
      <c r="E249" s="2">
        <f t="shared" si="87"/>
        <v>540000</v>
      </c>
      <c r="F249" s="2">
        <f t="shared" si="103"/>
        <v>911612.924</v>
      </c>
      <c r="G249" s="2">
        <f t="shared" si="104"/>
        <v>15747.473599999998</v>
      </c>
      <c r="H249" s="2">
        <f t="shared" si="105"/>
        <v>55116.157599999991</v>
      </c>
      <c r="I249" s="2">
        <f t="shared" si="106"/>
        <v>34.291214814292502</v>
      </c>
      <c r="J249" s="2">
        <f t="shared" si="107"/>
        <v>16.539848997020798</v>
      </c>
      <c r="K249">
        <f t="shared" si="108"/>
        <v>780702143210020.88</v>
      </c>
      <c r="L249" s="13">
        <f t="shared" si="88"/>
        <v>187759960.06760663</v>
      </c>
      <c r="M249" s="2">
        <f t="shared" si="109"/>
        <v>15246324.217114575</v>
      </c>
      <c r="N249" s="2">
        <f t="shared" si="110"/>
        <v>5.0946598173005274E+17</v>
      </c>
      <c r="O249" s="2">
        <f t="shared" si="111"/>
        <v>1611072892640690</v>
      </c>
      <c r="P249" s="2">
        <f t="shared" si="112"/>
        <v>2.8645272311923126E+22</v>
      </c>
      <c r="Q249" s="2">
        <f t="shared" si="89"/>
        <v>7.6042783827380683E+19</v>
      </c>
    </row>
    <row r="250" spans="1:17" x14ac:dyDescent="0.2">
      <c r="A250">
        <f t="shared" si="85"/>
        <v>841</v>
      </c>
      <c r="B250">
        <f t="shared" si="90"/>
        <v>841000</v>
      </c>
      <c r="C250" s="1">
        <f t="shared" si="86"/>
        <v>27225693000</v>
      </c>
      <c r="D250">
        <f t="shared" si="102"/>
        <v>1893.5</v>
      </c>
      <c r="E250" s="2">
        <f t="shared" si="87"/>
        <v>540000</v>
      </c>
      <c r="F250" s="2">
        <f t="shared" si="103"/>
        <v>911159.70200000005</v>
      </c>
      <c r="G250" s="2">
        <f t="shared" si="104"/>
        <v>15743.316399999998</v>
      </c>
      <c r="H250" s="2">
        <f t="shared" si="105"/>
        <v>55101.607399999994</v>
      </c>
      <c r="I250" s="2">
        <f t="shared" si="106"/>
        <v>34.300269795759178</v>
      </c>
      <c r="J250" s="2">
        <f t="shared" si="107"/>
        <v>16.535991325726737</v>
      </c>
      <c r="K250">
        <f t="shared" si="108"/>
        <v>787803489405402.38</v>
      </c>
      <c r="L250" s="13">
        <f t="shared" si="88"/>
        <v>188706874.79638913</v>
      </c>
      <c r="M250" s="2">
        <f t="shared" si="109"/>
        <v>15187622.209166193</v>
      </c>
      <c r="N250" s="2">
        <f t="shared" si="110"/>
        <v>5.1410013617999347E+17</v>
      </c>
      <c r="O250" s="2">
        <f t="shared" si="111"/>
        <v>1625727375731507.5</v>
      </c>
      <c r="P250" s="2">
        <f t="shared" si="112"/>
        <v>2.8534981137539566E+22</v>
      </c>
      <c r="Q250" s="2">
        <f t="shared" si="89"/>
        <v>7.6426284292537598E+19</v>
      </c>
    </row>
    <row r="251" spans="1:17" x14ac:dyDescent="0.2">
      <c r="A251">
        <f t="shared" si="85"/>
        <v>840</v>
      </c>
      <c r="B251">
        <f t="shared" si="90"/>
        <v>840000</v>
      </c>
      <c r="C251" s="1">
        <f t="shared" si="86"/>
        <v>27193320000</v>
      </c>
      <c r="D251">
        <f t="shared" si="102"/>
        <v>1893</v>
      </c>
      <c r="E251" s="2">
        <f t="shared" si="87"/>
        <v>540000</v>
      </c>
      <c r="F251" s="2">
        <f t="shared" si="103"/>
        <v>910706.48</v>
      </c>
      <c r="G251" s="2">
        <f t="shared" si="104"/>
        <v>15739.159199999998</v>
      </c>
      <c r="H251" s="2">
        <f t="shared" si="105"/>
        <v>55087.057199999996</v>
      </c>
      <c r="I251" s="2">
        <f t="shared" si="106"/>
        <v>34.309329560628633</v>
      </c>
      <c r="J251" s="2">
        <f t="shared" si="107"/>
        <v>16.532131616571451</v>
      </c>
      <c r="K251">
        <f t="shared" si="108"/>
        <v>794973232837000.88</v>
      </c>
      <c r="L251" s="13">
        <f t="shared" si="88"/>
        <v>189659069.03224519</v>
      </c>
      <c r="M251" s="2">
        <f t="shared" si="109"/>
        <v>15129115.386970146</v>
      </c>
      <c r="N251" s="2">
        <f t="shared" si="110"/>
        <v>5.1877892489333414E+17</v>
      </c>
      <c r="O251" s="2">
        <f t="shared" si="111"/>
        <v>1640523004756352.8</v>
      </c>
      <c r="P251" s="2">
        <f t="shared" si="112"/>
        <v>2.8425056684271691E+22</v>
      </c>
      <c r="Q251" s="2">
        <f t="shared" si="89"/>
        <v>7.6811922958059307E+19</v>
      </c>
    </row>
    <row r="252" spans="1:17" x14ac:dyDescent="0.2">
      <c r="A252">
        <f t="shared" si="85"/>
        <v>839</v>
      </c>
      <c r="B252">
        <f t="shared" si="90"/>
        <v>839000</v>
      </c>
      <c r="C252" s="1">
        <f t="shared" si="86"/>
        <v>27160947000</v>
      </c>
      <c r="D252">
        <f t="shared" si="102"/>
        <v>1892.5</v>
      </c>
      <c r="E252" s="2">
        <f t="shared" si="87"/>
        <v>540000</v>
      </c>
      <c r="F252" s="2">
        <f t="shared" si="103"/>
        <v>910253.25799999991</v>
      </c>
      <c r="G252" s="2">
        <f t="shared" si="104"/>
        <v>15735.001999999999</v>
      </c>
      <c r="H252" s="2">
        <f t="shared" si="105"/>
        <v>55072.506999999998</v>
      </c>
      <c r="I252" s="2">
        <f t="shared" si="106"/>
        <v>34.318394112692204</v>
      </c>
      <c r="J252" s="2">
        <f t="shared" si="107"/>
        <v>16.528269867939731</v>
      </c>
      <c r="K252">
        <f t="shared" si="108"/>
        <v>802212067928474.62</v>
      </c>
      <c r="L252" s="13">
        <f t="shared" si="88"/>
        <v>190616574.89006925</v>
      </c>
      <c r="M252" s="2">
        <f t="shared" si="109"/>
        <v>15070803.212273728</v>
      </c>
      <c r="N252" s="2">
        <f t="shared" si="110"/>
        <v>5.2350280103295366E+17</v>
      </c>
      <c r="O252" s="2">
        <f t="shared" si="111"/>
        <v>1655461212742073.8</v>
      </c>
      <c r="P252" s="2">
        <f t="shared" si="112"/>
        <v>2.8315497940833437E+22</v>
      </c>
      <c r="Q252" s="2">
        <f t="shared" si="89"/>
        <v>7.7199712830478041E+19</v>
      </c>
    </row>
    <row r="253" spans="1:17" x14ac:dyDescent="0.2">
      <c r="A253">
        <f t="shared" si="85"/>
        <v>838</v>
      </c>
      <c r="B253">
        <f t="shared" si="90"/>
        <v>838000</v>
      </c>
      <c r="C253" s="1">
        <f t="shared" si="86"/>
        <v>27128574000</v>
      </c>
      <c r="D253">
        <f t="shared" si="102"/>
        <v>1892</v>
      </c>
      <c r="E253" s="2">
        <f t="shared" si="87"/>
        <v>540000</v>
      </c>
      <c r="F253" s="2">
        <f t="shared" si="103"/>
        <v>909800.03599999996</v>
      </c>
      <c r="G253" s="2">
        <f t="shared" si="104"/>
        <v>15730.844799999999</v>
      </c>
      <c r="H253" s="2">
        <f t="shared" si="105"/>
        <v>55057.956799999993</v>
      </c>
      <c r="I253" s="2">
        <f t="shared" si="106"/>
        <v>34.327463455745239</v>
      </c>
      <c r="J253" s="2">
        <f t="shared" si="107"/>
        <v>16.524406078214657</v>
      </c>
      <c r="K253">
        <f t="shared" si="108"/>
        <v>809520696507410.62</v>
      </c>
      <c r="L253" s="13">
        <f t="shared" si="88"/>
        <v>191579424.69580981</v>
      </c>
      <c r="M253" s="2">
        <f t="shared" si="109"/>
        <v>15012685.147966465</v>
      </c>
      <c r="N253" s="2">
        <f t="shared" si="110"/>
        <v>5.2827222259334291E+17</v>
      </c>
      <c r="O253" s="2">
        <f t="shared" si="111"/>
        <v>1670543447994418</v>
      </c>
      <c r="P253" s="2">
        <f t="shared" si="112"/>
        <v>2.8206303898084785E+22</v>
      </c>
      <c r="Q253" s="2">
        <f t="shared" si="89"/>
        <v>7.7589667001802981E+19</v>
      </c>
    </row>
    <row r="254" spans="1:17" x14ac:dyDescent="0.2">
      <c r="A254">
        <f t="shared" si="85"/>
        <v>837</v>
      </c>
      <c r="B254">
        <f t="shared" si="90"/>
        <v>837000</v>
      </c>
      <c r="C254" s="1">
        <f t="shared" si="86"/>
        <v>27096201000</v>
      </c>
      <c r="D254">
        <f t="shared" si="102"/>
        <v>1891.5</v>
      </c>
      <c r="E254" s="2">
        <f t="shared" si="87"/>
        <v>540000</v>
      </c>
      <c r="F254" s="2">
        <f t="shared" si="103"/>
        <v>909346.81400000001</v>
      </c>
      <c r="G254" s="2">
        <f t="shared" si="104"/>
        <v>15726.687599999997</v>
      </c>
      <c r="H254" s="2">
        <f t="shared" si="105"/>
        <v>55043.406599999995</v>
      </c>
      <c r="I254" s="2">
        <f t="shared" si="106"/>
        <v>34.336537593587103</v>
      </c>
      <c r="J254" s="2">
        <f t="shared" si="107"/>
        <v>16.520540245777596</v>
      </c>
      <c r="K254">
        <f t="shared" si="108"/>
        <v>816899827887954.38</v>
      </c>
      <c r="L254" s="13">
        <f t="shared" si="88"/>
        <v>192547650.98795465</v>
      </c>
      <c r="M254" s="2">
        <f t="shared" si="109"/>
        <v>14954760.658078497</v>
      </c>
      <c r="N254" s="2">
        <f t="shared" si="110"/>
        <v>5.3308765245452672E+17</v>
      </c>
      <c r="O254" s="2">
        <f t="shared" si="111"/>
        <v>1685771174268547.5</v>
      </c>
      <c r="P254" s="2">
        <f t="shared" si="112"/>
        <v>2.809747354902875E+22</v>
      </c>
      <c r="Q254" s="2">
        <f t="shared" si="89"/>
        <v>7.7981798650121634E+19</v>
      </c>
    </row>
    <row r="255" spans="1:17" x14ac:dyDescent="0.2">
      <c r="A255">
        <f t="shared" si="85"/>
        <v>836</v>
      </c>
      <c r="B255">
        <f t="shared" si="90"/>
        <v>836000</v>
      </c>
      <c r="C255" s="1">
        <f t="shared" si="86"/>
        <v>27063828000</v>
      </c>
      <c r="D255">
        <f t="shared" si="102"/>
        <v>1891</v>
      </c>
      <c r="E255" s="2">
        <f t="shared" si="87"/>
        <v>540000</v>
      </c>
      <c r="F255" s="2">
        <f t="shared" si="103"/>
        <v>908893.59199999995</v>
      </c>
      <c r="G255" s="2">
        <f t="shared" si="104"/>
        <v>15722.530399999998</v>
      </c>
      <c r="H255" s="2">
        <f t="shared" si="105"/>
        <v>55028.856399999997</v>
      </c>
      <c r="I255" s="2">
        <f t="shared" si="106"/>
        <v>34.345616530021154</v>
      </c>
      <c r="J255" s="2">
        <f t="shared" si="107"/>
        <v>16.516672369008198</v>
      </c>
      <c r="K255">
        <f t="shared" si="108"/>
        <v>824350178954383.75</v>
      </c>
      <c r="L255" s="13">
        <f t="shared" si="88"/>
        <v>193521286.51902995</v>
      </c>
      <c r="M255" s="2">
        <f t="shared" si="109"/>
        <v>14897029.207779067</v>
      </c>
      <c r="N255" s="2">
        <f t="shared" si="110"/>
        <v>5.3794955843660224E+17</v>
      </c>
      <c r="O255" s="2">
        <f t="shared" si="111"/>
        <v>1701145870941503.8</v>
      </c>
      <c r="P255" s="2">
        <f t="shared" si="112"/>
        <v>2.7989005888808521E+22</v>
      </c>
      <c r="Q255" s="2">
        <f t="shared" si="89"/>
        <v>7.8376121040207135E+19</v>
      </c>
    </row>
    <row r="256" spans="1:17" x14ac:dyDescent="0.2">
      <c r="A256">
        <f t="shared" si="85"/>
        <v>835</v>
      </c>
      <c r="B256">
        <f t="shared" si="90"/>
        <v>835000</v>
      </c>
      <c r="C256" s="1">
        <f t="shared" si="86"/>
        <v>27031455000</v>
      </c>
      <c r="D256">
        <f t="shared" si="102"/>
        <v>1890.5</v>
      </c>
      <c r="E256" s="2">
        <f t="shared" si="87"/>
        <v>540000</v>
      </c>
      <c r="F256" s="2">
        <f t="shared" si="103"/>
        <v>908440.37</v>
      </c>
      <c r="G256" s="2">
        <f t="shared" si="104"/>
        <v>15718.373199999998</v>
      </c>
      <c r="H256" s="2">
        <f t="shared" si="105"/>
        <v>55014.306199999992</v>
      </c>
      <c r="I256" s="2">
        <f t="shared" si="106"/>
        <v>34.354700268854799</v>
      </c>
      <c r="J256" s="2">
        <f t="shared" si="107"/>
        <v>16.512802446284422</v>
      </c>
      <c r="K256">
        <f t="shared" si="108"/>
        <v>831872474245722.12</v>
      </c>
      <c r="L256" s="13">
        <f t="shared" si="88"/>
        <v>194500364.25711045</v>
      </c>
      <c r="M256" s="2">
        <f t="shared" si="109"/>
        <v>14839490.263375379</v>
      </c>
      <c r="N256" s="2">
        <f t="shared" si="110"/>
        <v>5.4285841335495501E+17</v>
      </c>
      <c r="O256" s="2">
        <f t="shared" si="111"/>
        <v>1716669033186818.2</v>
      </c>
      <c r="P256" s="2">
        <f t="shared" si="112"/>
        <v>2.7880899914705331E+22</v>
      </c>
      <c r="Q256" s="2">
        <f t="shared" si="89"/>
        <v>7.8772647524129735E+19</v>
      </c>
    </row>
    <row r="257" spans="1:17" x14ac:dyDescent="0.2">
      <c r="A257">
        <f t="shared" ref="A257:A320" si="113">+A256-1</f>
        <v>834</v>
      </c>
      <c r="B257">
        <f t="shared" si="90"/>
        <v>834000</v>
      </c>
      <c r="C257" s="1">
        <f t="shared" si="86"/>
        <v>26999082000</v>
      </c>
      <c r="D257">
        <f t="shared" si="102"/>
        <v>1890</v>
      </c>
      <c r="E257" s="2">
        <f t="shared" si="87"/>
        <v>540000</v>
      </c>
      <c r="F257" s="2">
        <f t="shared" si="103"/>
        <v>907987.14800000004</v>
      </c>
      <c r="G257" s="2">
        <f t="shared" si="104"/>
        <v>15714.215999999999</v>
      </c>
      <c r="H257" s="2">
        <f t="shared" si="105"/>
        <v>54999.755999999994</v>
      </c>
      <c r="I257" s="2">
        <f t="shared" si="106"/>
        <v>34.363788813899468</v>
      </c>
      <c r="J257" s="2">
        <f t="shared" si="107"/>
        <v>16.508930475982478</v>
      </c>
      <c r="K257">
        <f t="shared" si="108"/>
        <v>839467446041267.62</v>
      </c>
      <c r="L257" s="13">
        <f t="shared" si="88"/>
        <v>195484917.38734064</v>
      </c>
      <c r="M257" s="2">
        <f t="shared" si="109"/>
        <v>14782143.292310242</v>
      </c>
      <c r="N257" s="2">
        <f t="shared" si="110"/>
        <v>5.4781469507607328E+17</v>
      </c>
      <c r="O257" s="2">
        <f t="shared" si="111"/>
        <v>1732342172151011.2</v>
      </c>
      <c r="P257" s="2">
        <f t="shared" si="112"/>
        <v>2.7773154626134014E+22</v>
      </c>
      <c r="Q257" s="2">
        <f t="shared" si="89"/>
        <v>7.9171391541872951E+19</v>
      </c>
    </row>
    <row r="258" spans="1:17" x14ac:dyDescent="0.2">
      <c r="A258">
        <f t="shared" si="113"/>
        <v>833</v>
      </c>
      <c r="B258">
        <f t="shared" si="90"/>
        <v>833000</v>
      </c>
      <c r="C258" s="1">
        <f t="shared" si="86"/>
        <v>26966709000</v>
      </c>
      <c r="D258">
        <f t="shared" si="102"/>
        <v>1889.5</v>
      </c>
      <c r="E258" s="2">
        <f t="shared" si="87"/>
        <v>540000</v>
      </c>
      <c r="F258" s="2">
        <f t="shared" si="103"/>
        <v>907533.92599999998</v>
      </c>
      <c r="G258" s="2">
        <f t="shared" si="104"/>
        <v>15710.058799999999</v>
      </c>
      <c r="H258" s="2">
        <f t="shared" si="105"/>
        <v>54985.205799999996</v>
      </c>
      <c r="I258" s="2">
        <f t="shared" si="106"/>
        <v>34.372882168970627</v>
      </c>
      <c r="J258" s="2">
        <f t="shared" si="107"/>
        <v>16.505056456476883</v>
      </c>
      <c r="K258">
        <f t="shared" si="108"/>
        <v>847135834447155.88</v>
      </c>
      <c r="L258" s="13">
        <f t="shared" si="88"/>
        <v>196474979.31346488</v>
      </c>
      <c r="M258" s="2">
        <f t="shared" si="109"/>
        <v>14724987.763161344</v>
      </c>
      <c r="N258" s="2">
        <f t="shared" si="110"/>
        <v>5.5281888657403642E+17</v>
      </c>
      <c r="O258" s="2">
        <f t="shared" si="111"/>
        <v>1748166815132224.8</v>
      </c>
      <c r="P258" s="2">
        <f t="shared" si="112"/>
        <v>2.7665769024641663E+22</v>
      </c>
      <c r="Q258" s="2">
        <f t="shared" si="89"/>
        <v>7.9572366621953278E+19</v>
      </c>
    </row>
    <row r="259" spans="1:17" x14ac:dyDescent="0.2">
      <c r="A259">
        <f t="shared" si="113"/>
        <v>832</v>
      </c>
      <c r="B259">
        <f t="shared" si="90"/>
        <v>832000</v>
      </c>
      <c r="C259" s="1">
        <f t="shared" si="86"/>
        <v>26934336000</v>
      </c>
      <c r="D259">
        <f t="shared" si="102"/>
        <v>1889</v>
      </c>
      <c r="E259" s="2">
        <f t="shared" si="87"/>
        <v>540000</v>
      </c>
      <c r="F259" s="2">
        <f t="shared" si="103"/>
        <v>907080.70399999991</v>
      </c>
      <c r="G259" s="2">
        <f t="shared" si="104"/>
        <v>15705.901599999999</v>
      </c>
      <c r="H259" s="2">
        <f t="shared" si="105"/>
        <v>54970.655599999991</v>
      </c>
      <c r="I259" s="2">
        <f t="shared" si="106"/>
        <v>34.381980337887768</v>
      </c>
      <c r="J259" s="2">
        <f t="shared" si="107"/>
        <v>16.501180386140419</v>
      </c>
      <c r="K259">
        <f t="shared" si="108"/>
        <v>854878387483914.38</v>
      </c>
      <c r="L259" s="13">
        <f t="shared" si="88"/>
        <v>197470583.65937436</v>
      </c>
      <c r="M259" s="2">
        <f t="shared" si="109"/>
        <v>14668023.145639174</v>
      </c>
      <c r="N259" s="2">
        <f t="shared" si="110"/>
        <v>5.5787147598765101E+17</v>
      </c>
      <c r="O259" s="2">
        <f t="shared" si="111"/>
        <v>1764144505760901.2</v>
      </c>
      <c r="P259" s="2">
        <f t="shared" si="112"/>
        <v>2.7558742113903704E+22</v>
      </c>
      <c r="Q259" s="2">
        <f t="shared" si="89"/>
        <v>7.9975586382046609E+19</v>
      </c>
    </row>
    <row r="260" spans="1:17" x14ac:dyDescent="0.2">
      <c r="A260">
        <f t="shared" si="113"/>
        <v>831</v>
      </c>
      <c r="B260">
        <f t="shared" si="90"/>
        <v>831000</v>
      </c>
      <c r="C260" s="1">
        <f t="shared" si="86"/>
        <v>26901963000</v>
      </c>
      <c r="D260">
        <f t="shared" si="102"/>
        <v>1888.5</v>
      </c>
      <c r="E260" s="2">
        <f t="shared" si="87"/>
        <v>540000</v>
      </c>
      <c r="F260" s="2">
        <f t="shared" si="103"/>
        <v>906627.48199999996</v>
      </c>
      <c r="G260" s="2">
        <f t="shared" si="104"/>
        <v>15701.744399999998</v>
      </c>
      <c r="H260" s="2">
        <f t="shared" si="105"/>
        <v>54956.105399999993</v>
      </c>
      <c r="I260" s="2">
        <f t="shared" si="106"/>
        <v>34.391083324474451</v>
      </c>
      <c r="J260" s="2">
        <f t="shared" si="107"/>
        <v>16.497302263344157</v>
      </c>
      <c r="K260">
        <f t="shared" si="108"/>
        <v>862695861175077.12</v>
      </c>
      <c r="L260" s="13">
        <f t="shared" si="88"/>
        <v>198471764.27065894</v>
      </c>
      <c r="M260" s="2">
        <f t="shared" si="109"/>
        <v>14611248.910585819</v>
      </c>
      <c r="N260" s="2">
        <f t="shared" si="110"/>
        <v>5.6297295667827808E+17</v>
      </c>
      <c r="O260" s="2">
        <f t="shared" si="111"/>
        <v>1780276804182651.5</v>
      </c>
      <c r="P260" s="2">
        <f t="shared" si="112"/>
        <v>2.7452072899721648E+22</v>
      </c>
      <c r="Q260" s="2">
        <f t="shared" si="89"/>
        <v>8.0381064529616863E+19</v>
      </c>
    </row>
    <row r="261" spans="1:17" x14ac:dyDescent="0.2">
      <c r="A261">
        <f t="shared" si="113"/>
        <v>830</v>
      </c>
      <c r="B261">
        <f t="shared" si="90"/>
        <v>830000</v>
      </c>
      <c r="C261" s="1">
        <f t="shared" si="86"/>
        <v>26869590000</v>
      </c>
      <c r="D261">
        <f t="shared" si="102"/>
        <v>1888</v>
      </c>
      <c r="E261" s="2">
        <f t="shared" si="87"/>
        <v>540000</v>
      </c>
      <c r="F261" s="2">
        <f t="shared" si="103"/>
        <v>906174.26</v>
      </c>
      <c r="G261" s="2">
        <f t="shared" si="104"/>
        <v>15697.587199999998</v>
      </c>
      <c r="H261" s="2">
        <f t="shared" si="105"/>
        <v>54941.555199999995</v>
      </c>
      <c r="I261" s="2">
        <f t="shared" si="106"/>
        <v>34.400191132558263</v>
      </c>
      <c r="J261" s="2">
        <f t="shared" si="107"/>
        <v>16.493422086457432</v>
      </c>
      <c r="K261">
        <f t="shared" si="108"/>
        <v>870589019636771.88</v>
      </c>
      <c r="L261" s="13">
        <f t="shared" si="88"/>
        <v>199478555.21617669</v>
      </c>
      <c r="M261" s="2">
        <f t="shared" si="109"/>
        <v>14554664.529973133</v>
      </c>
      <c r="N261" s="2">
        <f t="shared" si="110"/>
        <v>5.6812382728829562E+17</v>
      </c>
      <c r="O261" s="2">
        <f t="shared" si="111"/>
        <v>1796565287243127.8</v>
      </c>
      <c r="P261" s="2">
        <f t="shared" si="112"/>
        <v>2.7345760390019644E+22</v>
      </c>
      <c r="Q261" s="2">
        <f t="shared" si="89"/>
        <v>8.0788814862551564E+19</v>
      </c>
    </row>
    <row r="262" spans="1:17" x14ac:dyDescent="0.2">
      <c r="A262">
        <f t="shared" si="113"/>
        <v>829</v>
      </c>
      <c r="B262">
        <f t="shared" si="90"/>
        <v>829000</v>
      </c>
      <c r="C262" s="1">
        <f t="shared" si="86"/>
        <v>26837217000</v>
      </c>
      <c r="D262">
        <f t="shared" si="102"/>
        <v>1887.5</v>
      </c>
      <c r="E262" s="2">
        <f t="shared" si="87"/>
        <v>540000</v>
      </c>
      <c r="F262" s="2">
        <f t="shared" si="103"/>
        <v>905721.03799999994</v>
      </c>
      <c r="G262" s="2">
        <f t="shared" si="104"/>
        <v>15693.429999999998</v>
      </c>
      <c r="H262" s="2">
        <f t="shared" si="105"/>
        <v>54927.004999999997</v>
      </c>
      <c r="I262" s="2">
        <f t="shared" si="106"/>
        <v>34.409303765970861</v>
      </c>
      <c r="J262" s="2">
        <f t="shared" si="107"/>
        <v>16.489539853847848</v>
      </c>
      <c r="K262">
        <f t="shared" si="108"/>
        <v>878558635168423.75</v>
      </c>
      <c r="L262" s="13">
        <f t="shared" si="88"/>
        <v>200490990.78963357</v>
      </c>
      <c r="M262" s="2">
        <f t="shared" si="109"/>
        <v>14498269.476901243</v>
      </c>
      <c r="N262" s="2">
        <f t="shared" si="110"/>
        <v>5.7332459180028928E+17</v>
      </c>
      <c r="O262" s="2">
        <f t="shared" si="111"/>
        <v>1813011548675201.8</v>
      </c>
      <c r="P262" s="2">
        <f t="shared" si="112"/>
        <v>2.7239803594841677E+22</v>
      </c>
      <c r="Q262" s="2">
        <f t="shared" si="89"/>
        <v>8.1198851269801591E+19</v>
      </c>
    </row>
    <row r="263" spans="1:17" x14ac:dyDescent="0.2">
      <c r="A263">
        <f t="shared" si="113"/>
        <v>828</v>
      </c>
      <c r="B263">
        <f t="shared" si="90"/>
        <v>828000</v>
      </c>
      <c r="C263" s="1">
        <f t="shared" si="86"/>
        <v>26804844000</v>
      </c>
      <c r="D263">
        <f t="shared" si="102"/>
        <v>1887</v>
      </c>
      <c r="E263" s="2">
        <f t="shared" si="87"/>
        <v>540000</v>
      </c>
      <c r="F263" s="2">
        <f t="shared" si="103"/>
        <v>905267.81599999999</v>
      </c>
      <c r="G263" s="2">
        <f t="shared" si="104"/>
        <v>15689.272799999999</v>
      </c>
      <c r="H263" s="2">
        <f t="shared" si="105"/>
        <v>54912.454799999992</v>
      </c>
      <c r="I263" s="2">
        <f t="shared" si="106"/>
        <v>34.418421228547956</v>
      </c>
      <c r="J263" s="2">
        <f t="shared" si="107"/>
        <v>16.485655563881295</v>
      </c>
      <c r="K263">
        <f t="shared" si="108"/>
        <v>886605488344463.12</v>
      </c>
      <c r="L263" s="13">
        <f t="shared" si="88"/>
        <v>201509105.51117158</v>
      </c>
      <c r="M263" s="2">
        <f t="shared" si="109"/>
        <v>14442063.225597341</v>
      </c>
      <c r="N263" s="2">
        <f t="shared" si="110"/>
        <v>5.7857575959689882E+17</v>
      </c>
      <c r="O263" s="2">
        <f t="shared" si="111"/>
        <v>1829617199288215.8</v>
      </c>
      <c r="P263" s="2">
        <f t="shared" si="112"/>
        <v>2.7134201526349306E+22</v>
      </c>
      <c r="Q263" s="2">
        <f t="shared" si="89"/>
        <v>8.1611187732024492E+19</v>
      </c>
    </row>
    <row r="264" spans="1:17" x14ac:dyDescent="0.2">
      <c r="A264">
        <f t="shared" si="113"/>
        <v>827</v>
      </c>
      <c r="B264">
        <f t="shared" si="90"/>
        <v>827000</v>
      </c>
      <c r="C264" s="1">
        <f t="shared" si="86"/>
        <v>26772471000</v>
      </c>
      <c r="D264">
        <f t="shared" si="102"/>
        <v>1886.5</v>
      </c>
      <c r="E264" s="2">
        <f t="shared" si="87"/>
        <v>540000</v>
      </c>
      <c r="F264" s="2">
        <f t="shared" si="103"/>
        <v>904814.59400000004</v>
      </c>
      <c r="G264" s="2">
        <f t="shared" si="104"/>
        <v>15685.115599999999</v>
      </c>
      <c r="H264" s="2">
        <f t="shared" si="105"/>
        <v>54897.904599999994</v>
      </c>
      <c r="I264" s="2">
        <f t="shared" si="106"/>
        <v>34.427543524129334</v>
      </c>
      <c r="J264" s="2">
        <f t="shared" si="107"/>
        <v>16.481769214921915</v>
      </c>
      <c r="K264">
        <f t="shared" si="108"/>
        <v>894730368107150.25</v>
      </c>
      <c r="L264" s="13">
        <f t="shared" si="88"/>
        <v>202532934.12897465</v>
      </c>
      <c r="M264" s="2">
        <f t="shared" si="109"/>
        <v>14386045.251413653</v>
      </c>
      <c r="N264" s="2">
        <f t="shared" si="110"/>
        <v>5.8387784552139264E+17</v>
      </c>
      <c r="O264" s="2">
        <f t="shared" si="111"/>
        <v>1846383867159535.8</v>
      </c>
      <c r="P264" s="2">
        <f t="shared" si="112"/>
        <v>2.7028953198817823E+22</v>
      </c>
      <c r="Q264" s="2">
        <f t="shared" si="89"/>
        <v>8.2025838322234737E+19</v>
      </c>
    </row>
    <row r="265" spans="1:17" x14ac:dyDescent="0.2">
      <c r="A265">
        <f t="shared" si="113"/>
        <v>826</v>
      </c>
      <c r="B265">
        <f t="shared" si="90"/>
        <v>826000</v>
      </c>
      <c r="C265" s="1">
        <f t="shared" si="86"/>
        <v>26740098000</v>
      </c>
      <c r="D265">
        <f t="shared" si="102"/>
        <v>1886</v>
      </c>
      <c r="E265" s="2">
        <f t="shared" si="87"/>
        <v>540000</v>
      </c>
      <c r="F265" s="2">
        <f t="shared" si="103"/>
        <v>904361.37199999997</v>
      </c>
      <c r="G265" s="2">
        <f t="shared" si="104"/>
        <v>15680.958399999998</v>
      </c>
      <c r="H265" s="2">
        <f t="shared" si="105"/>
        <v>54883.354399999997</v>
      </c>
      <c r="I265" s="2">
        <f t="shared" si="106"/>
        <v>34.436670656558853</v>
      </c>
      <c r="J265" s="2">
        <f t="shared" si="107"/>
        <v>16.477880805332116</v>
      </c>
      <c r="K265">
        <f t="shared" si="108"/>
        <v>902934071860455.25</v>
      </c>
      <c r="L265" s="13">
        <f t="shared" si="88"/>
        <v>203562511.62088001</v>
      </c>
      <c r="M265" s="2">
        <f t="shared" si="109"/>
        <v>14330215.030826148</v>
      </c>
      <c r="N265" s="2">
        <f t="shared" si="110"/>
        <v>5.8923136993893184E+17</v>
      </c>
      <c r="O265" s="2">
        <f t="shared" si="111"/>
        <v>1863313197828285.8</v>
      </c>
      <c r="P265" s="2">
        <f t="shared" si="112"/>
        <v>2.6924057628633859E+22</v>
      </c>
      <c r="Q265" s="2">
        <f t="shared" si="89"/>
        <v>8.2442817206456402E+19</v>
      </c>
    </row>
    <row r="266" spans="1:17" x14ac:dyDescent="0.2">
      <c r="A266">
        <f t="shared" si="113"/>
        <v>825</v>
      </c>
      <c r="B266">
        <f t="shared" si="90"/>
        <v>825000</v>
      </c>
      <c r="C266" s="1">
        <f t="shared" si="86"/>
        <v>26707725000</v>
      </c>
      <c r="D266">
        <f t="shared" si="102"/>
        <v>1885.5</v>
      </c>
      <c r="E266" s="2">
        <f t="shared" si="87"/>
        <v>540000</v>
      </c>
      <c r="F266" s="2">
        <f t="shared" si="103"/>
        <v>903908.14999999991</v>
      </c>
      <c r="G266" s="2">
        <f t="shared" si="104"/>
        <v>15676.801199999998</v>
      </c>
      <c r="H266" s="2">
        <f t="shared" si="105"/>
        <v>54868.804199999991</v>
      </c>
      <c r="I266" s="2">
        <f t="shared" si="106"/>
        <v>34.44580262968443</v>
      </c>
      <c r="J266" s="2">
        <f t="shared" si="107"/>
        <v>16.473990333472585</v>
      </c>
      <c r="K266">
        <f t="shared" si="108"/>
        <v>911217405565031.38</v>
      </c>
      <c r="L266" s="13">
        <f t="shared" si="88"/>
        <v>204597873.19600838</v>
      </c>
      <c r="M266" s="2">
        <f t="shared" si="109"/>
        <v>14274572.041433174</v>
      </c>
      <c r="N266" s="2">
        <f t="shared" si="110"/>
        <v>5.946368587985472E+17</v>
      </c>
      <c r="O266" s="2">
        <f t="shared" si="111"/>
        <v>1880406854491336</v>
      </c>
      <c r="P266" s="2">
        <f t="shared" si="112"/>
        <v>2.6819513834292797E+22</v>
      </c>
      <c r="Q266" s="2">
        <f t="shared" si="89"/>
        <v>8.28621386443834E+19</v>
      </c>
    </row>
    <row r="267" spans="1:17" x14ac:dyDescent="0.2">
      <c r="A267">
        <f t="shared" si="113"/>
        <v>824</v>
      </c>
      <c r="B267">
        <f t="shared" si="90"/>
        <v>824000</v>
      </c>
      <c r="C267" s="1">
        <f t="shared" si="86"/>
        <v>26675352000</v>
      </c>
      <c r="D267">
        <f t="shared" si="102"/>
        <v>1885</v>
      </c>
      <c r="E267" s="2">
        <f t="shared" si="87"/>
        <v>540000</v>
      </c>
      <c r="F267" s="2">
        <f t="shared" si="103"/>
        <v>903454.92799999996</v>
      </c>
      <c r="G267" s="2">
        <f t="shared" si="104"/>
        <v>15672.643999999998</v>
      </c>
      <c r="H267" s="2">
        <f t="shared" si="105"/>
        <v>54854.253999999994</v>
      </c>
      <c r="I267" s="2">
        <f t="shared" si="106"/>
        <v>34.454939447358086</v>
      </c>
      <c r="J267" s="2">
        <f t="shared" si="107"/>
        <v>16.470097797702255</v>
      </c>
      <c r="K267">
        <f t="shared" si="108"/>
        <v>919581183834358.12</v>
      </c>
      <c r="L267" s="13">
        <f t="shared" si="88"/>
        <v>205639054.29640272</v>
      </c>
      <c r="M267" s="2">
        <f t="shared" si="109"/>
        <v>14219115.76195354</v>
      </c>
      <c r="N267" s="2">
        <f t="shared" si="110"/>
        <v>6.0009484369587917E+17</v>
      </c>
      <c r="O267" s="2">
        <f t="shared" si="111"/>
        <v>1897666518201705.5</v>
      </c>
      <c r="P267" s="2">
        <f t="shared" si="112"/>
        <v>2.671532083639518E+22</v>
      </c>
      <c r="Q267" s="2">
        <f t="shared" si="89"/>
        <v>8.3283816990043095E+19</v>
      </c>
    </row>
    <row r="268" spans="1:17" x14ac:dyDescent="0.2">
      <c r="A268">
        <f t="shared" si="113"/>
        <v>823</v>
      </c>
      <c r="B268">
        <f t="shared" si="90"/>
        <v>823000</v>
      </c>
      <c r="C268" s="1">
        <f t="shared" si="86"/>
        <v>26642979000</v>
      </c>
      <c r="D268">
        <f t="shared" si="102"/>
        <v>1884.5</v>
      </c>
      <c r="E268" s="2">
        <f t="shared" si="87"/>
        <v>540000</v>
      </c>
      <c r="F268" s="2">
        <f t="shared" si="103"/>
        <v>903001.70600000001</v>
      </c>
      <c r="G268" s="2">
        <f t="shared" si="104"/>
        <v>15668.486799999999</v>
      </c>
      <c r="H268" s="2">
        <f t="shared" si="105"/>
        <v>54839.703799999996</v>
      </c>
      <c r="I268" s="2">
        <f t="shared" si="106"/>
        <v>34.464081113435924</v>
      </c>
      <c r="J268" s="2">
        <f t="shared" si="107"/>
        <v>16.466203196378316</v>
      </c>
      <c r="K268">
        <f t="shared" si="108"/>
        <v>928026230031941.12</v>
      </c>
      <c r="L268" s="13">
        <f t="shared" si="88"/>
        <v>206686090.59867865</v>
      </c>
      <c r="M268" s="2">
        <f t="shared" si="109"/>
        <v>14163845.672225116</v>
      </c>
      <c r="N268" s="2">
        <f t="shared" si="110"/>
        <v>6.056058619366089E+17</v>
      </c>
      <c r="O268" s="2">
        <f t="shared" si="111"/>
        <v>1915093888069145.8</v>
      </c>
      <c r="P268" s="2">
        <f t="shared" si="112"/>
        <v>2.6611477657644075E+22</v>
      </c>
      <c r="Q268" s="2">
        <f t="shared" si="89"/>
        <v>8.3707866692464853E+19</v>
      </c>
    </row>
    <row r="269" spans="1:17" x14ac:dyDescent="0.2">
      <c r="A269">
        <f t="shared" si="113"/>
        <v>822</v>
      </c>
      <c r="B269">
        <f t="shared" si="90"/>
        <v>822000</v>
      </c>
      <c r="C269" s="1">
        <f t="shared" si="86"/>
        <v>26610606000</v>
      </c>
      <c r="D269">
        <f t="shared" si="102"/>
        <v>1884</v>
      </c>
      <c r="E269" s="2">
        <f t="shared" si="87"/>
        <v>540000</v>
      </c>
      <c r="F269" s="2">
        <f t="shared" si="103"/>
        <v>902548.48399999994</v>
      </c>
      <c r="G269" s="2">
        <f t="shared" si="104"/>
        <v>15664.329599999999</v>
      </c>
      <c r="H269" s="2">
        <f t="shared" si="105"/>
        <v>54825.153599999998</v>
      </c>
      <c r="I269" s="2">
        <f t="shared" si="106"/>
        <v>34.47322763177813</v>
      </c>
      <c r="J269" s="2">
        <f t="shared" si="107"/>
        <v>16.462306527856221</v>
      </c>
      <c r="K269">
        <f t="shared" si="108"/>
        <v>936553376369684.12</v>
      </c>
      <c r="L269" s="13">
        <f t="shared" si="88"/>
        <v>207739018.01569116</v>
      </c>
      <c r="M269" s="2">
        <f t="shared" si="109"/>
        <v>14108761.253203418</v>
      </c>
      <c r="N269" s="2">
        <f t="shared" si="110"/>
        <v>6.111704566006528E+17</v>
      </c>
      <c r="O269" s="2">
        <f t="shared" si="111"/>
        <v>1932690681463143.5</v>
      </c>
      <c r="P269" s="2">
        <f t="shared" si="112"/>
        <v>2.650798332284242E+22</v>
      </c>
      <c r="Q269" s="2">
        <f t="shared" si="89"/>
        <v>8.4134302296354914E+19</v>
      </c>
    </row>
    <row r="270" spans="1:17" x14ac:dyDescent="0.2">
      <c r="A270">
        <f t="shared" si="113"/>
        <v>821</v>
      </c>
      <c r="B270">
        <f t="shared" si="90"/>
        <v>821000</v>
      </c>
      <c r="C270" s="1">
        <f t="shared" si="86"/>
        <v>26578233000</v>
      </c>
      <c r="D270">
        <f t="shared" si="102"/>
        <v>1883.5</v>
      </c>
      <c r="E270" s="2">
        <f t="shared" si="87"/>
        <v>540000</v>
      </c>
      <c r="F270" s="2">
        <f t="shared" si="103"/>
        <v>902095.26199999999</v>
      </c>
      <c r="G270" s="2">
        <f t="shared" si="104"/>
        <v>15660.172399999998</v>
      </c>
      <c r="H270" s="2">
        <f t="shared" si="105"/>
        <v>54810.603399999993</v>
      </c>
      <c r="I270" s="2">
        <f t="shared" si="106"/>
        <v>34.482379006249005</v>
      </c>
      <c r="J270" s="2">
        <f t="shared" si="107"/>
        <v>16.45840779048968</v>
      </c>
      <c r="K270">
        <f t="shared" si="108"/>
        <v>945163464007435.38</v>
      </c>
      <c r="L270" s="13">
        <f t="shared" si="88"/>
        <v>208797872.6982092</v>
      </c>
      <c r="M270" s="2">
        <f t="shared" si="109"/>
        <v>14053861.986960055</v>
      </c>
      <c r="N270" s="2">
        <f t="shared" si="110"/>
        <v>6.1678917660712358E+17</v>
      </c>
      <c r="O270" s="2">
        <f t="shared" si="111"/>
        <v>1950458634218347</v>
      </c>
      <c r="P270" s="2">
        <f t="shared" si="112"/>
        <v>2.6404836858890107E+22</v>
      </c>
      <c r="Q270" s="2">
        <f t="shared" si="89"/>
        <v>8.4563138442774725E+19</v>
      </c>
    </row>
    <row r="271" spans="1:17" x14ac:dyDescent="0.2">
      <c r="A271">
        <f t="shared" si="113"/>
        <v>820</v>
      </c>
      <c r="B271">
        <f t="shared" si="90"/>
        <v>820000</v>
      </c>
      <c r="C271" s="1">
        <f t="shared" si="86"/>
        <v>26545860000</v>
      </c>
      <c r="D271">
        <f t="shared" si="102"/>
        <v>1883</v>
      </c>
      <c r="E271" s="2">
        <f t="shared" si="87"/>
        <v>540000</v>
      </c>
      <c r="F271" s="2">
        <f t="shared" si="103"/>
        <v>901642.04</v>
      </c>
      <c r="G271" s="2">
        <f t="shared" si="104"/>
        <v>15656.015199999998</v>
      </c>
      <c r="H271" s="2">
        <f t="shared" si="105"/>
        <v>54796.053199999995</v>
      </c>
      <c r="I271" s="2">
        <f t="shared" si="106"/>
        <v>34.491535240716942</v>
      </c>
      <c r="J271" s="2">
        <f t="shared" si="107"/>
        <v>16.45450698263064</v>
      </c>
      <c r="K271">
        <f t="shared" si="108"/>
        <v>953857343153655.88</v>
      </c>
      <c r="L271" s="13">
        <f t="shared" si="88"/>
        <v>209862691.03660545</v>
      </c>
      <c r="M271" s="2">
        <f t="shared" si="109"/>
        <v>13999147.356680868</v>
      </c>
      <c r="N271" s="2">
        <f t="shared" si="110"/>
        <v>6.2246257678002419E+17</v>
      </c>
      <c r="O271" s="2">
        <f t="shared" si="111"/>
        <v>1968399500842306.2</v>
      </c>
      <c r="P271" s="2">
        <f t="shared" si="112"/>
        <v>2.6302037294780472E+22</v>
      </c>
      <c r="Q271" s="2">
        <f t="shared" si="89"/>
        <v>8.4994389869825212E+19</v>
      </c>
    </row>
    <row r="272" spans="1:17" x14ac:dyDescent="0.2">
      <c r="A272">
        <f t="shared" si="113"/>
        <v>819</v>
      </c>
      <c r="B272">
        <f t="shared" si="90"/>
        <v>819000</v>
      </c>
      <c r="C272" s="1">
        <f t="shared" si="86"/>
        <v>26513487000</v>
      </c>
      <c r="D272">
        <f t="shared" si="102"/>
        <v>1882.5</v>
      </c>
      <c r="E272" s="2">
        <f t="shared" si="87"/>
        <v>540000</v>
      </c>
      <c r="F272" s="2">
        <f t="shared" si="103"/>
        <v>901188.81799999997</v>
      </c>
      <c r="G272" s="2">
        <f t="shared" si="104"/>
        <v>15651.857999999998</v>
      </c>
      <c r="H272" s="2">
        <f t="shared" si="105"/>
        <v>54781.502999999997</v>
      </c>
      <c r="I272" s="2">
        <f t="shared" si="106"/>
        <v>34.50069633905445</v>
      </c>
      <c r="J272" s="2">
        <f t="shared" si="107"/>
        <v>16.450604102629313</v>
      </c>
      <c r="K272">
        <f t="shared" si="108"/>
        <v>962635873167310.12</v>
      </c>
      <c r="L272" s="13">
        <f t="shared" si="88"/>
        <v>210933509.6625587</v>
      </c>
      <c r="M272" s="2">
        <f t="shared" si="109"/>
        <v>13944616.846664874</v>
      </c>
      <c r="N272" s="2">
        <f t="shared" si="110"/>
        <v>6.281912179147392E+17</v>
      </c>
      <c r="O272" s="2">
        <f t="shared" si="111"/>
        <v>1986515054725737</v>
      </c>
      <c r="P272" s="2">
        <f t="shared" si="112"/>
        <v>2.6199583661598335E+22</v>
      </c>
      <c r="Q272" s="2">
        <f t="shared" si="89"/>
        <v>8.5428071413336277E+19</v>
      </c>
    </row>
    <row r="273" spans="1:17" x14ac:dyDescent="0.2">
      <c r="A273">
        <f t="shared" si="113"/>
        <v>818</v>
      </c>
      <c r="B273">
        <f t="shared" si="90"/>
        <v>818000</v>
      </c>
      <c r="C273" s="1">
        <f t="shared" si="86"/>
        <v>26481114000</v>
      </c>
      <c r="D273">
        <f t="shared" si="102"/>
        <v>1882</v>
      </c>
      <c r="E273" s="2">
        <f t="shared" si="87"/>
        <v>540000</v>
      </c>
      <c r="F273" s="2">
        <f t="shared" si="103"/>
        <v>900735.5959999999</v>
      </c>
      <c r="G273" s="2">
        <f t="shared" si="104"/>
        <v>15647.700799999999</v>
      </c>
      <c r="H273" s="2">
        <f t="shared" si="105"/>
        <v>54766.952799999992</v>
      </c>
      <c r="I273" s="2">
        <f t="shared" si="106"/>
        <v>34.509862305138149</v>
      </c>
      <c r="J273" s="2">
        <f t="shared" si="107"/>
        <v>16.446699148834149</v>
      </c>
      <c r="K273">
        <f t="shared" si="108"/>
        <v>971499922660934.5</v>
      </c>
      <c r="L273" s="13">
        <f t="shared" si="88"/>
        <v>212010365.45077214</v>
      </c>
      <c r="M273" s="2">
        <f t="shared" si="109"/>
        <v>13890269.942322355</v>
      </c>
      <c r="N273" s="2">
        <f t="shared" si="110"/>
        <v>6.3397566684529408E+17</v>
      </c>
      <c r="O273" s="2">
        <f t="shared" si="111"/>
        <v>2004807088355215.5</v>
      </c>
      <c r="P273" s="2">
        <f t="shared" si="112"/>
        <v>2.6097474992516385E+22</v>
      </c>
      <c r="Q273" s="2">
        <f t="shared" si="89"/>
        <v>8.5864198007562715E+19</v>
      </c>
    </row>
    <row r="274" spans="1:17" x14ac:dyDescent="0.2">
      <c r="A274">
        <f t="shared" si="113"/>
        <v>817</v>
      </c>
      <c r="B274">
        <f t="shared" si="90"/>
        <v>817000</v>
      </c>
      <c r="C274" s="1">
        <f t="shared" si="86"/>
        <v>26448741000</v>
      </c>
      <c r="D274">
        <f t="shared" si="102"/>
        <v>1881.5</v>
      </c>
      <c r="E274" s="2">
        <f t="shared" si="87"/>
        <v>540000</v>
      </c>
      <c r="F274" s="2">
        <f t="shared" si="103"/>
        <v>900282.37400000007</v>
      </c>
      <c r="G274" s="2">
        <f t="shared" si="104"/>
        <v>15643.543599999999</v>
      </c>
      <c r="H274" s="2">
        <f t="shared" si="105"/>
        <v>54752.402599999994</v>
      </c>
      <c r="I274" s="2">
        <f t="shared" si="106"/>
        <v>34.519033142848784</v>
      </c>
      <c r="J274" s="2">
        <f t="shared" si="107"/>
        <v>16.442792119591847</v>
      </c>
      <c r="K274">
        <f t="shared" si="108"/>
        <v>980450369604923.88</v>
      </c>
      <c r="L274" s="13">
        <f t="shared" si="88"/>
        <v>213093295.52069634</v>
      </c>
      <c r="M274" s="2">
        <f t="shared" si="109"/>
        <v>13836106.130173504</v>
      </c>
      <c r="N274" s="2">
        <f t="shared" si="110"/>
        <v>6.3981649651241037E+17</v>
      </c>
      <c r="O274" s="2">
        <f t="shared" si="111"/>
        <v>2023277413528385.8</v>
      </c>
      <c r="P274" s="2">
        <f t="shared" si="112"/>
        <v>2.5995710322792649E+22</v>
      </c>
      <c r="Q274" s="2">
        <f t="shared" si="89"/>
        <v>8.6302784685882016E+19</v>
      </c>
    </row>
    <row r="275" spans="1:17" x14ac:dyDescent="0.2">
      <c r="A275">
        <f t="shared" si="113"/>
        <v>816</v>
      </c>
      <c r="B275">
        <f t="shared" si="90"/>
        <v>816000</v>
      </c>
      <c r="C275" s="1">
        <f t="shared" si="86"/>
        <v>26416368000</v>
      </c>
      <c r="D275">
        <f t="shared" si="102"/>
        <v>1881</v>
      </c>
      <c r="E275" s="2">
        <f t="shared" si="87"/>
        <v>540000</v>
      </c>
      <c r="F275" s="2">
        <f t="shared" si="103"/>
        <v>899829.152</v>
      </c>
      <c r="G275" s="2">
        <f t="shared" si="104"/>
        <v>15639.386399999998</v>
      </c>
      <c r="H275" s="2">
        <f t="shared" si="105"/>
        <v>54737.852399999996</v>
      </c>
      <c r="I275" s="2">
        <f t="shared" si="106"/>
        <v>34.528208856071238</v>
      </c>
      <c r="J275" s="2">
        <f t="shared" si="107"/>
        <v>16.438883013247338</v>
      </c>
      <c r="K275">
        <f t="shared" si="108"/>
        <v>989488101433058.5</v>
      </c>
      <c r="L275" s="13">
        <f t="shared" si="88"/>
        <v>214182337.23827535</v>
      </c>
      <c r="M275" s="2">
        <f t="shared" si="109"/>
        <v>13782124.897846727</v>
      </c>
      <c r="N275" s="2">
        <f t="shared" si="110"/>
        <v>6.4571428603236928E+17</v>
      </c>
      <c r="O275" s="2">
        <f t="shared" si="111"/>
        <v>2041927861571727</v>
      </c>
      <c r="P275" s="2">
        <f t="shared" si="112"/>
        <v>2.5894288689767295E+22</v>
      </c>
      <c r="Q275" s="2">
        <f t="shared" si="89"/>
        <v>8.674384658150151E+19</v>
      </c>
    </row>
    <row r="276" spans="1:17" x14ac:dyDescent="0.2">
      <c r="A276">
        <f t="shared" si="113"/>
        <v>815</v>
      </c>
      <c r="B276">
        <f t="shared" si="90"/>
        <v>815000</v>
      </c>
      <c r="C276" s="1">
        <f t="shared" si="86"/>
        <v>26383995000</v>
      </c>
      <c r="D276">
        <f t="shared" si="102"/>
        <v>1880.5</v>
      </c>
      <c r="E276" s="2">
        <f t="shared" si="87"/>
        <v>540000</v>
      </c>
      <c r="F276" s="2">
        <f t="shared" si="103"/>
        <v>899375.92999999993</v>
      </c>
      <c r="G276" s="2">
        <f t="shared" si="104"/>
        <v>15635.229199999998</v>
      </c>
      <c r="H276" s="2">
        <f t="shared" si="105"/>
        <v>54723.302199999991</v>
      </c>
      <c r="I276" s="2">
        <f t="shared" si="106"/>
        <v>34.537389448694498</v>
      </c>
      <c r="J276" s="2">
        <f t="shared" si="107"/>
        <v>16.434971828143809</v>
      </c>
      <c r="K276">
        <f t="shared" si="108"/>
        <v>998614015149210.38</v>
      </c>
      <c r="L276" s="13">
        <f t="shared" si="88"/>
        <v>215277528.21769586</v>
      </c>
      <c r="M276" s="2">
        <f t="shared" si="109"/>
        <v>13728325.734077366</v>
      </c>
      <c r="N276" s="2">
        <f t="shared" si="110"/>
        <v>6.5166962076664614E+17</v>
      </c>
      <c r="O276" s="2">
        <f t="shared" si="111"/>
        <v>2060760283560755.8</v>
      </c>
      <c r="P276" s="2">
        <f t="shared" si="112"/>
        <v>2.5793209132860251E+22</v>
      </c>
      <c r="Q276" s="2">
        <f t="shared" si="89"/>
        <v>8.718739892816683E+19</v>
      </c>
    </row>
    <row r="277" spans="1:17" x14ac:dyDescent="0.2">
      <c r="A277">
        <f t="shared" si="113"/>
        <v>814</v>
      </c>
      <c r="B277">
        <f t="shared" si="90"/>
        <v>814000</v>
      </c>
      <c r="C277" s="1">
        <f t="shared" si="86"/>
        <v>26351622000</v>
      </c>
      <c r="D277">
        <f t="shared" si="102"/>
        <v>1880</v>
      </c>
      <c r="E277" s="2">
        <f t="shared" si="87"/>
        <v>540000</v>
      </c>
      <c r="F277" s="2">
        <f t="shared" si="103"/>
        <v>898922.70799999998</v>
      </c>
      <c r="G277" s="2">
        <f t="shared" si="104"/>
        <v>15631.071999999998</v>
      </c>
      <c r="H277" s="2">
        <f t="shared" si="105"/>
        <v>54708.751999999993</v>
      </c>
      <c r="I277" s="2">
        <f t="shared" si="106"/>
        <v>34.546574924611697</v>
      </c>
      <c r="J277" s="2">
        <f t="shared" si="107"/>
        <v>16.43105856262267</v>
      </c>
      <c r="K277">
        <f t="shared" si="108"/>
        <v>1007829017435396.4</v>
      </c>
      <c r="L277" s="13">
        <f t="shared" si="88"/>
        <v>216378906.32316113</v>
      </c>
      <c r="M277" s="2">
        <f t="shared" si="109"/>
        <v>13674708.128705865</v>
      </c>
      <c r="N277" s="2">
        <f t="shared" si="110"/>
        <v>6.5768309239242278E+17</v>
      </c>
      <c r="O277" s="2">
        <f t="shared" si="111"/>
        <v>2079776550543005.2</v>
      </c>
      <c r="P277" s="2">
        <f t="shared" si="112"/>
        <v>2.5692470693567729E+22</v>
      </c>
      <c r="Q277" s="2">
        <f t="shared" si="89"/>
        <v>8.7633457060880253E+19</v>
      </c>
    </row>
    <row r="278" spans="1:17" x14ac:dyDescent="0.2">
      <c r="A278">
        <f t="shared" si="113"/>
        <v>813</v>
      </c>
      <c r="B278">
        <f t="shared" si="90"/>
        <v>813000</v>
      </c>
      <c r="C278" s="1">
        <f t="shared" si="86"/>
        <v>26319249000</v>
      </c>
      <c r="D278">
        <f t="shared" si="102"/>
        <v>1879.5</v>
      </c>
      <c r="E278" s="2">
        <f t="shared" si="87"/>
        <v>540000</v>
      </c>
      <c r="F278" s="2">
        <f t="shared" si="103"/>
        <v>898469.48600000003</v>
      </c>
      <c r="G278" s="2">
        <f t="shared" si="104"/>
        <v>15626.914799999999</v>
      </c>
      <c r="H278" s="2">
        <f t="shared" si="105"/>
        <v>54694.201799999995</v>
      </c>
      <c r="I278" s="2">
        <f t="shared" si="106"/>
        <v>34.555765287720135</v>
      </c>
      <c r="J278" s="2">
        <f t="shared" si="107"/>
        <v>16.427143215023573</v>
      </c>
      <c r="K278">
        <f t="shared" si="108"/>
        <v>1017134024761070.5</v>
      </c>
      <c r="L278" s="13">
        <f t="shared" si="88"/>
        <v>217486509.6706686</v>
      </c>
      <c r="M278" s="2">
        <f t="shared" si="109"/>
        <v>13621271.572676405</v>
      </c>
      <c r="N278" s="2">
        <f t="shared" si="110"/>
        <v>6.6375529897390848E+17</v>
      </c>
      <c r="O278" s="2">
        <f t="shared" si="111"/>
        <v>2098978553763565</v>
      </c>
      <c r="P278" s="2">
        <f t="shared" si="112"/>
        <v>2.5592072415459691E+22</v>
      </c>
      <c r="Q278" s="2">
        <f t="shared" si="89"/>
        <v>8.808203641662079E+19</v>
      </c>
    </row>
    <row r="279" spans="1:17" x14ac:dyDescent="0.2">
      <c r="A279">
        <f t="shared" si="113"/>
        <v>812</v>
      </c>
      <c r="B279">
        <f t="shared" si="90"/>
        <v>812000</v>
      </c>
      <c r="C279" s="1">
        <f t="shared" si="86"/>
        <v>26286876000</v>
      </c>
      <c r="D279">
        <f t="shared" si="102"/>
        <v>1879</v>
      </c>
      <c r="E279" s="2">
        <f t="shared" si="87"/>
        <v>540000</v>
      </c>
      <c r="F279" s="2">
        <f t="shared" si="103"/>
        <v>898016.26399999997</v>
      </c>
      <c r="G279" s="2">
        <f t="shared" si="104"/>
        <v>15622.757599999999</v>
      </c>
      <c r="H279" s="2">
        <f t="shared" si="105"/>
        <v>54679.651599999997</v>
      </c>
      <c r="I279" s="2">
        <f t="shared" si="106"/>
        <v>34.564960541921231</v>
      </c>
      <c r="J279" s="2">
        <f t="shared" si="107"/>
        <v>16.423225783684401</v>
      </c>
      <c r="K279">
        <f t="shared" si="108"/>
        <v>1026529963493645.2</v>
      </c>
      <c r="L279" s="13">
        <f t="shared" si="88"/>
        <v>218600376.62980473</v>
      </c>
      <c r="M279" s="2">
        <f t="shared" si="109"/>
        <v>13568015.558035349</v>
      </c>
      <c r="N279" s="2">
        <f t="shared" si="110"/>
        <v>6.69886845034464E+17</v>
      </c>
      <c r="O279" s="2">
        <f t="shared" si="111"/>
        <v>2118368204893152.8</v>
      </c>
      <c r="P279" s="2">
        <f t="shared" si="112"/>
        <v>2.54920133441769E+22</v>
      </c>
      <c r="Q279" s="2">
        <f t="shared" si="89"/>
        <v>8.8533152535070917E+19</v>
      </c>
    </row>
    <row r="280" spans="1:17" x14ac:dyDescent="0.2">
      <c r="A280">
        <f t="shared" si="113"/>
        <v>811</v>
      </c>
      <c r="B280">
        <f t="shared" si="90"/>
        <v>811000</v>
      </c>
      <c r="C280" s="1">
        <f t="shared" si="86"/>
        <v>26254503000</v>
      </c>
      <c r="D280">
        <f t="shared" si="102"/>
        <v>1878.5</v>
      </c>
      <c r="E280" s="2">
        <f t="shared" si="87"/>
        <v>540000</v>
      </c>
      <c r="F280" s="2">
        <f t="shared" si="103"/>
        <v>897563.0419999999</v>
      </c>
      <c r="G280" s="2">
        <f t="shared" si="104"/>
        <v>15618.600399999998</v>
      </c>
      <c r="H280" s="2">
        <f t="shared" si="105"/>
        <v>54665.101399999992</v>
      </c>
      <c r="I280" s="2">
        <f t="shared" si="106"/>
        <v>34.574160691120575</v>
      </c>
      <c r="J280" s="2">
        <f t="shared" si="107"/>
        <v>16.41930626694127</v>
      </c>
      <c r="K280">
        <f t="shared" si="108"/>
        <v>1036017770010410.5</v>
      </c>
      <c r="L280" s="13">
        <f t="shared" si="88"/>
        <v>219720545.8255533</v>
      </c>
      <c r="M280" s="2">
        <f t="shared" si="109"/>
        <v>13514939.577929689</v>
      </c>
      <c r="N280" s="2">
        <f t="shared" si="110"/>
        <v>6.7607834162963635E+17</v>
      </c>
      <c r="O280" s="2">
        <f t="shared" si="111"/>
        <v>2137947436259074.8</v>
      </c>
      <c r="P280" s="2">
        <f t="shared" si="112"/>
        <v>2.5392292527428021E+22</v>
      </c>
      <c r="Q280" s="2">
        <f t="shared" si="89"/>
        <v>8.8986821059349086E+19</v>
      </c>
    </row>
    <row r="281" spans="1:17" x14ac:dyDescent="0.2">
      <c r="A281">
        <f t="shared" si="113"/>
        <v>810</v>
      </c>
      <c r="B281">
        <f t="shared" si="90"/>
        <v>810000</v>
      </c>
      <c r="C281" s="1">
        <f t="shared" si="86"/>
        <v>26222130000</v>
      </c>
      <c r="D281">
        <f t="shared" si="102"/>
        <v>1878</v>
      </c>
      <c r="E281" s="2">
        <f t="shared" si="87"/>
        <v>540000</v>
      </c>
      <c r="F281" s="2">
        <f t="shared" si="103"/>
        <v>897109.82000000007</v>
      </c>
      <c r="G281" s="2">
        <f t="shared" si="104"/>
        <v>15614.443199999998</v>
      </c>
      <c r="H281" s="2">
        <f t="shared" si="105"/>
        <v>54650.551199999994</v>
      </c>
      <c r="I281" s="2">
        <f t="shared" si="106"/>
        <v>34.583365739227901</v>
      </c>
      <c r="J281" s="2">
        <f t="shared" si="107"/>
        <v>16.415384663128524</v>
      </c>
      <c r="K281">
        <f t="shared" si="108"/>
        <v>1045598390811692.6</v>
      </c>
      <c r="L281" s="13">
        <f t="shared" si="88"/>
        <v>220847056.14011768</v>
      </c>
      <c r="M281" s="2">
        <f t="shared" si="109"/>
        <v>13462043.126605539</v>
      </c>
      <c r="N281" s="2">
        <f t="shared" si="110"/>
        <v>6.823304064210039E+17</v>
      </c>
      <c r="O281" s="2">
        <f t="shared" si="111"/>
        <v>2157718201078741.8</v>
      </c>
      <c r="P281" s="2">
        <f t="shared" si="112"/>
        <v>2.5292909014986789E+22</v>
      </c>
      <c r="Q281" s="2">
        <f t="shared" si="89"/>
        <v>8.9443057736747663E+19</v>
      </c>
    </row>
    <row r="282" spans="1:17" x14ac:dyDescent="0.2">
      <c r="A282">
        <f t="shared" si="113"/>
        <v>809</v>
      </c>
      <c r="B282">
        <f t="shared" si="90"/>
        <v>809000</v>
      </c>
      <c r="C282" s="1">
        <f t="shared" si="86"/>
        <v>26189757000</v>
      </c>
      <c r="D282">
        <f t="shared" si="102"/>
        <v>1877.5</v>
      </c>
      <c r="E282" s="2">
        <f t="shared" si="87"/>
        <v>540000</v>
      </c>
      <c r="F282" s="2">
        <f t="shared" si="103"/>
        <v>896656.598</v>
      </c>
      <c r="G282" s="2">
        <f t="shared" si="104"/>
        <v>15610.285999999998</v>
      </c>
      <c r="H282" s="2">
        <f t="shared" si="105"/>
        <v>54636.000999999997</v>
      </c>
      <c r="I282" s="2">
        <f t="shared" si="106"/>
        <v>34.592575690157119</v>
      </c>
      <c r="J282" s="2">
        <f t="shared" si="107"/>
        <v>16.411460970578723</v>
      </c>
      <c r="K282">
        <f t="shared" si="108"/>
        <v>1055272782635414.9</v>
      </c>
      <c r="L282" s="13">
        <f t="shared" si="88"/>
        <v>221979946.71475929</v>
      </c>
      <c r="M282" s="2">
        <f t="shared" si="109"/>
        <v>13409325.699406395</v>
      </c>
      <c r="N282" s="2">
        <f t="shared" si="110"/>
        <v>6.886436637509353E+17</v>
      </c>
      <c r="O282" s="2">
        <f t="shared" si="111"/>
        <v>2177682473696078</v>
      </c>
      <c r="P282" s="2">
        <f t="shared" si="112"/>
        <v>2.5193861858688728E+22</v>
      </c>
      <c r="Q282" s="2">
        <f t="shared" si="89"/>
        <v>8.9901878419477512E+19</v>
      </c>
    </row>
    <row r="283" spans="1:17" x14ac:dyDescent="0.2">
      <c r="A283">
        <f t="shared" si="113"/>
        <v>808</v>
      </c>
      <c r="B283">
        <f t="shared" si="90"/>
        <v>808000</v>
      </c>
      <c r="C283" s="1">
        <f t="shared" si="86"/>
        <v>26157384000</v>
      </c>
      <c r="D283">
        <f t="shared" si="102"/>
        <v>1877</v>
      </c>
      <c r="E283" s="2">
        <f t="shared" si="87"/>
        <v>540000</v>
      </c>
      <c r="F283" s="2">
        <f t="shared" si="103"/>
        <v>896203.37599999993</v>
      </c>
      <c r="G283" s="2">
        <f t="shared" si="104"/>
        <v>15606.128799999999</v>
      </c>
      <c r="H283" s="2">
        <f t="shared" si="105"/>
        <v>54621.450799999991</v>
      </c>
      <c r="I283" s="2">
        <f t="shared" si="106"/>
        <v>34.601790547826319</v>
      </c>
      <c r="J283" s="2">
        <f t="shared" si="107"/>
        <v>16.407535187622663</v>
      </c>
      <c r="K283">
        <f t="shared" si="108"/>
        <v>1065041912572974.1</v>
      </c>
      <c r="L283" s="13">
        <f t="shared" si="88"/>
        <v>223119256.95164281</v>
      </c>
      <c r="M283" s="2">
        <f t="shared" si="109"/>
        <v>13356786.792771962</v>
      </c>
      <c r="N283" s="2">
        <f t="shared" si="110"/>
        <v>6.9501874471820787E+17</v>
      </c>
      <c r="O283" s="2">
        <f t="shared" si="111"/>
        <v>2197842249820648.5</v>
      </c>
      <c r="P283" s="2">
        <f t="shared" si="112"/>
        <v>2.5095150112428956E+22</v>
      </c>
      <c r="Q283" s="2">
        <f t="shared" si="89"/>
        <v>9.0363299065415336E+19</v>
      </c>
    </row>
    <row r="284" spans="1:17" x14ac:dyDescent="0.2">
      <c r="A284">
        <f t="shared" si="113"/>
        <v>807</v>
      </c>
      <c r="B284">
        <f t="shared" si="90"/>
        <v>807000</v>
      </c>
      <c r="C284" s="1">
        <f t="shared" si="86"/>
        <v>26125011000</v>
      </c>
      <c r="D284">
        <f t="shared" si="102"/>
        <v>1876.5</v>
      </c>
      <c r="E284" s="2">
        <f t="shared" si="87"/>
        <v>540000</v>
      </c>
      <c r="F284" s="2">
        <f t="shared" si="103"/>
        <v>895750.15399999998</v>
      </c>
      <c r="G284" s="2">
        <f t="shared" si="104"/>
        <v>15601.971599999999</v>
      </c>
      <c r="H284" s="2">
        <f t="shared" si="105"/>
        <v>54606.900599999994</v>
      </c>
      <c r="I284" s="2">
        <f t="shared" si="106"/>
        <v>34.611010316157738</v>
      </c>
      <c r="J284" s="2">
        <f t="shared" si="107"/>
        <v>16.403607312589354</v>
      </c>
      <c r="K284">
        <f t="shared" si="108"/>
        <v>1074906758186455.5</v>
      </c>
      <c r="L284" s="13">
        <f t="shared" si="88"/>
        <v>224265026.5157049</v>
      </c>
      <c r="M284" s="2">
        <f t="shared" si="109"/>
        <v>13304425.904236317</v>
      </c>
      <c r="N284" s="2">
        <f t="shared" si="110"/>
        <v>7.0145628725449843E+17</v>
      </c>
      <c r="O284" s="2">
        <f t="shared" si="111"/>
        <v>2218199546769543.8</v>
      </c>
      <c r="P284" s="2">
        <f t="shared" si="112"/>
        <v>2.4996772832158731E+22</v>
      </c>
      <c r="Q284" s="2">
        <f t="shared" si="89"/>
        <v>9.0827335738860487E+19</v>
      </c>
    </row>
    <row r="285" spans="1:17" x14ac:dyDescent="0.2">
      <c r="A285">
        <f t="shared" si="113"/>
        <v>806</v>
      </c>
      <c r="B285">
        <f t="shared" si="90"/>
        <v>806000</v>
      </c>
      <c r="C285" s="1">
        <f t="shared" si="86"/>
        <v>26092638000</v>
      </c>
      <c r="D285">
        <f t="shared" si="102"/>
        <v>1876</v>
      </c>
      <c r="E285" s="2">
        <f t="shared" si="87"/>
        <v>540000</v>
      </c>
      <c r="F285" s="2">
        <f t="shared" si="103"/>
        <v>895296.93200000003</v>
      </c>
      <c r="G285" s="2">
        <f t="shared" si="104"/>
        <v>15597.814399999997</v>
      </c>
      <c r="H285" s="2">
        <f t="shared" si="105"/>
        <v>54592.350399999996</v>
      </c>
      <c r="I285" s="2">
        <f t="shared" si="106"/>
        <v>34.620234999077823</v>
      </c>
      <c r="J285" s="2">
        <f t="shared" si="107"/>
        <v>16.399677343806029</v>
      </c>
      <c r="K285">
        <f t="shared" si="108"/>
        <v>1084868307627323.5</v>
      </c>
      <c r="L285" s="13">
        <f t="shared" si="88"/>
        <v>225417295.33652875</v>
      </c>
      <c r="M285" s="2">
        <f t="shared" si="109"/>
        <v>13252242.532426547</v>
      </c>
      <c r="N285" s="2">
        <f t="shared" si="110"/>
        <v>7.0795693620183834E+17</v>
      </c>
      <c r="O285" s="2">
        <f t="shared" si="111"/>
        <v>2238756403712313.8</v>
      </c>
      <c r="P285" s="2">
        <f t="shared" si="112"/>
        <v>2.4898729075882894E+22</v>
      </c>
      <c r="Q285" s="2">
        <f t="shared" si="89"/>
        <v>9.1294004611294151E+19</v>
      </c>
    </row>
    <row r="286" spans="1:17" x14ac:dyDescent="0.2">
      <c r="A286">
        <f t="shared" si="113"/>
        <v>805</v>
      </c>
      <c r="B286">
        <f t="shared" si="90"/>
        <v>805000</v>
      </c>
      <c r="C286" s="1">
        <f t="shared" si="86"/>
        <v>26060265000</v>
      </c>
      <c r="D286">
        <f t="shared" si="102"/>
        <v>1875.5</v>
      </c>
      <c r="E286" s="2">
        <f t="shared" si="87"/>
        <v>540000</v>
      </c>
      <c r="F286" s="2">
        <f t="shared" si="103"/>
        <v>894843.71</v>
      </c>
      <c r="G286" s="2">
        <f t="shared" si="104"/>
        <v>15593.657199999998</v>
      </c>
      <c r="H286" s="2">
        <f t="shared" si="105"/>
        <v>54577.800199999998</v>
      </c>
      <c r="I286" s="2">
        <f t="shared" si="106"/>
        <v>34.629464600517196</v>
      </c>
      <c r="J286" s="2">
        <f t="shared" si="107"/>
        <v>16.395745279598131</v>
      </c>
      <c r="K286">
        <f t="shared" si="108"/>
        <v>1094927559756425.5</v>
      </c>
      <c r="L286" s="13">
        <f t="shared" si="88"/>
        <v>226576103.61023712</v>
      </c>
      <c r="M286" s="2">
        <f t="shared" si="109"/>
        <v>13200236.177061059</v>
      </c>
      <c r="N286" s="2">
        <f t="shared" si="110"/>
        <v>7.145213433909248E+17</v>
      </c>
      <c r="O286" s="2">
        <f t="shared" si="111"/>
        <v>2259514881918610.5</v>
      </c>
      <c r="P286" s="2">
        <f t="shared" si="112"/>
        <v>2.4801017903656689E+22</v>
      </c>
      <c r="Q286" s="2">
        <f t="shared" si="89"/>
        <v>9.1763321962146038E+19</v>
      </c>
    </row>
    <row r="287" spans="1:17" x14ac:dyDescent="0.2">
      <c r="A287">
        <f t="shared" si="113"/>
        <v>804</v>
      </c>
      <c r="B287">
        <f t="shared" si="90"/>
        <v>804000</v>
      </c>
      <c r="C287" s="1">
        <f t="shared" si="86"/>
        <v>26027892000</v>
      </c>
      <c r="D287">
        <f t="shared" si="102"/>
        <v>1875</v>
      </c>
      <c r="E287" s="2">
        <f t="shared" si="87"/>
        <v>540000</v>
      </c>
      <c r="F287" s="2">
        <f t="shared" si="103"/>
        <v>894390.48800000001</v>
      </c>
      <c r="G287" s="2">
        <f t="shared" si="104"/>
        <v>15589.499999999998</v>
      </c>
      <c r="H287" s="2">
        <f t="shared" si="105"/>
        <v>54563.249999999993</v>
      </c>
      <c r="I287" s="2">
        <f t="shared" si="106"/>
        <v>34.638699124410664</v>
      </c>
      <c r="J287" s="2">
        <f t="shared" si="107"/>
        <v>16.391811118289326</v>
      </c>
      <c r="K287">
        <f t="shared" si="108"/>
        <v>1105085524265452.5</v>
      </c>
      <c r="L287" s="13">
        <f t="shared" si="88"/>
        <v>227741491.80140114</v>
      </c>
      <c r="M287" s="2">
        <f t="shared" si="109"/>
        <v>13148406.338948259</v>
      </c>
      <c r="N287" s="2">
        <f t="shared" si="110"/>
        <v>7.2115016772038259E+17</v>
      </c>
      <c r="O287" s="2">
        <f t="shared" si="111"/>
        <v>2280477065008835.5</v>
      </c>
      <c r="P287" s="2">
        <f t="shared" si="112"/>
        <v>2.4703638377583287E+22</v>
      </c>
      <c r="Q287" s="2">
        <f t="shared" si="89"/>
        <v>9.223530417956746E+19</v>
      </c>
    </row>
    <row r="288" spans="1:17" x14ac:dyDescent="0.2">
      <c r="A288">
        <f t="shared" si="113"/>
        <v>803</v>
      </c>
      <c r="B288">
        <f t="shared" si="90"/>
        <v>803000</v>
      </c>
      <c r="C288" s="1">
        <f t="shared" ref="C288:C351" si="114">$B$3*$B$1*B288</f>
        <v>25995519000</v>
      </c>
      <c r="D288">
        <f t="shared" si="102"/>
        <v>1874.5</v>
      </c>
      <c r="E288" s="2">
        <f t="shared" ref="E288:E351" si="115">+$B$19+$B$16*0</f>
        <v>540000</v>
      </c>
      <c r="F288" s="2">
        <f t="shared" si="103"/>
        <v>893937.26600000006</v>
      </c>
      <c r="G288" s="2">
        <f t="shared" si="104"/>
        <v>15585.342799999999</v>
      </c>
      <c r="H288" s="2">
        <f t="shared" si="105"/>
        <v>54548.699799999995</v>
      </c>
      <c r="I288" s="2">
        <f t="shared" si="106"/>
        <v>34.64793857469725</v>
      </c>
      <c r="J288" s="2">
        <f t="shared" si="107"/>
        <v>16.387874858201481</v>
      </c>
      <c r="K288">
        <f t="shared" si="108"/>
        <v>1115343221799861.8</v>
      </c>
      <c r="L288" s="13">
        <f t="shared" ref="L288:L351" si="116">EXP((300*1000)/($B$17*D288))</f>
        <v>228913500.64496094</v>
      </c>
      <c r="M288" s="2">
        <f t="shared" si="109"/>
        <v>13096752.519984776</v>
      </c>
      <c r="N288" s="2">
        <f t="shared" si="110"/>
        <v>7.2784407523698074E+17</v>
      </c>
      <c r="O288" s="2">
        <f t="shared" si="111"/>
        <v>2301645059207806.5</v>
      </c>
      <c r="P288" s="2">
        <f t="shared" si="112"/>
        <v>2.4606589561810446E+22</v>
      </c>
      <c r="Q288" s="2">
        <f t="shared" ref="Q288:Q351" si="117">$B$12*L288</f>
        <v>9.270996776120918E+19</v>
      </c>
    </row>
    <row r="289" spans="1:17" x14ac:dyDescent="0.2">
      <c r="A289">
        <f t="shared" si="113"/>
        <v>802</v>
      </c>
      <c r="B289">
        <f t="shared" si="90"/>
        <v>802000</v>
      </c>
      <c r="C289" s="1">
        <f t="shared" si="114"/>
        <v>25963146000</v>
      </c>
      <c r="D289">
        <f t="shared" si="102"/>
        <v>1874</v>
      </c>
      <c r="E289" s="2">
        <f t="shared" si="115"/>
        <v>540000</v>
      </c>
      <c r="F289" s="2">
        <f t="shared" si="103"/>
        <v>893484.04399999999</v>
      </c>
      <c r="G289" s="2">
        <f t="shared" si="104"/>
        <v>15581.185599999999</v>
      </c>
      <c r="H289" s="2">
        <f t="shared" si="105"/>
        <v>54534.149599999997</v>
      </c>
      <c r="I289" s="2">
        <f t="shared" si="106"/>
        <v>34.657182955320167</v>
      </c>
      <c r="J289" s="2">
        <f t="shared" si="107"/>
        <v>16.383936497654673</v>
      </c>
      <c r="K289">
        <f t="shared" si="108"/>
        <v>1125701684083199</v>
      </c>
      <c r="L289" s="13">
        <f t="shared" si="116"/>
        <v>230092171.14816013</v>
      </c>
      <c r="M289" s="2">
        <f t="shared" si="109"/>
        <v>13045274.223153999</v>
      </c>
      <c r="N289" s="2">
        <f t="shared" si="110"/>
        <v>7.3460373921676109E+17</v>
      </c>
      <c r="O289" s="2">
        <f t="shared" si="111"/>
        <v>2323020993601311</v>
      </c>
      <c r="P289" s="2">
        <f t="shared" si="112"/>
        <v>2.4509870522527761E+22</v>
      </c>
      <c r="Q289" s="2">
        <f t="shared" si="117"/>
        <v>9.3187329315004858E+19</v>
      </c>
    </row>
    <row r="290" spans="1:17" x14ac:dyDescent="0.2">
      <c r="A290">
        <f t="shared" si="113"/>
        <v>801</v>
      </c>
      <c r="B290">
        <f t="shared" si="90"/>
        <v>801000</v>
      </c>
      <c r="C290" s="1">
        <f t="shared" si="114"/>
        <v>25930773000</v>
      </c>
      <c r="D290">
        <f t="shared" si="102"/>
        <v>1873.5</v>
      </c>
      <c r="E290" s="2">
        <f t="shared" si="115"/>
        <v>540000</v>
      </c>
      <c r="F290" s="2">
        <f t="shared" si="103"/>
        <v>893030.82199999993</v>
      </c>
      <c r="G290" s="2">
        <f t="shared" si="104"/>
        <v>15577.028399999999</v>
      </c>
      <c r="H290" s="2">
        <f t="shared" si="105"/>
        <v>54519.599399999992</v>
      </c>
      <c r="I290" s="2">
        <f t="shared" si="106"/>
        <v>34.666432270226842</v>
      </c>
      <c r="J290" s="2">
        <f t="shared" si="107"/>
        <v>16.379996034967199</v>
      </c>
      <c r="K290">
        <f t="shared" si="108"/>
        <v>1136161954042942.5</v>
      </c>
      <c r="L290" s="13">
        <f t="shared" si="116"/>
        <v>231277544.59249845</v>
      </c>
      <c r="M290" s="2">
        <f t="shared" si="109"/>
        <v>12993970.952524815</v>
      </c>
      <c r="N290" s="2">
        <f t="shared" si="110"/>
        <v>7.4142984024716198E+17</v>
      </c>
      <c r="O290" s="2">
        <f t="shared" si="111"/>
        <v>2344607020395800</v>
      </c>
      <c r="P290" s="2">
        <f t="shared" si="112"/>
        <v>2.4413480327964302E+22</v>
      </c>
      <c r="Q290" s="2">
        <f t="shared" si="117"/>
        <v>9.3667405559961879E+19</v>
      </c>
    </row>
    <row r="291" spans="1:17" x14ac:dyDescent="0.2">
      <c r="A291">
        <f t="shared" si="113"/>
        <v>800</v>
      </c>
      <c r="B291">
        <f t="shared" si="90"/>
        <v>800000</v>
      </c>
      <c r="C291" s="1">
        <f t="shared" si="114"/>
        <v>25898400000</v>
      </c>
      <c r="D291">
        <f t="shared" si="102"/>
        <v>1873</v>
      </c>
      <c r="E291" s="2">
        <f t="shared" si="115"/>
        <v>540000</v>
      </c>
      <c r="F291" s="2">
        <f t="shared" si="103"/>
        <v>892577.6</v>
      </c>
      <c r="G291" s="2">
        <f t="shared" si="104"/>
        <v>15572.871199999998</v>
      </c>
      <c r="H291" s="2">
        <f t="shared" si="105"/>
        <v>54505.049199999994</v>
      </c>
      <c r="I291" s="2">
        <f t="shared" si="106"/>
        <v>34.675686523368924</v>
      </c>
      <c r="J291" s="2">
        <f t="shared" si="107"/>
        <v>16.376053468455545</v>
      </c>
      <c r="K291">
        <f t="shared" si="108"/>
        <v>1146725085937821.5</v>
      </c>
      <c r="L291" s="13">
        <f t="shared" si="116"/>
        <v>232469662.53569749</v>
      </c>
      <c r="M291" s="2">
        <f t="shared" si="109"/>
        <v>12942842.213249633</v>
      </c>
      <c r="N291" s="2">
        <f t="shared" si="110"/>
        <v>7.4832306631010214E+17</v>
      </c>
      <c r="O291" s="2">
        <f t="shared" si="111"/>
        <v>2366405315181126</v>
      </c>
      <c r="P291" s="2">
        <f t="shared" si="112"/>
        <v>2.4317418048384884E+22</v>
      </c>
      <c r="Q291" s="2">
        <f t="shared" si="117"/>
        <v>9.4150213326957478E+19</v>
      </c>
    </row>
    <row r="292" spans="1:17" x14ac:dyDescent="0.2">
      <c r="A292">
        <f t="shared" si="113"/>
        <v>799</v>
      </c>
      <c r="B292">
        <f t="shared" si="90"/>
        <v>799000</v>
      </c>
      <c r="C292" s="1">
        <f t="shared" si="114"/>
        <v>25866027000</v>
      </c>
      <c r="D292">
        <f t="shared" si="102"/>
        <v>1872.5</v>
      </c>
      <c r="E292" s="2">
        <f t="shared" si="115"/>
        <v>540000</v>
      </c>
      <c r="F292" s="2">
        <f t="shared" si="103"/>
        <v>892124.37800000003</v>
      </c>
      <c r="G292" s="2">
        <f t="shared" si="104"/>
        <v>15568.713999999998</v>
      </c>
      <c r="H292" s="2">
        <f t="shared" si="105"/>
        <v>54490.498999999996</v>
      </c>
      <c r="I292" s="2">
        <f t="shared" si="106"/>
        <v>34.684945718702267</v>
      </c>
      <c r="J292" s="2">
        <f t="shared" si="107"/>
        <v>16.372108796434404</v>
      </c>
      <c r="K292">
        <f t="shared" si="108"/>
        <v>1157392145486620.2</v>
      </c>
      <c r="L292" s="13">
        <f t="shared" si="116"/>
        <v>233668566.81367829</v>
      </c>
      <c r="M292" s="2">
        <f t="shared" si="109"/>
        <v>12891887.511563124</v>
      </c>
      <c r="N292" s="2">
        <f t="shared" si="110"/>
        <v>7.552841128660352E+17</v>
      </c>
      <c r="O292" s="2">
        <f t="shared" si="111"/>
        <v>2388418077196345</v>
      </c>
      <c r="P292" s="2">
        <f t="shared" si="112"/>
        <v>2.4221682756087718E+22</v>
      </c>
      <c r="Q292" s="2">
        <f t="shared" si="117"/>
        <v>9.4635769559539712E+19</v>
      </c>
    </row>
    <row r="293" spans="1:17" x14ac:dyDescent="0.2">
      <c r="A293">
        <f t="shared" si="113"/>
        <v>798</v>
      </c>
      <c r="B293">
        <f t="shared" si="90"/>
        <v>798000</v>
      </c>
      <c r="C293" s="1">
        <f t="shared" si="114"/>
        <v>25833654000</v>
      </c>
      <c r="D293">
        <f t="shared" si="102"/>
        <v>1872</v>
      </c>
      <c r="E293" s="2">
        <f t="shared" si="115"/>
        <v>540000</v>
      </c>
      <c r="F293" s="2">
        <f t="shared" si="103"/>
        <v>891671.15599999996</v>
      </c>
      <c r="G293" s="2">
        <f t="shared" si="104"/>
        <v>15564.556799999998</v>
      </c>
      <c r="H293" s="2">
        <f t="shared" si="105"/>
        <v>54475.948799999991</v>
      </c>
      <c r="I293" s="2">
        <f t="shared" si="106"/>
        <v>34.694209860186966</v>
      </c>
      <c r="J293" s="2">
        <f t="shared" si="107"/>
        <v>16.368162017216672</v>
      </c>
      <c r="K293">
        <f t="shared" si="108"/>
        <v>1168164209998568.5</v>
      </c>
      <c r="L293" s="13">
        <f t="shared" si="116"/>
        <v>234874299.54256216</v>
      </c>
      <c r="M293" s="2">
        <f t="shared" si="109"/>
        <v>12841106.354780715</v>
      </c>
      <c r="N293" s="2">
        <f t="shared" si="110"/>
        <v>7.623136829390391E+17</v>
      </c>
      <c r="O293" s="2">
        <f t="shared" si="111"/>
        <v>2410647529598793.5</v>
      </c>
      <c r="P293" s="2">
        <f t="shared" si="112"/>
        <v>2.4126273525401564E+22</v>
      </c>
      <c r="Q293" s="2">
        <f t="shared" si="117"/>
        <v>9.5124091314737676E+19</v>
      </c>
    </row>
    <row r="294" spans="1:17" x14ac:dyDescent="0.2">
      <c r="A294">
        <f t="shared" si="113"/>
        <v>797</v>
      </c>
      <c r="B294">
        <f t="shared" si="90"/>
        <v>797000</v>
      </c>
      <c r="C294" s="1">
        <f t="shared" si="114"/>
        <v>25801281000</v>
      </c>
      <c r="D294">
        <f t="shared" si="102"/>
        <v>1871.5</v>
      </c>
      <c r="E294" s="2">
        <f t="shared" si="115"/>
        <v>540000</v>
      </c>
      <c r="F294" s="2">
        <f t="shared" si="103"/>
        <v>891217.93400000001</v>
      </c>
      <c r="G294" s="2">
        <f t="shared" si="104"/>
        <v>15560.399599999999</v>
      </c>
      <c r="H294" s="2">
        <f t="shared" si="105"/>
        <v>54461.398599999993</v>
      </c>
      <c r="I294" s="2">
        <f t="shared" si="106"/>
        <v>34.703478951787332</v>
      </c>
      <c r="J294" s="2">
        <f t="shared" si="107"/>
        <v>16.364213129113438</v>
      </c>
      <c r="K294">
        <f t="shared" si="108"/>
        <v>1179042368505204.2</v>
      </c>
      <c r="L294" s="13">
        <f t="shared" si="116"/>
        <v>236086903.12067857</v>
      </c>
      <c r="M294" s="2">
        <f t="shared" si="109"/>
        <v>12790498.251296857</v>
      </c>
      <c r="N294" s="2">
        <f t="shared" si="110"/>
        <v>7.694124872028663E+17</v>
      </c>
      <c r="O294" s="2">
        <f t="shared" si="111"/>
        <v>2433095919736202</v>
      </c>
      <c r="P294" s="2">
        <f t="shared" si="112"/>
        <v>2.4031189432682498E+22</v>
      </c>
      <c r="Q294" s="2">
        <f t="shared" si="117"/>
        <v>9.5615195763874824E+19</v>
      </c>
    </row>
    <row r="295" spans="1:17" x14ac:dyDescent="0.2">
      <c r="A295">
        <f t="shared" si="113"/>
        <v>796</v>
      </c>
      <c r="B295">
        <f t="shared" si="90"/>
        <v>796000</v>
      </c>
      <c r="C295" s="1">
        <f t="shared" si="114"/>
        <v>25768908000</v>
      </c>
      <c r="D295">
        <f t="shared" si="102"/>
        <v>1871</v>
      </c>
      <c r="E295" s="2">
        <f t="shared" si="115"/>
        <v>540000</v>
      </c>
      <c r="F295" s="2">
        <f t="shared" si="103"/>
        <v>890764.71200000006</v>
      </c>
      <c r="G295" s="2">
        <f t="shared" si="104"/>
        <v>15556.242399999999</v>
      </c>
      <c r="H295" s="2">
        <f t="shared" si="105"/>
        <v>54446.848399999995</v>
      </c>
      <c r="I295" s="2">
        <f t="shared" si="106"/>
        <v>34.712752997471938</v>
      </c>
      <c r="J295" s="2">
        <f t="shared" si="107"/>
        <v>16.360262130433984</v>
      </c>
      <c r="K295">
        <f t="shared" si="108"/>
        <v>1190027721893895</v>
      </c>
      <c r="L295" s="13">
        <f t="shared" si="116"/>
        <v>237306420.230591</v>
      </c>
      <c r="M295" s="2">
        <f t="shared" si="109"/>
        <v>12740062.710583666</v>
      </c>
      <c r="N295" s="2">
        <f t="shared" si="110"/>
        <v>7.7658124406807616E+17</v>
      </c>
      <c r="O295" s="2">
        <f t="shared" si="111"/>
        <v>2455765519422234</v>
      </c>
      <c r="P295" s="2">
        <f t="shared" si="112"/>
        <v>2.3936429556311332E+22</v>
      </c>
      <c r="Q295" s="2">
        <f t="shared" si="117"/>
        <v>9.6109100193389347E+19</v>
      </c>
    </row>
    <row r="296" spans="1:17" x14ac:dyDescent="0.2">
      <c r="A296">
        <f t="shared" si="113"/>
        <v>795</v>
      </c>
      <c r="B296">
        <f t="shared" si="90"/>
        <v>795000</v>
      </c>
      <c r="C296" s="1">
        <f t="shared" si="114"/>
        <v>25736535000</v>
      </c>
      <c r="D296">
        <f t="shared" si="102"/>
        <v>1870.5</v>
      </c>
      <c r="E296" s="2">
        <f t="shared" si="115"/>
        <v>540000</v>
      </c>
      <c r="F296" s="2">
        <f t="shared" si="103"/>
        <v>890311.49</v>
      </c>
      <c r="G296" s="2">
        <f t="shared" si="104"/>
        <v>15552.085199999998</v>
      </c>
      <c r="H296" s="2">
        <f t="shared" si="105"/>
        <v>54432.298199999997</v>
      </c>
      <c r="I296" s="2">
        <f t="shared" si="106"/>
        <v>34.722032001213577</v>
      </c>
      <c r="J296" s="2">
        <f t="shared" si="107"/>
        <v>16.356309019485789</v>
      </c>
      <c r="K296">
        <f t="shared" si="108"/>
        <v>1201121383042836</v>
      </c>
      <c r="L296" s="13">
        <f t="shared" si="116"/>
        <v>238532893.84114304</v>
      </c>
      <c r="M296" s="2">
        <f t="shared" si="109"/>
        <v>12689799.243189329</v>
      </c>
      <c r="N296" s="2">
        <f t="shared" si="110"/>
        <v>7.8382067977013158E+17</v>
      </c>
      <c r="O296" s="2">
        <f t="shared" si="111"/>
        <v>2478658625215069</v>
      </c>
      <c r="P296" s="2">
        <f t="shared" si="112"/>
        <v>2.3841992976690653E+22</v>
      </c>
      <c r="Q296" s="2">
        <f t="shared" si="117"/>
        <v>9.6605822005662925E+19</v>
      </c>
    </row>
    <row r="297" spans="1:17" x14ac:dyDescent="0.2">
      <c r="A297">
        <f t="shared" si="113"/>
        <v>794</v>
      </c>
      <c r="B297">
        <f t="shared" si="90"/>
        <v>794000</v>
      </c>
      <c r="C297" s="1">
        <f t="shared" si="114"/>
        <v>25704162000</v>
      </c>
      <c r="D297">
        <f t="shared" si="102"/>
        <v>1870</v>
      </c>
      <c r="E297" s="2">
        <f t="shared" si="115"/>
        <v>540000</v>
      </c>
      <c r="F297" s="2">
        <f t="shared" si="103"/>
        <v>889858.26799999992</v>
      </c>
      <c r="G297" s="2">
        <f t="shared" si="104"/>
        <v>15547.927999999998</v>
      </c>
      <c r="H297" s="2">
        <f t="shared" si="105"/>
        <v>54417.747999999992</v>
      </c>
      <c r="I297" s="2">
        <f t="shared" si="106"/>
        <v>34.731315966989307</v>
      </c>
      <c r="J297" s="2">
        <f t="shared" si="107"/>
        <v>16.352353794574523</v>
      </c>
      <c r="K297">
        <f t="shared" si="108"/>
        <v>1212324476957754</v>
      </c>
      <c r="L297" s="13">
        <f t="shared" si="116"/>
        <v>239766367.20950949</v>
      </c>
      <c r="M297" s="2">
        <f t="shared" si="109"/>
        <v>12639707.360736649</v>
      </c>
      <c r="N297" s="2">
        <f t="shared" si="110"/>
        <v>7.9113152845860787E+17</v>
      </c>
      <c r="O297" s="2">
        <f t="shared" si="111"/>
        <v>2501777558699509</v>
      </c>
      <c r="P297" s="2">
        <f t="shared" si="112"/>
        <v>2.3747878776242052E+22</v>
      </c>
      <c r="Q297" s="2">
        <f t="shared" si="117"/>
        <v>9.7105378719851348E+19</v>
      </c>
    </row>
    <row r="298" spans="1:17" x14ac:dyDescent="0.2">
      <c r="A298">
        <f t="shared" si="113"/>
        <v>793</v>
      </c>
      <c r="B298">
        <f t="shared" si="90"/>
        <v>793000</v>
      </c>
      <c r="C298" s="1">
        <f t="shared" si="114"/>
        <v>25671789000</v>
      </c>
      <c r="D298">
        <f t="shared" si="102"/>
        <v>1869.5</v>
      </c>
      <c r="E298" s="2">
        <f t="shared" si="115"/>
        <v>540000</v>
      </c>
      <c r="F298" s="2">
        <f t="shared" si="103"/>
        <v>889405.04599999997</v>
      </c>
      <c r="G298" s="2">
        <f t="shared" si="104"/>
        <v>15543.770799999998</v>
      </c>
      <c r="H298" s="2">
        <f t="shared" si="105"/>
        <v>54403.197799999994</v>
      </c>
      <c r="I298" s="2">
        <f t="shared" si="106"/>
        <v>34.740604898780418</v>
      </c>
      <c r="J298" s="2">
        <f t="shared" si="107"/>
        <v>16.348396454004035</v>
      </c>
      <c r="K298">
        <f t="shared" si="108"/>
        <v>1223638140910153</v>
      </c>
      <c r="L298" s="13">
        <f t="shared" si="116"/>
        <v>241006883.88327637</v>
      </c>
      <c r="M298" s="2">
        <f t="shared" si="109"/>
        <v>12589786.575921323</v>
      </c>
      <c r="N298" s="2">
        <f t="shared" si="110"/>
        <v>7.9851453228740902E+17</v>
      </c>
      <c r="O298" s="2">
        <f t="shared" si="111"/>
        <v>2525124666772264.5</v>
      </c>
      <c r="P298" s="2">
        <f t="shared" si="112"/>
        <v>2.3654086039402919E+22</v>
      </c>
      <c r="Q298" s="2">
        <f t="shared" si="117"/>
        <v>9.7607787972726931E+19</v>
      </c>
    </row>
    <row r="299" spans="1:17" x14ac:dyDescent="0.2">
      <c r="A299">
        <f t="shared" si="113"/>
        <v>792</v>
      </c>
      <c r="B299">
        <f t="shared" si="90"/>
        <v>792000</v>
      </c>
      <c r="C299" s="1">
        <f t="shared" si="114"/>
        <v>25639416000</v>
      </c>
      <c r="D299">
        <f t="shared" si="102"/>
        <v>1869</v>
      </c>
      <c r="E299" s="2">
        <f t="shared" si="115"/>
        <v>540000</v>
      </c>
      <c r="F299" s="2">
        <f t="shared" si="103"/>
        <v>888951.82400000002</v>
      </c>
      <c r="G299" s="2">
        <f t="shared" si="104"/>
        <v>15539.613599999999</v>
      </c>
      <c r="H299" s="2">
        <f t="shared" si="105"/>
        <v>54388.647599999997</v>
      </c>
      <c r="I299" s="2">
        <f t="shared" si="106"/>
        <v>34.749898800572495</v>
      </c>
      <c r="J299" s="2">
        <f t="shared" si="107"/>
        <v>16.344436996076368</v>
      </c>
      <c r="K299">
        <f t="shared" si="108"/>
        <v>1235063524577306.8</v>
      </c>
      <c r="L299" s="13">
        <f t="shared" si="116"/>
        <v>242254487.70252544</v>
      </c>
      <c r="M299" s="2">
        <f t="shared" si="109"/>
        <v>12540036.402510621</v>
      </c>
      <c r="N299" s="2">
        <f t="shared" si="110"/>
        <v>8.0597044150612262E+17</v>
      </c>
      <c r="O299" s="2">
        <f t="shared" si="111"/>
        <v>2548702321930845.5</v>
      </c>
      <c r="P299" s="2">
        <f t="shared" si="112"/>
        <v>2.3560613852623944E+22</v>
      </c>
      <c r="Q299" s="2">
        <f t="shared" si="117"/>
        <v>9.81130675195228E+19</v>
      </c>
    </row>
    <row r="300" spans="1:17" x14ac:dyDescent="0.2">
      <c r="A300">
        <f t="shared" si="113"/>
        <v>791</v>
      </c>
      <c r="B300">
        <f t="shared" si="90"/>
        <v>791000</v>
      </c>
      <c r="C300" s="1">
        <f t="shared" si="114"/>
        <v>25607043000</v>
      </c>
      <c r="D300">
        <f t="shared" si="102"/>
        <v>1868.5</v>
      </c>
      <c r="E300" s="2">
        <f t="shared" si="115"/>
        <v>540000</v>
      </c>
      <c r="F300" s="2">
        <f t="shared" si="103"/>
        <v>888498.60199999996</v>
      </c>
      <c r="G300" s="2">
        <f t="shared" si="104"/>
        <v>15535.456399999999</v>
      </c>
      <c r="H300" s="2">
        <f t="shared" si="105"/>
        <v>54374.097399999991</v>
      </c>
      <c r="I300" s="2">
        <f t="shared" si="106"/>
        <v>34.759197676355363</v>
      </c>
      <c r="J300" s="2">
        <f t="shared" si="107"/>
        <v>16.340475419091739</v>
      </c>
      <c r="K300">
        <f t="shared" si="108"/>
        <v>1246601790183789.2</v>
      </c>
      <c r="L300" s="13">
        <f t="shared" si="116"/>
        <v>243509222.80194268</v>
      </c>
      <c r="M300" s="2">
        <f t="shared" si="109"/>
        <v>12490456.355341705</v>
      </c>
      <c r="N300" s="2">
        <f t="shared" si="110"/>
        <v>8.1350001455237888E+17</v>
      </c>
      <c r="O300" s="2">
        <f t="shared" si="111"/>
        <v>2572512922565627.5</v>
      </c>
      <c r="P300" s="2">
        <f t="shared" si="112"/>
        <v>2.3467461304365961E+22</v>
      </c>
      <c r="Q300" s="2">
        <f t="shared" si="117"/>
        <v>9.8621235234786787E+19</v>
      </c>
    </row>
    <row r="301" spans="1:17" x14ac:dyDescent="0.2">
      <c r="A301">
        <f t="shared" si="113"/>
        <v>790</v>
      </c>
      <c r="B301">
        <f t="shared" si="90"/>
        <v>790000</v>
      </c>
      <c r="C301" s="1">
        <f t="shared" si="114"/>
        <v>25574670000</v>
      </c>
      <c r="D301">
        <f t="shared" si="102"/>
        <v>1868</v>
      </c>
      <c r="E301" s="2">
        <f t="shared" si="115"/>
        <v>540000</v>
      </c>
      <c r="F301" s="2">
        <f t="shared" si="103"/>
        <v>888045.38</v>
      </c>
      <c r="G301" s="2">
        <f t="shared" si="104"/>
        <v>15531.299199999998</v>
      </c>
      <c r="H301" s="2">
        <f t="shared" si="105"/>
        <v>54359.547199999994</v>
      </c>
      <c r="I301" s="2">
        <f t="shared" si="106"/>
        <v>34.768501530123125</v>
      </c>
      <c r="J301" s="2">
        <f t="shared" si="107"/>
        <v>16.336511721348558</v>
      </c>
      <c r="K301">
        <f t="shared" si="108"/>
        <v>1258254112644794.2</v>
      </c>
      <c r="L301" s="13">
        <f t="shared" si="116"/>
        <v>244771133.61293736</v>
      </c>
      <c r="M301" s="2">
        <f t="shared" si="109"/>
        <v>12441045.950320313</v>
      </c>
      <c r="N301" s="2">
        <f t="shared" si="110"/>
        <v>8.2110401814537792E+17</v>
      </c>
      <c r="O301" s="2">
        <f t="shared" si="111"/>
        <v>2596558893255608.5</v>
      </c>
      <c r="P301" s="2">
        <f t="shared" si="112"/>
        <v>2.3374627485097486E+22</v>
      </c>
      <c r="Q301" s="2">
        <f t="shared" si="117"/>
        <v>9.9132309113239634E+19</v>
      </c>
    </row>
    <row r="302" spans="1:17" x14ac:dyDescent="0.2">
      <c r="A302">
        <f t="shared" si="113"/>
        <v>789</v>
      </c>
      <c r="B302">
        <f t="shared" si="90"/>
        <v>789000</v>
      </c>
      <c r="C302" s="1">
        <f t="shared" si="114"/>
        <v>25542297000</v>
      </c>
      <c r="D302">
        <f t="shared" si="102"/>
        <v>1867.5</v>
      </c>
      <c r="E302" s="2">
        <f t="shared" si="115"/>
        <v>540000</v>
      </c>
      <c r="F302" s="2">
        <f t="shared" si="103"/>
        <v>887592.15800000005</v>
      </c>
      <c r="G302" s="2">
        <f t="shared" si="104"/>
        <v>15527.141999999998</v>
      </c>
      <c r="H302" s="2">
        <f t="shared" si="105"/>
        <v>54344.996999999996</v>
      </c>
      <c r="I302" s="2">
        <f t="shared" si="106"/>
        <v>34.77781036587416</v>
      </c>
      <c r="J302" s="2">
        <f t="shared" si="107"/>
        <v>16.332545901143394</v>
      </c>
      <c r="K302">
        <f t="shared" si="108"/>
        <v>1270021679711119.2</v>
      </c>
      <c r="L302" s="13">
        <f t="shared" si="116"/>
        <v>246040264.86577973</v>
      </c>
      <c r="M302" s="2">
        <f t="shared" si="109"/>
        <v>12391804.704418862</v>
      </c>
      <c r="N302" s="2">
        <f t="shared" si="110"/>
        <v>8.2878322738050202E+17</v>
      </c>
      <c r="O302" s="2">
        <f t="shared" si="111"/>
        <v>2620842685067600</v>
      </c>
      <c r="P302" s="2">
        <f t="shared" si="112"/>
        <v>2.3282111487291142E+22</v>
      </c>
      <c r="Q302" s="2">
        <f t="shared" si="117"/>
        <v>9.9646307270640796E+19</v>
      </c>
    </row>
    <row r="303" spans="1:17" x14ac:dyDescent="0.2">
      <c r="A303">
        <f t="shared" si="113"/>
        <v>788</v>
      </c>
      <c r="B303">
        <f t="shared" si="90"/>
        <v>788000</v>
      </c>
      <c r="C303" s="1">
        <f t="shared" si="114"/>
        <v>25509924000</v>
      </c>
      <c r="D303">
        <f t="shared" si="102"/>
        <v>1867</v>
      </c>
      <c r="E303" s="2">
        <f t="shared" si="115"/>
        <v>540000</v>
      </c>
      <c r="F303" s="2">
        <f t="shared" si="103"/>
        <v>887138.93599999999</v>
      </c>
      <c r="G303" s="2">
        <f t="shared" si="104"/>
        <v>15522.984799999998</v>
      </c>
      <c r="H303" s="2">
        <f t="shared" si="105"/>
        <v>54330.446799999998</v>
      </c>
      <c r="I303" s="2">
        <f t="shared" si="106"/>
        <v>34.787124187611141</v>
      </c>
      <c r="J303" s="2">
        <f t="shared" si="107"/>
        <v>16.32857795677101</v>
      </c>
      <c r="K303">
        <f t="shared" si="108"/>
        <v>1281905692115895.2</v>
      </c>
      <c r="L303" s="13">
        <f t="shared" si="116"/>
        <v>247316661.59175593</v>
      </c>
      <c r="M303" s="2">
        <f t="shared" si="109"/>
        <v>12342732.135675348</v>
      </c>
      <c r="N303" s="2">
        <f t="shared" si="110"/>
        <v>8.3653842582506752E+17</v>
      </c>
      <c r="O303" s="2">
        <f t="shared" si="111"/>
        <v>2645366775859022</v>
      </c>
      <c r="P303" s="2">
        <f t="shared" si="112"/>
        <v>2.3189912405421586E+22</v>
      </c>
      <c r="Q303" s="2">
        <f t="shared" si="117"/>
        <v>1.0016324794466116E+20</v>
      </c>
    </row>
    <row r="304" spans="1:17" x14ac:dyDescent="0.2">
      <c r="A304">
        <f t="shared" si="113"/>
        <v>787</v>
      </c>
      <c r="B304">
        <f t="shared" si="90"/>
        <v>787000</v>
      </c>
      <c r="C304" s="1">
        <f t="shared" si="114"/>
        <v>25477551000</v>
      </c>
      <c r="D304">
        <f t="shared" si="102"/>
        <v>1866.5</v>
      </c>
      <c r="E304" s="2">
        <f t="shared" si="115"/>
        <v>540000</v>
      </c>
      <c r="F304" s="2">
        <f t="shared" si="103"/>
        <v>886685.71399999992</v>
      </c>
      <c r="G304" s="2">
        <f t="shared" si="104"/>
        <v>15518.827599999999</v>
      </c>
      <c r="H304" s="2">
        <f t="shared" si="105"/>
        <v>54315.896599999993</v>
      </c>
      <c r="I304" s="2">
        <f t="shared" si="106"/>
        <v>34.796442999341011</v>
      </c>
      <c r="J304" s="2">
        <f t="shared" si="107"/>
        <v>16.32460788652433</v>
      </c>
      <c r="K304">
        <f t="shared" si="108"/>
        <v>1293907363723023.2</v>
      </c>
      <c r="L304" s="13">
        <f t="shared" si="116"/>
        <v>248600369.12534058</v>
      </c>
      <c r="M304" s="2">
        <f t="shared" si="109"/>
        <v>12293827.763191491</v>
      </c>
      <c r="N304" s="2">
        <f t="shared" si="110"/>
        <v>8.4437040561519117E+17</v>
      </c>
      <c r="O304" s="2">
        <f t="shared" si="111"/>
        <v>2670133670584220</v>
      </c>
      <c r="P304" s="2">
        <f t="shared" si="112"/>
        <v>2.3098029335962045E+22</v>
      </c>
      <c r="Q304" s="2">
        <f t="shared" si="117"/>
        <v>1.0068314949576293E+20</v>
      </c>
    </row>
    <row r="305" spans="1:17" x14ac:dyDescent="0.2">
      <c r="A305">
        <f t="shared" si="113"/>
        <v>786</v>
      </c>
      <c r="B305">
        <f t="shared" ref="B305:B368" si="118">A305*1000</f>
        <v>786000</v>
      </c>
      <c r="C305" s="1">
        <f t="shared" si="114"/>
        <v>25445178000</v>
      </c>
      <c r="D305">
        <f t="shared" si="102"/>
        <v>1866</v>
      </c>
      <c r="E305" s="2">
        <f t="shared" si="115"/>
        <v>540000</v>
      </c>
      <c r="F305" s="2">
        <f t="shared" si="103"/>
        <v>886232.49199999997</v>
      </c>
      <c r="G305" s="2">
        <f t="shared" si="104"/>
        <v>15514.670399999999</v>
      </c>
      <c r="H305" s="2">
        <f t="shared" si="105"/>
        <v>54301.346399999995</v>
      </c>
      <c r="I305" s="2">
        <f t="shared" si="106"/>
        <v>34.805766805075024</v>
      </c>
      <c r="J305" s="2">
        <f t="shared" si="107"/>
        <v>16.320635688694452</v>
      </c>
      <c r="K305">
        <f t="shared" si="108"/>
        <v>1306027921677461.5</v>
      </c>
      <c r="L305" s="13">
        <f t="shared" si="116"/>
        <v>249891433.10637969</v>
      </c>
      <c r="M305" s="2">
        <f t="shared" si="109"/>
        <v>12245091.107131375</v>
      </c>
      <c r="N305" s="2">
        <f t="shared" si="110"/>
        <v>8.5227996755386355E+17</v>
      </c>
      <c r="O305" s="2">
        <f t="shared" si="111"/>
        <v>2695145901604601.5</v>
      </c>
      <c r="P305" s="2">
        <f t="shared" si="112"/>
        <v>2.3006461377381745E+22</v>
      </c>
      <c r="Q305" s="2">
        <f t="shared" si="117"/>
        <v>1.0120603040808377E+20</v>
      </c>
    </row>
    <row r="306" spans="1:17" x14ac:dyDescent="0.2">
      <c r="A306">
        <f t="shared" si="113"/>
        <v>785</v>
      </c>
      <c r="B306">
        <f t="shared" si="118"/>
        <v>785000</v>
      </c>
      <c r="C306" s="1">
        <f t="shared" si="114"/>
        <v>25412805000</v>
      </c>
      <c r="D306">
        <f t="shared" ref="D306:D369" si="119">IF(A306&gt;$B$4,$B$2+(A306-$B$4)*$B$5,$B$6+(($B$2-$B$6)/$B$4)*(A306))</f>
        <v>1865.5</v>
      </c>
      <c r="E306" s="2">
        <f t="shared" si="115"/>
        <v>540000</v>
      </c>
      <c r="F306" s="2">
        <f t="shared" ref="F306:F369" si="120">+$F$20+$H$15*C306*(0.000001)</f>
        <v>885779.27</v>
      </c>
      <c r="G306" s="2">
        <f t="shared" ref="G306:G369" si="121">+$B$17*D306</f>
        <v>15510.513199999998</v>
      </c>
      <c r="H306" s="2">
        <f t="shared" ref="H306:H369" si="122">+$B$23*$B$17*D306</f>
        <v>54286.796199999997</v>
      </c>
      <c r="I306" s="2">
        <f t="shared" ref="I306:I369" si="123">+E306/G306</f>
        <v>34.815095608828734</v>
      </c>
      <c r="J306" s="2">
        <f t="shared" ref="J306:J369" si="124">+F306/H306</f>
        <v>16.316661361570645</v>
      </c>
      <c r="K306">
        <f t="shared" ref="K306:K369" si="125">+EXP(I306)</f>
        <v>1318268606557235.2</v>
      </c>
      <c r="L306" s="13">
        <f t="shared" si="116"/>
        <v>251189899.48229825</v>
      </c>
      <c r="M306" s="2">
        <f t="shared" ref="M306:M369" si="126">+EXP(J306)</f>
        <v>12196521.688719908</v>
      </c>
      <c r="N306" s="2">
        <f t="shared" ref="N306:N369" si="127">+$B$13*(($B$15/$B$21)^($B$23-1))*K306</f>
        <v>8.6026792121014618E+17</v>
      </c>
      <c r="O306" s="2">
        <f t="shared" ref="O306:O369" si="128">+$B$13*(($B$15/$B$22)^($B$23-1))*K306</f>
        <v>2720406029002324.5</v>
      </c>
      <c r="P306" s="2">
        <f t="shared" ref="P306:P369" si="129">(1000000)*($F$18^(-1/$B$23))*($F$19^((1/$B$23)-1))*M306</f>
        <v>2.2915207630143023E+22</v>
      </c>
      <c r="Q306" s="2">
        <f t="shared" si="117"/>
        <v>1.017319092903308E+20</v>
      </c>
    </row>
    <row r="307" spans="1:17" x14ac:dyDescent="0.2">
      <c r="A307">
        <f t="shared" si="113"/>
        <v>784</v>
      </c>
      <c r="B307">
        <f t="shared" si="118"/>
        <v>784000</v>
      </c>
      <c r="C307" s="1">
        <f t="shared" si="114"/>
        <v>25380432000</v>
      </c>
      <c r="D307">
        <f t="shared" si="119"/>
        <v>1865</v>
      </c>
      <c r="E307" s="2">
        <f t="shared" si="115"/>
        <v>540000</v>
      </c>
      <c r="F307" s="2">
        <f t="shared" si="120"/>
        <v>885326.04799999995</v>
      </c>
      <c r="G307" s="2">
        <f t="shared" si="121"/>
        <v>15506.355999999998</v>
      </c>
      <c r="H307" s="2">
        <f t="shared" si="122"/>
        <v>54272.245999999992</v>
      </c>
      <c r="I307" s="2">
        <f t="shared" si="123"/>
        <v>34.824429414621981</v>
      </c>
      <c r="J307" s="2">
        <f t="shared" si="124"/>
        <v>16.312684903440335</v>
      </c>
      <c r="K307">
        <f t="shared" si="125"/>
        <v>1330630672527261.5</v>
      </c>
      <c r="L307" s="13">
        <f t="shared" si="116"/>
        <v>252495814.51031885</v>
      </c>
      <c r="M307" s="2">
        <f t="shared" si="126"/>
        <v>12148119.030241147</v>
      </c>
      <c r="N307" s="2">
        <f t="shared" si="127"/>
        <v>8.6833508501955405E+17</v>
      </c>
      <c r="O307" s="2">
        <f t="shared" si="128"/>
        <v>2745916640897734</v>
      </c>
      <c r="P307" s="2">
        <f t="shared" si="129"/>
        <v>2.2824267196698171E+22</v>
      </c>
      <c r="Q307" s="2">
        <f t="shared" si="117"/>
        <v>1.0226080487667914E+20</v>
      </c>
    </row>
    <row r="308" spans="1:17" x14ac:dyDescent="0.2">
      <c r="A308">
        <f t="shared" si="113"/>
        <v>783</v>
      </c>
      <c r="B308">
        <f t="shared" si="118"/>
        <v>783000</v>
      </c>
      <c r="C308" s="1">
        <f t="shared" si="114"/>
        <v>25348059000</v>
      </c>
      <c r="D308">
        <f t="shared" si="119"/>
        <v>1864.5</v>
      </c>
      <c r="E308" s="2">
        <f t="shared" si="115"/>
        <v>540000</v>
      </c>
      <c r="F308" s="2">
        <f t="shared" si="120"/>
        <v>884872.826</v>
      </c>
      <c r="G308" s="2">
        <f t="shared" si="121"/>
        <v>15502.198799999998</v>
      </c>
      <c r="H308" s="2">
        <f t="shared" si="122"/>
        <v>54257.695799999994</v>
      </c>
      <c r="I308" s="2">
        <f t="shared" si="123"/>
        <v>34.833768226478945</v>
      </c>
      <c r="J308" s="2">
        <f t="shared" si="124"/>
        <v>16.30870631258912</v>
      </c>
      <c r="K308">
        <f t="shared" si="125"/>
        <v>1343115387495106</v>
      </c>
      <c r="L308" s="13">
        <f t="shared" si="116"/>
        <v>253809224.7597023</v>
      </c>
      <c r="M308" s="2">
        <f t="shared" si="126"/>
        <v>12099882.655037025</v>
      </c>
      <c r="N308" s="2">
        <f t="shared" si="127"/>
        <v>8.7648228638569882E+17</v>
      </c>
      <c r="O308" s="2">
        <f t="shared" si="128"/>
        <v>2771680353770786.5</v>
      </c>
      <c r="P308" s="2">
        <f t="shared" si="129"/>
        <v>2.2733639181487063E+22</v>
      </c>
      <c r="Q308" s="2">
        <f t="shared" si="117"/>
        <v>1.0279273602767942E+20</v>
      </c>
    </row>
    <row r="309" spans="1:17" x14ac:dyDescent="0.2">
      <c r="A309">
        <f t="shared" si="113"/>
        <v>782</v>
      </c>
      <c r="B309">
        <f t="shared" si="118"/>
        <v>782000</v>
      </c>
      <c r="C309" s="1">
        <f t="shared" si="114"/>
        <v>25315686000</v>
      </c>
      <c r="D309">
        <f t="shared" si="119"/>
        <v>1864</v>
      </c>
      <c r="E309" s="2">
        <f t="shared" si="115"/>
        <v>540000</v>
      </c>
      <c r="F309" s="2">
        <f t="shared" si="120"/>
        <v>884419.60400000005</v>
      </c>
      <c r="G309" s="2">
        <f t="shared" si="121"/>
        <v>15498.041599999999</v>
      </c>
      <c r="H309" s="2">
        <f t="shared" si="122"/>
        <v>54243.145599999996</v>
      </c>
      <c r="I309" s="2">
        <f t="shared" si="123"/>
        <v>34.843112048428111</v>
      </c>
      <c r="J309" s="2">
        <f t="shared" si="124"/>
        <v>16.304725587300751</v>
      </c>
      <c r="K309">
        <f t="shared" si="125"/>
        <v>1355724033268480</v>
      </c>
      <c r="L309" s="13">
        <f t="shared" si="116"/>
        <v>255130177.11399963</v>
      </c>
      <c r="M309" s="2">
        <f t="shared" si="126"/>
        <v>12051812.087505592</v>
      </c>
      <c r="N309" s="2">
        <f t="shared" si="127"/>
        <v>8.8471036178306624E+17</v>
      </c>
      <c r="O309" s="2">
        <f t="shared" si="128"/>
        <v>2797699812786062.5</v>
      </c>
      <c r="P309" s="2">
        <f t="shared" si="129"/>
        <v>2.2643322690933828E+22</v>
      </c>
      <c r="Q309" s="2">
        <f t="shared" si="117"/>
        <v>1.0332772173116985E+20</v>
      </c>
    </row>
    <row r="310" spans="1:17" x14ac:dyDescent="0.2">
      <c r="A310">
        <f t="shared" si="113"/>
        <v>781</v>
      </c>
      <c r="B310">
        <f t="shared" si="118"/>
        <v>781000</v>
      </c>
      <c r="C310" s="1">
        <f t="shared" si="114"/>
        <v>25283313000</v>
      </c>
      <c r="D310">
        <f t="shared" si="119"/>
        <v>1863.5</v>
      </c>
      <c r="E310" s="2">
        <f t="shared" si="115"/>
        <v>540000</v>
      </c>
      <c r="F310" s="2">
        <f t="shared" si="120"/>
        <v>883966.38199999998</v>
      </c>
      <c r="G310" s="2">
        <f t="shared" si="121"/>
        <v>15493.884399999999</v>
      </c>
      <c r="H310" s="2">
        <f t="shared" si="122"/>
        <v>54228.595399999991</v>
      </c>
      <c r="I310" s="2">
        <f t="shared" si="123"/>
        <v>34.852460884502278</v>
      </c>
      <c r="J310" s="2">
        <f t="shared" si="124"/>
        <v>16.300742725857145</v>
      </c>
      <c r="K310">
        <f t="shared" si="125"/>
        <v>1368457905714677</v>
      </c>
      <c r="L310" s="13">
        <f t="shared" si="116"/>
        <v>256458718.7733275</v>
      </c>
      <c r="M310" s="2">
        <f t="shared" si="126"/>
        <v>12003906.853099653</v>
      </c>
      <c r="N310" s="2">
        <f t="shared" si="127"/>
        <v>8.9302015686106163E+17</v>
      </c>
      <c r="O310" s="2">
        <f t="shared" si="128"/>
        <v>2823977692121784</v>
      </c>
      <c r="P310" s="2">
        <f t="shared" si="129"/>
        <v>2.2553316833444309E+22</v>
      </c>
      <c r="Q310" s="2">
        <f t="shared" si="117"/>
        <v>1.0386578110319763E+20</v>
      </c>
    </row>
    <row r="311" spans="1:17" x14ac:dyDescent="0.2">
      <c r="A311">
        <f t="shared" si="113"/>
        <v>780</v>
      </c>
      <c r="B311">
        <f t="shared" si="118"/>
        <v>780000</v>
      </c>
      <c r="C311" s="1">
        <f t="shared" si="114"/>
        <v>25250940000</v>
      </c>
      <c r="D311">
        <f t="shared" si="119"/>
        <v>1863</v>
      </c>
      <c r="E311" s="2">
        <f t="shared" si="115"/>
        <v>540000</v>
      </c>
      <c r="F311" s="2">
        <f t="shared" si="120"/>
        <v>883513.15999999992</v>
      </c>
      <c r="G311" s="2">
        <f t="shared" si="121"/>
        <v>15489.727199999998</v>
      </c>
      <c r="H311" s="2">
        <f t="shared" si="122"/>
        <v>54214.045199999993</v>
      </c>
      <c r="I311" s="2">
        <f t="shared" si="123"/>
        <v>34.861814738738595</v>
      </c>
      <c r="J311" s="2">
        <f t="shared" si="124"/>
        <v>16.296757726538363</v>
      </c>
      <c r="K311">
        <f t="shared" si="125"/>
        <v>1381318314921957.2</v>
      </c>
      <c r="L311" s="13">
        <f t="shared" si="116"/>
        <v>257794897.25666016</v>
      </c>
      <c r="M311" s="2">
        <f t="shared" si="126"/>
        <v>11956166.478325099</v>
      </c>
      <c r="N311" s="2">
        <f t="shared" si="127"/>
        <v>9.0141252654932403E+17</v>
      </c>
      <c r="O311" s="2">
        <f t="shared" si="128"/>
        <v>2850516695302850.5</v>
      </c>
      <c r="P311" s="2">
        <f t="shared" si="129"/>
        <v>2.2463620719402914E+22</v>
      </c>
      <c r="Q311" s="2">
        <f t="shared" si="117"/>
        <v>1.0440693338894737E+20</v>
      </c>
    </row>
    <row r="312" spans="1:17" x14ac:dyDescent="0.2">
      <c r="A312">
        <f t="shared" si="113"/>
        <v>779</v>
      </c>
      <c r="B312">
        <f t="shared" si="118"/>
        <v>779000</v>
      </c>
      <c r="C312" s="1">
        <f t="shared" si="114"/>
        <v>25218567000</v>
      </c>
      <c r="D312">
        <f t="shared" si="119"/>
        <v>1862.5</v>
      </c>
      <c r="E312" s="2">
        <f t="shared" si="115"/>
        <v>540000</v>
      </c>
      <c r="F312" s="2">
        <f t="shared" si="120"/>
        <v>883059.93799999997</v>
      </c>
      <c r="G312" s="2">
        <f t="shared" si="121"/>
        <v>15485.569999999998</v>
      </c>
      <c r="H312" s="2">
        <f t="shared" si="122"/>
        <v>54199.494999999995</v>
      </c>
      <c r="I312" s="2">
        <f t="shared" si="123"/>
        <v>34.87117361517852</v>
      </c>
      <c r="J312" s="2">
        <f t="shared" si="124"/>
        <v>16.292770587622634</v>
      </c>
      <c r="K312">
        <f t="shared" si="125"/>
        <v>1394306585362767.8</v>
      </c>
      <c r="L312" s="13">
        <f t="shared" si="116"/>
        <v>259138760.40413031</v>
      </c>
      <c r="M312" s="2">
        <f t="shared" si="126"/>
        <v>11908590.49073958</v>
      </c>
      <c r="N312" s="2">
        <f t="shared" si="127"/>
        <v>9.0988833516424E+17</v>
      </c>
      <c r="O312" s="2">
        <f t="shared" si="128"/>
        <v>2877319555537662</v>
      </c>
      <c r="P312" s="2">
        <f t="shared" si="129"/>
        <v>2.2374233461170138E+22</v>
      </c>
      <c r="Q312" s="2">
        <f t="shared" si="117"/>
        <v>1.0495119796367278E+20</v>
      </c>
    </row>
    <row r="313" spans="1:17" x14ac:dyDescent="0.2">
      <c r="A313">
        <f t="shared" si="113"/>
        <v>778</v>
      </c>
      <c r="B313">
        <f t="shared" si="118"/>
        <v>778000</v>
      </c>
      <c r="C313" s="1">
        <f t="shared" si="114"/>
        <v>25186194000</v>
      </c>
      <c r="D313">
        <f t="shared" si="119"/>
        <v>1862</v>
      </c>
      <c r="E313" s="2">
        <f t="shared" si="115"/>
        <v>540000</v>
      </c>
      <c r="F313" s="2">
        <f t="shared" si="120"/>
        <v>882606.71600000001</v>
      </c>
      <c r="G313" s="2">
        <f t="shared" si="121"/>
        <v>15481.412799999998</v>
      </c>
      <c r="H313" s="2">
        <f t="shared" si="122"/>
        <v>54184.944799999997</v>
      </c>
      <c r="I313" s="2">
        <f t="shared" si="123"/>
        <v>34.880537517867886</v>
      </c>
      <c r="J313" s="2">
        <f t="shared" si="124"/>
        <v>16.28878130738633</v>
      </c>
      <c r="K313">
        <f t="shared" si="125"/>
        <v>1407424056059043</v>
      </c>
      <c r="L313" s="13">
        <f t="shared" si="116"/>
        <v>260490356.37936184</v>
      </c>
      <c r="M313" s="2">
        <f t="shared" si="126"/>
        <v>11861178.418950811</v>
      </c>
      <c r="N313" s="2">
        <f t="shared" si="127"/>
        <v>9.1844845651681498E+17</v>
      </c>
      <c r="O313" s="2">
        <f t="shared" si="128"/>
        <v>2904389036059240</v>
      </c>
      <c r="P313" s="2">
        <f t="shared" si="129"/>
        <v>2.228515417307936E+22</v>
      </c>
      <c r="Q313" s="2">
        <f t="shared" si="117"/>
        <v>1.0549859433364154E+20</v>
      </c>
    </row>
    <row r="314" spans="1:17" x14ac:dyDescent="0.2">
      <c r="A314">
        <f t="shared" si="113"/>
        <v>777</v>
      </c>
      <c r="B314">
        <f t="shared" si="118"/>
        <v>777000</v>
      </c>
      <c r="C314" s="1">
        <f t="shared" si="114"/>
        <v>25153821000</v>
      </c>
      <c r="D314">
        <f t="shared" si="119"/>
        <v>1861.5</v>
      </c>
      <c r="E314" s="2">
        <f t="shared" si="115"/>
        <v>540000</v>
      </c>
      <c r="F314" s="2">
        <f t="shared" si="120"/>
        <v>882153.49399999995</v>
      </c>
      <c r="G314" s="2">
        <f t="shared" si="121"/>
        <v>15477.255599999999</v>
      </c>
      <c r="H314" s="2">
        <f t="shared" si="122"/>
        <v>54170.394599999992</v>
      </c>
      <c r="I314" s="2">
        <f t="shared" si="123"/>
        <v>34.889906450856834</v>
      </c>
      <c r="J314" s="2">
        <f t="shared" si="124"/>
        <v>16.284789884103965</v>
      </c>
      <c r="K314">
        <f t="shared" si="125"/>
        <v>1420672080749331.8</v>
      </c>
      <c r="L314" s="13">
        <f t="shared" si="116"/>
        <v>261849733.67180902</v>
      </c>
      <c r="M314" s="2">
        <f t="shared" si="126"/>
        <v>11813929.792615019</v>
      </c>
      <c r="N314" s="2">
        <f t="shared" si="127"/>
        <v>9.2709377402173466E+17</v>
      </c>
      <c r="O314" s="2">
        <f t="shared" si="128"/>
        <v>2931727930470110</v>
      </c>
      <c r="P314" s="2">
        <f t="shared" si="129"/>
        <v>2.2196381971433946E+22</v>
      </c>
      <c r="Q314" s="2">
        <f t="shared" si="117"/>
        <v>1.0604914213708266E+20</v>
      </c>
    </row>
    <row r="315" spans="1:17" x14ac:dyDescent="0.2">
      <c r="A315">
        <f t="shared" si="113"/>
        <v>776</v>
      </c>
      <c r="B315">
        <f t="shared" si="118"/>
        <v>776000</v>
      </c>
      <c r="C315" s="1">
        <f t="shared" si="114"/>
        <v>25121448000</v>
      </c>
      <c r="D315">
        <f t="shared" si="119"/>
        <v>1861</v>
      </c>
      <c r="E315" s="2">
        <f t="shared" si="115"/>
        <v>540000</v>
      </c>
      <c r="F315" s="2">
        <f t="shared" si="120"/>
        <v>881700.272</v>
      </c>
      <c r="G315" s="2">
        <f t="shared" si="121"/>
        <v>15473.098399999999</v>
      </c>
      <c r="H315" s="2">
        <f t="shared" si="122"/>
        <v>54155.844399999994</v>
      </c>
      <c r="I315" s="2">
        <f t="shared" si="123"/>
        <v>34.899280418199886</v>
      </c>
      <c r="J315" s="2">
        <f t="shared" si="124"/>
        <v>16.28079631604821</v>
      </c>
      <c r="K315">
        <f t="shared" si="125"/>
        <v>1434052028058094</v>
      </c>
      <c r="L315" s="13">
        <f t="shared" si="116"/>
        <v>263216941.09912094</v>
      </c>
      <c r="M315" s="2">
        <f t="shared" si="126"/>
        <v>11766844.142435633</v>
      </c>
      <c r="N315" s="2">
        <f t="shared" si="127"/>
        <v>9.3582518080784512E+17</v>
      </c>
      <c r="O315" s="2">
        <f t="shared" si="128"/>
        <v>2959339063091669.5</v>
      </c>
      <c r="P315" s="2">
        <f t="shared" si="129"/>
        <v>2.2107915974504767E+22</v>
      </c>
      <c r="Q315" s="2">
        <f t="shared" si="117"/>
        <v>1.0660286114514398E+20</v>
      </c>
    </row>
    <row r="316" spans="1:17" x14ac:dyDescent="0.2">
      <c r="A316">
        <f t="shared" si="113"/>
        <v>775</v>
      </c>
      <c r="B316">
        <f t="shared" si="118"/>
        <v>775000</v>
      </c>
      <c r="C316" s="1">
        <f t="shared" si="114"/>
        <v>25089075000</v>
      </c>
      <c r="D316">
        <f t="shared" si="119"/>
        <v>1860.5</v>
      </c>
      <c r="E316" s="2">
        <f t="shared" si="115"/>
        <v>540000</v>
      </c>
      <c r="F316" s="2">
        <f t="shared" si="120"/>
        <v>881247.05</v>
      </c>
      <c r="G316" s="2">
        <f t="shared" si="121"/>
        <v>15468.941199999997</v>
      </c>
      <c r="H316" s="2">
        <f t="shared" si="122"/>
        <v>54141.294199999997</v>
      </c>
      <c r="I316" s="2">
        <f t="shared" si="123"/>
        <v>34.908659423955925</v>
      </c>
      <c r="J316" s="2">
        <f t="shared" si="124"/>
        <v>16.276800601489871</v>
      </c>
      <c r="K316">
        <f t="shared" si="125"/>
        <v>1447565281666921.5</v>
      </c>
      <c r="L316" s="13">
        <f t="shared" si="116"/>
        <v>264592027.80952054</v>
      </c>
      <c r="M316" s="2">
        <f t="shared" si="126"/>
        <v>11719921.000161534</v>
      </c>
      <c r="N316" s="2">
        <f t="shared" si="127"/>
        <v>9.4464357982988595E+17</v>
      </c>
      <c r="O316" s="2">
        <f t="shared" si="128"/>
        <v>2987225289317520</v>
      </c>
      <c r="P316" s="2">
        <f t="shared" si="129"/>
        <v>2.2019755302526942E+22</v>
      </c>
      <c r="Q316" s="2">
        <f t="shared" si="117"/>
        <v>1.0715977126285582E+20</v>
      </c>
    </row>
    <row r="317" spans="1:17" x14ac:dyDescent="0.2">
      <c r="A317">
        <f t="shared" si="113"/>
        <v>774</v>
      </c>
      <c r="B317">
        <f t="shared" si="118"/>
        <v>774000</v>
      </c>
      <c r="C317" s="1">
        <f t="shared" si="114"/>
        <v>25056702000</v>
      </c>
      <c r="D317">
        <f t="shared" si="119"/>
        <v>1860</v>
      </c>
      <c r="E317" s="2">
        <f t="shared" si="115"/>
        <v>540000</v>
      </c>
      <c r="F317" s="2">
        <f t="shared" si="120"/>
        <v>880793.82799999998</v>
      </c>
      <c r="G317" s="2">
        <f t="shared" si="121"/>
        <v>15464.783999999998</v>
      </c>
      <c r="H317" s="2">
        <f t="shared" si="122"/>
        <v>54126.743999999992</v>
      </c>
      <c r="I317" s="2">
        <f t="shared" si="123"/>
        <v>34.918043472188174</v>
      </c>
      <c r="J317" s="2">
        <f t="shared" si="124"/>
        <v>16.272802738697902</v>
      </c>
      <c r="K317">
        <f t="shared" si="125"/>
        <v>1461213240487801.8</v>
      </c>
      <c r="L317" s="13">
        <f t="shared" si="116"/>
        <v>265975043.28419915</v>
      </c>
      <c r="M317" s="2">
        <f t="shared" si="126"/>
        <v>11673159.898585727</v>
      </c>
      <c r="N317" s="2">
        <f t="shared" si="127"/>
        <v>9.5354988398155853E+17</v>
      </c>
      <c r="O317" s="2">
        <f t="shared" si="128"/>
        <v>3015389495971019</v>
      </c>
      <c r="P317" s="2">
        <f t="shared" si="129"/>
        <v>2.1931899077697294E+22</v>
      </c>
      <c r="Q317" s="2">
        <f t="shared" si="117"/>
        <v>1.0771989253010065E+20</v>
      </c>
    </row>
    <row r="318" spans="1:17" x14ac:dyDescent="0.2">
      <c r="A318">
        <f t="shared" si="113"/>
        <v>773</v>
      </c>
      <c r="B318">
        <f t="shared" si="118"/>
        <v>773000</v>
      </c>
      <c r="C318" s="1">
        <f t="shared" si="114"/>
        <v>25024329000</v>
      </c>
      <c r="D318">
        <f t="shared" si="119"/>
        <v>1859.5</v>
      </c>
      <c r="E318" s="2">
        <f t="shared" si="115"/>
        <v>540000</v>
      </c>
      <c r="F318" s="2">
        <f t="shared" si="120"/>
        <v>880340.60599999991</v>
      </c>
      <c r="G318" s="2">
        <f t="shared" si="121"/>
        <v>15460.626799999998</v>
      </c>
      <c r="H318" s="2">
        <f t="shared" si="122"/>
        <v>54112.193799999994</v>
      </c>
      <c r="I318" s="2">
        <f t="shared" si="123"/>
        <v>34.927432566964235</v>
      </c>
      <c r="J318" s="2">
        <f t="shared" si="124"/>
        <v>16.268802725939381</v>
      </c>
      <c r="K318">
        <f t="shared" si="125"/>
        <v>1474997318838542.8</v>
      </c>
      <c r="L318" s="13">
        <f t="shared" si="116"/>
        <v>267366037.33974075</v>
      </c>
      <c r="M318" s="2">
        <f t="shared" si="126"/>
        <v>11626560.371543568</v>
      </c>
      <c r="N318" s="2">
        <f t="shared" si="127"/>
        <v>9.625450162100032E+17</v>
      </c>
      <c r="O318" s="2">
        <f t="shared" si="128"/>
        <v>3043834601667290</v>
      </c>
      <c r="P318" s="2">
        <f t="shared" si="129"/>
        <v>2.1844346424171073E+22</v>
      </c>
      <c r="Q318" s="2">
        <f t="shared" si="117"/>
        <v>1.0828324512259501E+20</v>
      </c>
    </row>
    <row r="319" spans="1:17" x14ac:dyDescent="0.2">
      <c r="A319">
        <f t="shared" si="113"/>
        <v>772</v>
      </c>
      <c r="B319">
        <f t="shared" si="118"/>
        <v>772000</v>
      </c>
      <c r="C319" s="1">
        <f t="shared" si="114"/>
        <v>24991956000</v>
      </c>
      <c r="D319">
        <f t="shared" si="119"/>
        <v>1859</v>
      </c>
      <c r="E319" s="2">
        <f t="shared" si="115"/>
        <v>540000</v>
      </c>
      <c r="F319" s="2">
        <f t="shared" si="120"/>
        <v>879887.38399999996</v>
      </c>
      <c r="G319" s="2">
        <f t="shared" si="121"/>
        <v>15456.469599999999</v>
      </c>
      <c r="H319" s="2">
        <f t="shared" si="122"/>
        <v>54097.643599999996</v>
      </c>
      <c r="I319" s="2">
        <f t="shared" si="123"/>
        <v>34.936826712356101</v>
      </c>
      <c r="J319" s="2">
        <f t="shared" si="124"/>
        <v>16.264800561479539</v>
      </c>
      <c r="K319">
        <f t="shared" si="125"/>
        <v>1488918946620278.2</v>
      </c>
      <c r="L319" s="13">
        <f t="shared" si="116"/>
        <v>268765060.13055116</v>
      </c>
      <c r="M319" s="2">
        <f t="shared" si="126"/>
        <v>11580121.953911589</v>
      </c>
      <c r="N319" s="2">
        <f t="shared" si="127"/>
        <v>9.7162990963163456E+17</v>
      </c>
      <c r="O319" s="2">
        <f t="shared" si="128"/>
        <v>3072563557179525.5</v>
      </c>
      <c r="P319" s="2">
        <f t="shared" si="129"/>
        <v>2.175709646805971E+22</v>
      </c>
      <c r="Q319" s="2">
        <f t="shared" si="117"/>
        <v>1.0884984935287321E+20</v>
      </c>
    </row>
    <row r="320" spans="1:17" x14ac:dyDescent="0.2">
      <c r="A320">
        <f t="shared" si="113"/>
        <v>771</v>
      </c>
      <c r="B320">
        <f t="shared" si="118"/>
        <v>771000</v>
      </c>
      <c r="C320" s="1">
        <f t="shared" si="114"/>
        <v>24959583000</v>
      </c>
      <c r="D320">
        <f t="shared" si="119"/>
        <v>1858.5</v>
      </c>
      <c r="E320" s="2">
        <f t="shared" si="115"/>
        <v>540000</v>
      </c>
      <c r="F320" s="2">
        <f t="shared" si="120"/>
        <v>879434.16200000001</v>
      </c>
      <c r="G320" s="2">
        <f t="shared" si="121"/>
        <v>15452.312399999999</v>
      </c>
      <c r="H320" s="2">
        <f t="shared" si="122"/>
        <v>54083.093399999998</v>
      </c>
      <c r="I320" s="2">
        <f t="shared" si="123"/>
        <v>34.946225912440134</v>
      </c>
      <c r="J320" s="2">
        <f t="shared" si="124"/>
        <v>16.260796243581733</v>
      </c>
      <c r="K320">
        <f t="shared" si="125"/>
        <v>1502979569497051.8</v>
      </c>
      <c r="L320" s="13">
        <f t="shared" si="116"/>
        <v>270172162.1513139</v>
      </c>
      <c r="M320" s="2">
        <f t="shared" si="126"/>
        <v>11533844.181605689</v>
      </c>
      <c r="N320" s="2">
        <f t="shared" si="127"/>
        <v>9.8080550764933389E+17</v>
      </c>
      <c r="O320" s="2">
        <f t="shared" si="128"/>
        <v>3101579345809581</v>
      </c>
      <c r="P320" s="2">
        <f t="shared" si="129"/>
        <v>2.1670148337427439E+22</v>
      </c>
      <c r="Q320" s="2">
        <f t="shared" si="117"/>
        <v>1.0941972567128213E+20</v>
      </c>
    </row>
    <row r="321" spans="1:17" x14ac:dyDescent="0.2">
      <c r="A321">
        <f t="shared" ref="A321:A384" si="130">+A320-1</f>
        <v>770</v>
      </c>
      <c r="B321">
        <f t="shared" si="118"/>
        <v>770000</v>
      </c>
      <c r="C321" s="1">
        <f t="shared" si="114"/>
        <v>24927210000</v>
      </c>
      <c r="D321">
        <f t="shared" si="119"/>
        <v>1858</v>
      </c>
      <c r="E321" s="2">
        <f t="shared" si="115"/>
        <v>540000</v>
      </c>
      <c r="F321" s="2">
        <f t="shared" si="120"/>
        <v>878980.94</v>
      </c>
      <c r="G321" s="2">
        <f t="shared" si="121"/>
        <v>15448.155199999999</v>
      </c>
      <c r="H321" s="2">
        <f t="shared" si="122"/>
        <v>54068.543199999993</v>
      </c>
      <c r="I321" s="2">
        <f t="shared" si="123"/>
        <v>34.955630171297088</v>
      </c>
      <c r="J321" s="2">
        <f t="shared" si="124"/>
        <v>16.256789770507449</v>
      </c>
      <c r="K321">
        <f t="shared" si="125"/>
        <v>1517180649077624.2</v>
      </c>
      <c r="L321" s="13">
        <f t="shared" si="116"/>
        <v>271587394.23946488</v>
      </c>
      <c r="M321" s="2">
        <f t="shared" si="126"/>
        <v>11487726.591579722</v>
      </c>
      <c r="N321" s="2">
        <f t="shared" si="127"/>
        <v>9.9007276407109146E+17</v>
      </c>
      <c r="O321" s="2">
        <f t="shared" si="128"/>
        <v>3130884983763156.5</v>
      </c>
      <c r="P321" s="2">
        <f t="shared" si="129"/>
        <v>2.1583501162288622E+22</v>
      </c>
      <c r="Q321" s="2">
        <f t="shared" si="117"/>
        <v>1.0999289466698328E+20</v>
      </c>
    </row>
    <row r="322" spans="1:17" x14ac:dyDescent="0.2">
      <c r="A322">
        <f t="shared" si="130"/>
        <v>769</v>
      </c>
      <c r="B322">
        <f t="shared" si="118"/>
        <v>769000</v>
      </c>
      <c r="C322" s="1">
        <f t="shared" si="114"/>
        <v>24894837000</v>
      </c>
      <c r="D322">
        <f t="shared" si="119"/>
        <v>1857.5</v>
      </c>
      <c r="E322" s="2">
        <f t="shared" si="115"/>
        <v>540000</v>
      </c>
      <c r="F322" s="2">
        <f t="shared" si="120"/>
        <v>878527.71799999999</v>
      </c>
      <c r="G322" s="2">
        <f t="shared" si="121"/>
        <v>15443.997999999998</v>
      </c>
      <c r="H322" s="2">
        <f t="shared" si="122"/>
        <v>54053.992999999995</v>
      </c>
      <c r="I322" s="2">
        <f t="shared" si="123"/>
        <v>34.965039493012114</v>
      </c>
      <c r="J322" s="2">
        <f t="shared" si="124"/>
        <v>16.252781140516298</v>
      </c>
      <c r="K322">
        <f t="shared" si="125"/>
        <v>1531523663099448.2</v>
      </c>
      <c r="L322" s="13">
        <f t="shared" si="116"/>
        <v>273010807.57768357</v>
      </c>
      <c r="M322" s="2">
        <f t="shared" si="126"/>
        <v>11441768.721823923</v>
      </c>
      <c r="N322" s="2">
        <f t="shared" si="127"/>
        <v>9.9943264323006374E+17</v>
      </c>
      <c r="O322" s="2">
        <f t="shared" si="128"/>
        <v>3160483520529450</v>
      </c>
      <c r="P322" s="2">
        <f t="shared" si="129"/>
        <v>2.1497154074604829E+22</v>
      </c>
      <c r="Q322" s="2">
        <f t="shared" si="117"/>
        <v>1.1056937706896184E+20</v>
      </c>
    </row>
    <row r="323" spans="1:17" x14ac:dyDescent="0.2">
      <c r="A323">
        <f t="shared" si="130"/>
        <v>768</v>
      </c>
      <c r="B323">
        <f t="shared" si="118"/>
        <v>768000</v>
      </c>
      <c r="C323" s="1">
        <f t="shared" si="114"/>
        <v>24862464000</v>
      </c>
      <c r="D323">
        <f t="shared" si="119"/>
        <v>1857</v>
      </c>
      <c r="E323" s="2">
        <f t="shared" si="115"/>
        <v>540000</v>
      </c>
      <c r="F323" s="2">
        <f t="shared" si="120"/>
        <v>878074.49600000004</v>
      </c>
      <c r="G323" s="2">
        <f t="shared" si="121"/>
        <v>15439.840799999998</v>
      </c>
      <c r="H323" s="2">
        <f t="shared" si="122"/>
        <v>54039.442799999997</v>
      </c>
      <c r="I323" s="2">
        <f t="shared" si="123"/>
        <v>34.974453881674741</v>
      </c>
      <c r="J323" s="2">
        <f t="shared" si="124"/>
        <v>16.248770351866028</v>
      </c>
      <c r="K323">
        <f t="shared" si="125"/>
        <v>1546010105614812</v>
      </c>
      <c r="L323" s="13">
        <f t="shared" si="116"/>
        <v>274442453.69640315</v>
      </c>
      <c r="M323" s="2">
        <f t="shared" si="126"/>
        <v>11395970.111363582</v>
      </c>
      <c r="N323" s="2">
        <f t="shared" si="127"/>
        <v>1.0088861201060461E+18</v>
      </c>
      <c r="O323" s="2">
        <f t="shared" si="128"/>
        <v>3190378039265287.5</v>
      </c>
      <c r="P323" s="2">
        <f t="shared" si="129"/>
        <v>2.1411106208282302E+22</v>
      </c>
      <c r="Q323" s="2">
        <f t="shared" si="117"/>
        <v>1.1114919374704327E+20</v>
      </c>
    </row>
    <row r="324" spans="1:17" x14ac:dyDescent="0.2">
      <c r="A324">
        <f t="shared" si="130"/>
        <v>767</v>
      </c>
      <c r="B324">
        <f t="shared" si="118"/>
        <v>767000</v>
      </c>
      <c r="C324" s="1">
        <f t="shared" si="114"/>
        <v>24830091000</v>
      </c>
      <c r="D324">
        <f t="shared" si="119"/>
        <v>1856.5</v>
      </c>
      <c r="E324" s="2">
        <f t="shared" si="115"/>
        <v>540000</v>
      </c>
      <c r="F324" s="2">
        <f t="shared" si="120"/>
        <v>877621.27399999998</v>
      </c>
      <c r="G324" s="2">
        <f t="shared" si="121"/>
        <v>15435.683599999998</v>
      </c>
      <c r="H324" s="2">
        <f t="shared" si="122"/>
        <v>54024.892599999992</v>
      </c>
      <c r="I324" s="2">
        <f t="shared" si="123"/>
        <v>34.983873341378938</v>
      </c>
      <c r="J324" s="2">
        <f t="shared" si="124"/>
        <v>16.244757402812496</v>
      </c>
      <c r="K324">
        <f t="shared" si="125"/>
        <v>1560641487179358.8</v>
      </c>
      <c r="L324" s="13">
        <f t="shared" si="116"/>
        <v>275882384.47634715</v>
      </c>
      <c r="M324" s="2">
        <f t="shared" si="126"/>
        <v>11350330.300257195</v>
      </c>
      <c r="N324" s="2">
        <f t="shared" si="127"/>
        <v>1.0184341804484954E+18</v>
      </c>
      <c r="O324" s="2">
        <f t="shared" si="128"/>
        <v>3220571657184154.5</v>
      </c>
      <c r="P324" s="2">
        <f t="shared" si="129"/>
        <v>2.1325356699168518E+22</v>
      </c>
      <c r="Q324" s="2">
        <f t="shared" si="117"/>
        <v>1.1173236571292059E+20</v>
      </c>
    </row>
    <row r="325" spans="1:17" x14ac:dyDescent="0.2">
      <c r="A325">
        <f t="shared" si="130"/>
        <v>766</v>
      </c>
      <c r="B325">
        <f t="shared" si="118"/>
        <v>766000</v>
      </c>
      <c r="C325" s="1">
        <f t="shared" si="114"/>
        <v>24797718000</v>
      </c>
      <c r="D325">
        <f t="shared" si="119"/>
        <v>1856</v>
      </c>
      <c r="E325" s="2">
        <f t="shared" si="115"/>
        <v>540000</v>
      </c>
      <c r="F325" s="2">
        <f t="shared" si="120"/>
        <v>877168.05199999991</v>
      </c>
      <c r="G325" s="2">
        <f t="shared" si="121"/>
        <v>15431.526399999999</v>
      </c>
      <c r="H325" s="2">
        <f t="shared" si="122"/>
        <v>54010.342399999994</v>
      </c>
      <c r="I325" s="2">
        <f t="shared" si="123"/>
        <v>34.99329787622306</v>
      </c>
      <c r="J325" s="2">
        <f t="shared" si="124"/>
        <v>16.240742291609688</v>
      </c>
      <c r="K325">
        <f t="shared" si="125"/>
        <v>1575419335042688.8</v>
      </c>
      <c r="L325" s="13">
        <f t="shared" si="116"/>
        <v>277330652.1510731</v>
      </c>
      <c r="M325" s="2">
        <f t="shared" si="126"/>
        <v>11304848.829595247</v>
      </c>
      <c r="N325" s="2">
        <f t="shared" si="127"/>
        <v>1.0280778209009124E+18</v>
      </c>
      <c r="O325" s="2">
        <f t="shared" si="128"/>
        <v>3251067525949528.5</v>
      </c>
      <c r="P325" s="2">
        <f t="shared" si="129"/>
        <v>2.1239904685049877E+22</v>
      </c>
      <c r="Q325" s="2">
        <f t="shared" si="117"/>
        <v>1.1231891412118461E+20</v>
      </c>
    </row>
    <row r="326" spans="1:17" x14ac:dyDescent="0.2">
      <c r="A326">
        <f t="shared" si="130"/>
        <v>765</v>
      </c>
      <c r="B326">
        <f t="shared" si="118"/>
        <v>765000</v>
      </c>
      <c r="C326" s="1">
        <f t="shared" si="114"/>
        <v>24765345000</v>
      </c>
      <c r="D326">
        <f t="shared" si="119"/>
        <v>1855.5</v>
      </c>
      <c r="E326" s="2">
        <f t="shared" si="115"/>
        <v>540000</v>
      </c>
      <c r="F326" s="2">
        <f t="shared" si="120"/>
        <v>876714.83</v>
      </c>
      <c r="G326" s="2">
        <f t="shared" si="121"/>
        <v>15427.369199999999</v>
      </c>
      <c r="H326" s="2">
        <f t="shared" si="122"/>
        <v>53995.792199999996</v>
      </c>
      <c r="I326" s="2">
        <f t="shared" si="123"/>
        <v>35.002727490309887</v>
      </c>
      <c r="J326" s="2">
        <f t="shared" si="124"/>
        <v>16.236725016509713</v>
      </c>
      <c r="K326">
        <f t="shared" si="125"/>
        <v>1590345193341414</v>
      </c>
      <c r="L326" s="13">
        <f t="shared" si="116"/>
        <v>278787309.30954754</v>
      </c>
      <c r="M326" s="2">
        <f t="shared" si="126"/>
        <v>11259525.241498616</v>
      </c>
      <c r="N326" s="2">
        <f t="shared" si="127"/>
        <v>1.0378180491268237E+18</v>
      </c>
      <c r="O326" s="2">
        <f t="shared" si="128"/>
        <v>3281868832073269.5</v>
      </c>
      <c r="P326" s="2">
        <f t="shared" si="129"/>
        <v>2.1154749305648721E+22</v>
      </c>
      <c r="Q326" s="2">
        <f t="shared" si="117"/>
        <v>1.1290886027036675E+20</v>
      </c>
    </row>
    <row r="327" spans="1:17" x14ac:dyDescent="0.2">
      <c r="A327">
        <f t="shared" si="130"/>
        <v>764</v>
      </c>
      <c r="B327">
        <f t="shared" si="118"/>
        <v>764000</v>
      </c>
      <c r="C327" s="1">
        <f t="shared" si="114"/>
        <v>24732972000</v>
      </c>
      <c r="D327">
        <f t="shared" si="119"/>
        <v>1855</v>
      </c>
      <c r="E327" s="2">
        <f t="shared" si="115"/>
        <v>540000</v>
      </c>
      <c r="F327" s="2">
        <f t="shared" si="120"/>
        <v>876261.60800000001</v>
      </c>
      <c r="G327" s="2">
        <f t="shared" si="121"/>
        <v>15423.211999999998</v>
      </c>
      <c r="H327" s="2">
        <f t="shared" si="122"/>
        <v>53981.241999999991</v>
      </c>
      <c r="I327" s="2">
        <f t="shared" si="123"/>
        <v>35.012162187746632</v>
      </c>
      <c r="J327" s="2">
        <f t="shared" si="124"/>
        <v>16.232705575762783</v>
      </c>
      <c r="K327">
        <f t="shared" si="125"/>
        <v>1605420623294488</v>
      </c>
      <c r="L327" s="13">
        <f t="shared" si="116"/>
        <v>280252408.89873773</v>
      </c>
      <c r="M327" s="2">
        <f t="shared" si="126"/>
        <v>11214359.079116911</v>
      </c>
      <c r="N327" s="2">
        <f t="shared" si="127"/>
        <v>1.0476558839372494E+18</v>
      </c>
      <c r="O327" s="2">
        <f t="shared" si="128"/>
        <v>3312978797318705</v>
      </c>
      <c r="P327" s="2">
        <f t="shared" si="129"/>
        <v>2.1069889702620199E+22</v>
      </c>
      <c r="Q327" s="2">
        <f t="shared" si="117"/>
        <v>1.1350222560398878E+20</v>
      </c>
    </row>
    <row r="328" spans="1:17" x14ac:dyDescent="0.2">
      <c r="A328">
        <f t="shared" si="130"/>
        <v>763</v>
      </c>
      <c r="B328">
        <f t="shared" si="118"/>
        <v>763000</v>
      </c>
      <c r="C328" s="1">
        <f t="shared" si="114"/>
        <v>24700599000</v>
      </c>
      <c r="D328">
        <f t="shared" si="119"/>
        <v>1854.5</v>
      </c>
      <c r="E328" s="2">
        <f t="shared" si="115"/>
        <v>540000</v>
      </c>
      <c r="F328" s="2">
        <f t="shared" si="120"/>
        <v>875808.38599999994</v>
      </c>
      <c r="G328" s="2">
        <f t="shared" si="121"/>
        <v>15419.054799999998</v>
      </c>
      <c r="H328" s="2">
        <f t="shared" si="122"/>
        <v>53966.691799999993</v>
      </c>
      <c r="I328" s="2">
        <f t="shared" si="123"/>
        <v>35.021601972644916</v>
      </c>
      <c r="J328" s="2">
        <f t="shared" si="124"/>
        <v>16.228683967617226</v>
      </c>
      <c r="K328">
        <f t="shared" si="125"/>
        <v>1620647203400833.8</v>
      </c>
      <c r="L328" s="13">
        <f t="shared" si="116"/>
        <v>281726004.22621655</v>
      </c>
      <c r="M328" s="2">
        <f t="shared" si="126"/>
        <v>11169349.886627074</v>
      </c>
      <c r="N328" s="2">
        <f t="shared" si="127"/>
        <v>1.0575923554196696E+18</v>
      </c>
      <c r="O328" s="2">
        <f t="shared" si="128"/>
        <v>3344400679108462.5</v>
      </c>
      <c r="P328" s="2">
        <f t="shared" si="129"/>
        <v>2.0985325019549651E+22</v>
      </c>
      <c r="Q328" s="2">
        <f t="shared" si="117"/>
        <v>1.1409903171161771E+20</v>
      </c>
    </row>
    <row r="329" spans="1:17" x14ac:dyDescent="0.2">
      <c r="A329">
        <f t="shared" si="130"/>
        <v>762</v>
      </c>
      <c r="B329">
        <f t="shared" si="118"/>
        <v>762000</v>
      </c>
      <c r="C329" s="1">
        <f t="shared" si="114"/>
        <v>24668226000</v>
      </c>
      <c r="D329">
        <f t="shared" si="119"/>
        <v>1854</v>
      </c>
      <c r="E329" s="2">
        <f t="shared" si="115"/>
        <v>540000</v>
      </c>
      <c r="F329" s="2">
        <f t="shared" si="120"/>
        <v>875355.16399999999</v>
      </c>
      <c r="G329" s="2">
        <f t="shared" si="121"/>
        <v>15414.897599999998</v>
      </c>
      <c r="H329" s="2">
        <f t="shared" si="122"/>
        <v>53952.141599999995</v>
      </c>
      <c r="I329" s="2">
        <f t="shared" si="123"/>
        <v>35.03104684912082</v>
      </c>
      <c r="J329" s="2">
        <f t="shared" si="124"/>
        <v>16.22466019031949</v>
      </c>
      <c r="K329">
        <f t="shared" si="125"/>
        <v>1636026529639493.8</v>
      </c>
      <c r="L329" s="13">
        <f t="shared" si="116"/>
        <v>283208148.96279824</v>
      </c>
      <c r="M329" s="2">
        <f t="shared" si="126"/>
        <v>11124497.209231971</v>
      </c>
      <c r="N329" s="2">
        <f t="shared" si="127"/>
        <v>1.0676285050686374E+18</v>
      </c>
      <c r="O329" s="2">
        <f t="shared" si="128"/>
        <v>3376137770937500</v>
      </c>
      <c r="P329" s="2">
        <f t="shared" si="129"/>
        <v>2.0901054401949945E+22</v>
      </c>
      <c r="Q329" s="2">
        <f t="shared" si="117"/>
        <v>1.1469930032993329E+20</v>
      </c>
    </row>
    <row r="330" spans="1:17" x14ac:dyDescent="0.2">
      <c r="A330">
        <f t="shared" si="130"/>
        <v>761</v>
      </c>
      <c r="B330">
        <f t="shared" si="118"/>
        <v>761000</v>
      </c>
      <c r="C330" s="1">
        <f t="shared" si="114"/>
        <v>24635853000</v>
      </c>
      <c r="D330">
        <f t="shared" si="119"/>
        <v>1853.5</v>
      </c>
      <c r="E330" s="2">
        <f t="shared" si="115"/>
        <v>540000</v>
      </c>
      <c r="F330" s="2">
        <f t="shared" si="120"/>
        <v>874901.94200000004</v>
      </c>
      <c r="G330" s="2">
        <f t="shared" si="121"/>
        <v>15410.740399999999</v>
      </c>
      <c r="H330" s="2">
        <f t="shared" si="122"/>
        <v>53937.591399999998</v>
      </c>
      <c r="I330" s="2">
        <f t="shared" si="123"/>
        <v>35.040496821294845</v>
      </c>
      <c r="J330" s="2">
        <f t="shared" si="124"/>
        <v>16.220634242114119</v>
      </c>
      <c r="K330">
        <f t="shared" si="125"/>
        <v>1651560215672040.2</v>
      </c>
      <c r="L330" s="13">
        <f t="shared" si="116"/>
        <v>284698897.1451897</v>
      </c>
      <c r="M330" s="2">
        <f t="shared" si="126"/>
        <v>11079800.593158625</v>
      </c>
      <c r="N330" s="2">
        <f t="shared" si="127"/>
        <v>1.0777653859178665E+18</v>
      </c>
      <c r="O330" s="2">
        <f t="shared" si="128"/>
        <v>3408193402790805.5</v>
      </c>
      <c r="P330" s="2">
        <f t="shared" si="129"/>
        <v>2.0817076997258182E+22</v>
      </c>
      <c r="Q330" s="2">
        <f t="shared" si="117"/>
        <v>1.1530305334380184E+20</v>
      </c>
    </row>
    <row r="331" spans="1:17" x14ac:dyDescent="0.2">
      <c r="A331">
        <f t="shared" si="130"/>
        <v>760</v>
      </c>
      <c r="B331">
        <f t="shared" si="118"/>
        <v>760000</v>
      </c>
      <c r="C331" s="1">
        <f t="shared" si="114"/>
        <v>24603480000</v>
      </c>
      <c r="D331">
        <f t="shared" si="119"/>
        <v>1853</v>
      </c>
      <c r="E331" s="2">
        <f t="shared" si="115"/>
        <v>540000</v>
      </c>
      <c r="F331" s="2">
        <f t="shared" si="120"/>
        <v>874448.72</v>
      </c>
      <c r="G331" s="2">
        <f t="shared" si="121"/>
        <v>15406.583199999999</v>
      </c>
      <c r="H331" s="2">
        <f t="shared" si="122"/>
        <v>53923.041199999992</v>
      </c>
      <c r="I331" s="2">
        <f t="shared" si="123"/>
        <v>35.049951893291954</v>
      </c>
      <c r="J331" s="2">
        <f t="shared" si="124"/>
        <v>16.216606121243771</v>
      </c>
      <c r="K331">
        <f t="shared" si="125"/>
        <v>1667249893047567.2</v>
      </c>
      <c r="L331" s="13">
        <f t="shared" si="116"/>
        <v>286198303.17865884</v>
      </c>
      <c r="M331" s="2">
        <f t="shared" si="126"/>
        <v>11035259.585656926</v>
      </c>
      <c r="N331" s="2">
        <f t="shared" si="127"/>
        <v>1.0880040626740033E+18</v>
      </c>
      <c r="O331" s="2">
        <f t="shared" si="128"/>
        <v>3440570941566422.5</v>
      </c>
      <c r="P331" s="2">
        <f t="shared" si="129"/>
        <v>2.0733391954833243E+22</v>
      </c>
      <c r="Q331" s="2">
        <f t="shared" si="117"/>
        <v>1.1591031278735683E+20</v>
      </c>
    </row>
    <row r="332" spans="1:17" x14ac:dyDescent="0.2">
      <c r="A332">
        <f t="shared" si="130"/>
        <v>759</v>
      </c>
      <c r="B332">
        <f t="shared" si="118"/>
        <v>759000</v>
      </c>
      <c r="C332" s="1">
        <f t="shared" si="114"/>
        <v>24571107000</v>
      </c>
      <c r="D332">
        <f t="shared" si="119"/>
        <v>1852.5</v>
      </c>
      <c r="E332" s="2">
        <f t="shared" si="115"/>
        <v>540000</v>
      </c>
      <c r="F332" s="2">
        <f t="shared" si="120"/>
        <v>873995.49799999991</v>
      </c>
      <c r="G332" s="2">
        <f t="shared" si="121"/>
        <v>15402.425999999998</v>
      </c>
      <c r="H332" s="2">
        <f t="shared" si="122"/>
        <v>53908.490999999995</v>
      </c>
      <c r="I332" s="2">
        <f t="shared" si="123"/>
        <v>35.059412069241567</v>
      </c>
      <c r="J332" s="2">
        <f t="shared" si="124"/>
        <v>16.212575825949198</v>
      </c>
      <c r="K332">
        <f t="shared" si="125"/>
        <v>1683097211410080.2</v>
      </c>
      <c r="L332" s="13">
        <f t="shared" si="116"/>
        <v>287706421.83973294</v>
      </c>
      <c r="M332" s="2">
        <f t="shared" si="126"/>
        <v>10990873.734997958</v>
      </c>
      <c r="N332" s="2">
        <f t="shared" si="127"/>
        <v>1.0983456118519648E+18</v>
      </c>
      <c r="O332" s="2">
        <f t="shared" si="128"/>
        <v>3473273791503422.5</v>
      </c>
      <c r="P332" s="2">
        <f t="shared" si="129"/>
        <v>2.0649998425952675E+22</v>
      </c>
      <c r="Q332" s="2">
        <f t="shared" si="117"/>
        <v>1.1652110084509185E+20</v>
      </c>
    </row>
    <row r="333" spans="1:17" x14ac:dyDescent="0.2">
      <c r="A333">
        <f t="shared" si="130"/>
        <v>758</v>
      </c>
      <c r="B333">
        <f t="shared" si="118"/>
        <v>758000</v>
      </c>
      <c r="C333" s="1">
        <f t="shared" si="114"/>
        <v>24538734000</v>
      </c>
      <c r="D333">
        <f t="shared" si="119"/>
        <v>1852</v>
      </c>
      <c r="E333" s="2">
        <f t="shared" si="115"/>
        <v>540000</v>
      </c>
      <c r="F333" s="2">
        <f t="shared" si="120"/>
        <v>873542.27600000007</v>
      </c>
      <c r="G333" s="2">
        <f t="shared" si="121"/>
        <v>15398.268799999998</v>
      </c>
      <c r="H333" s="2">
        <f t="shared" si="122"/>
        <v>53893.940799999997</v>
      </c>
      <c r="I333" s="2">
        <f t="shared" si="123"/>
        <v>35.068877353277536</v>
      </c>
      <c r="J333" s="2">
        <f t="shared" si="124"/>
        <v>16.208543354469267</v>
      </c>
      <c r="K333">
        <f t="shared" si="125"/>
        <v>1699103838708371.5</v>
      </c>
      <c r="L333" s="13">
        <f t="shared" si="116"/>
        <v>289223308.2789036</v>
      </c>
      <c r="M333" s="2">
        <f t="shared" si="126"/>
        <v>10946642.590472696</v>
      </c>
      <c r="N333" s="2">
        <f t="shared" si="127"/>
        <v>1.1087911219118971E+18</v>
      </c>
      <c r="O333" s="2">
        <f t="shared" si="128"/>
        <v>3506305394615010.5</v>
      </c>
      <c r="P333" s="2">
        <f t="shared" si="129"/>
        <v>2.0566895563810212E+22</v>
      </c>
      <c r="Q333" s="2">
        <f t="shared" si="117"/>
        <v>1.1713543985295596E+20</v>
      </c>
    </row>
    <row r="334" spans="1:17" x14ac:dyDescent="0.2">
      <c r="A334">
        <f t="shared" si="130"/>
        <v>757</v>
      </c>
      <c r="B334">
        <f t="shared" si="118"/>
        <v>757000</v>
      </c>
      <c r="C334" s="1">
        <f t="shared" si="114"/>
        <v>24506361000</v>
      </c>
      <c r="D334">
        <f t="shared" si="119"/>
        <v>1851.5</v>
      </c>
      <c r="E334" s="2">
        <f t="shared" si="115"/>
        <v>540000</v>
      </c>
      <c r="F334" s="2">
        <f t="shared" si="120"/>
        <v>873089.054</v>
      </c>
      <c r="G334" s="2">
        <f t="shared" si="121"/>
        <v>15394.111599999998</v>
      </c>
      <c r="H334" s="2">
        <f t="shared" si="122"/>
        <v>53879.390599999992</v>
      </c>
      <c r="I334" s="2">
        <f t="shared" si="123"/>
        <v>35.07834774953821</v>
      </c>
      <c r="J334" s="2">
        <f t="shared" si="124"/>
        <v>16.204508705040926</v>
      </c>
      <c r="K334">
        <f t="shared" si="125"/>
        <v>1715271461408577.2</v>
      </c>
      <c r="L334" s="13">
        <f t="shared" si="116"/>
        <v>290749018.02337152</v>
      </c>
      <c r="M334" s="2">
        <f t="shared" si="126"/>
        <v>10902565.702390179</v>
      </c>
      <c r="N334" s="2">
        <f t="shared" si="127"/>
        <v>1.1193416933978852E+18</v>
      </c>
      <c r="O334" s="2">
        <f t="shared" si="128"/>
        <v>3539669231127160</v>
      </c>
      <c r="P334" s="2">
        <f t="shared" si="129"/>
        <v>2.048408252351237E+22</v>
      </c>
      <c r="Q334" s="2">
        <f t="shared" si="117"/>
        <v>1.1775335229946546E+20</v>
      </c>
    </row>
    <row r="335" spans="1:17" x14ac:dyDescent="0.2">
      <c r="A335">
        <f t="shared" si="130"/>
        <v>756</v>
      </c>
      <c r="B335">
        <f t="shared" si="118"/>
        <v>756000</v>
      </c>
      <c r="C335" s="1">
        <f t="shared" si="114"/>
        <v>24473988000</v>
      </c>
      <c r="D335">
        <f t="shared" si="119"/>
        <v>1851</v>
      </c>
      <c r="E335" s="2">
        <f t="shared" si="115"/>
        <v>540000</v>
      </c>
      <c r="F335" s="2">
        <f t="shared" si="120"/>
        <v>872635.83199999994</v>
      </c>
      <c r="G335" s="2">
        <f t="shared" si="121"/>
        <v>15389.954399999999</v>
      </c>
      <c r="H335" s="2">
        <f t="shared" si="122"/>
        <v>53864.840399999994</v>
      </c>
      <c r="I335" s="2">
        <f t="shared" si="123"/>
        <v>35.087823262166395</v>
      </c>
      <c r="J335" s="2">
        <f t="shared" si="124"/>
        <v>16.200471875899218</v>
      </c>
      <c r="K335">
        <f t="shared" si="125"/>
        <v>1731601784709129.5</v>
      </c>
      <c r="L335" s="13">
        <f t="shared" si="116"/>
        <v>292283606.97979552</v>
      </c>
      <c r="M335" s="2">
        <f t="shared" si="126"/>
        <v>10858642.622076182</v>
      </c>
      <c r="N335" s="2">
        <f t="shared" si="127"/>
        <v>1.1299984390782245E+18</v>
      </c>
      <c r="O335" s="2">
        <f t="shared" si="128"/>
        <v>3573368819922192.5</v>
      </c>
      <c r="P335" s="2">
        <f t="shared" si="129"/>
        <v>2.0401558462075939E+22</v>
      </c>
      <c r="Q335" s="2">
        <f t="shared" si="117"/>
        <v>1.1837486082681718E+20</v>
      </c>
    </row>
    <row r="336" spans="1:17" x14ac:dyDescent="0.2">
      <c r="A336">
        <f t="shared" si="130"/>
        <v>755</v>
      </c>
      <c r="B336">
        <f t="shared" si="118"/>
        <v>755000</v>
      </c>
      <c r="C336" s="1">
        <f t="shared" si="114"/>
        <v>24441615000</v>
      </c>
      <c r="D336">
        <f t="shared" si="119"/>
        <v>1850.5</v>
      </c>
      <c r="E336" s="2">
        <f t="shared" si="115"/>
        <v>540000</v>
      </c>
      <c r="F336" s="2">
        <f t="shared" si="120"/>
        <v>872182.61</v>
      </c>
      <c r="G336" s="2">
        <f t="shared" si="121"/>
        <v>15385.797199999999</v>
      </c>
      <c r="H336" s="2">
        <f t="shared" si="122"/>
        <v>53850.290199999996</v>
      </c>
      <c r="I336" s="2">
        <f t="shared" si="123"/>
        <v>35.097303895309373</v>
      </c>
      <c r="J336" s="2">
        <f t="shared" si="124"/>
        <v>16.196432865277298</v>
      </c>
      <c r="K336">
        <f t="shared" si="125"/>
        <v>1748096532758419.8</v>
      </c>
      <c r="L336" s="13">
        <f t="shared" si="116"/>
        <v>293827131.43707323</v>
      </c>
      <c r="M336" s="2">
        <f t="shared" si="126"/>
        <v>10814872.901871881</v>
      </c>
      <c r="N336" s="2">
        <f t="shared" si="127"/>
        <v>1.1407624840874628E+18</v>
      </c>
      <c r="O336" s="2">
        <f t="shared" si="128"/>
        <v>3607407718987953.5</v>
      </c>
      <c r="P336" s="2">
        <f t="shared" si="129"/>
        <v>2.0319322538425471E+22</v>
      </c>
      <c r="Q336" s="2">
        <f t="shared" si="117"/>
        <v>1.1899998823201466E+20</v>
      </c>
    </row>
    <row r="337" spans="1:17" x14ac:dyDescent="0.2">
      <c r="A337">
        <f t="shared" si="130"/>
        <v>754</v>
      </c>
      <c r="B337">
        <f t="shared" si="118"/>
        <v>754000</v>
      </c>
      <c r="C337" s="1">
        <f t="shared" si="114"/>
        <v>24409242000</v>
      </c>
      <c r="D337">
        <f t="shared" si="119"/>
        <v>1850</v>
      </c>
      <c r="E337" s="2">
        <f t="shared" si="115"/>
        <v>540000</v>
      </c>
      <c r="F337" s="2">
        <f t="shared" si="120"/>
        <v>871729.38800000004</v>
      </c>
      <c r="G337" s="2">
        <f t="shared" si="121"/>
        <v>15381.639999999998</v>
      </c>
      <c r="H337" s="2">
        <f t="shared" si="122"/>
        <v>53835.74</v>
      </c>
      <c r="I337" s="2">
        <f t="shared" si="123"/>
        <v>35.106789653118916</v>
      </c>
      <c r="J337" s="2">
        <f t="shared" si="124"/>
        <v>16.192391671406394</v>
      </c>
      <c r="K337">
        <f t="shared" si="125"/>
        <v>1764757448875090</v>
      </c>
      <c r="L337" s="13">
        <f t="shared" si="116"/>
        <v>295379648.06913936</v>
      </c>
      <c r="M337" s="2">
        <f t="shared" si="126"/>
        <v>10771256.095131984</v>
      </c>
      <c r="N337" s="2">
        <f t="shared" si="127"/>
        <v>1.1516349660701568E+18</v>
      </c>
      <c r="O337" s="2">
        <f t="shared" si="128"/>
        <v>3641789525872409.5</v>
      </c>
      <c r="P337" s="2">
        <f t="shared" si="129"/>
        <v>2.0237373913389785E+22</v>
      </c>
      <c r="Q337" s="2">
        <f t="shared" si="117"/>
        <v>1.1962875746800144E+20</v>
      </c>
    </row>
    <row r="338" spans="1:17" x14ac:dyDescent="0.2">
      <c r="A338">
        <f t="shared" si="130"/>
        <v>753</v>
      </c>
      <c r="B338">
        <f t="shared" si="118"/>
        <v>753000</v>
      </c>
      <c r="C338" s="1">
        <f t="shared" si="114"/>
        <v>24376869000</v>
      </c>
      <c r="D338">
        <f t="shared" si="119"/>
        <v>1849.5</v>
      </c>
      <c r="E338" s="2">
        <f t="shared" si="115"/>
        <v>540000</v>
      </c>
      <c r="F338" s="2">
        <f t="shared" si="120"/>
        <v>871276.16599999997</v>
      </c>
      <c r="G338" s="2">
        <f t="shared" si="121"/>
        <v>15377.482799999998</v>
      </c>
      <c r="H338" s="2">
        <f t="shared" si="122"/>
        <v>53821.189799999993</v>
      </c>
      <c r="I338" s="2">
        <f t="shared" si="123"/>
        <v>35.11628053975128</v>
      </c>
      <c r="J338" s="2">
        <f t="shared" si="124"/>
        <v>16.188348292515823</v>
      </c>
      <c r="K338">
        <f t="shared" si="125"/>
        <v>1781586295770956</v>
      </c>
      <c r="L338" s="13">
        <f t="shared" si="116"/>
        <v>296941213.93778557</v>
      </c>
      <c r="M338" s="2">
        <f t="shared" si="126"/>
        <v>10727791.756223412</v>
      </c>
      <c r="N338" s="2">
        <f t="shared" si="127"/>
        <v>1.162617035326345E+18</v>
      </c>
      <c r="O338" s="2">
        <f t="shared" si="128"/>
        <v>3676517878143676</v>
      </c>
      <c r="P338" s="2">
        <f t="shared" si="129"/>
        <v>2.0155711749699458E+22</v>
      </c>
      <c r="Q338" s="2">
        <f t="shared" si="117"/>
        <v>1.2026119164480315E+20</v>
      </c>
    </row>
    <row r="339" spans="1:17" x14ac:dyDescent="0.2">
      <c r="A339">
        <f t="shared" si="130"/>
        <v>752</v>
      </c>
      <c r="B339">
        <f t="shared" si="118"/>
        <v>752000</v>
      </c>
      <c r="C339" s="1">
        <f t="shared" si="114"/>
        <v>24344496000</v>
      </c>
      <c r="D339">
        <f t="shared" si="119"/>
        <v>1849</v>
      </c>
      <c r="E339" s="2">
        <f t="shared" si="115"/>
        <v>540000</v>
      </c>
      <c r="F339" s="2">
        <f t="shared" si="120"/>
        <v>870822.9439999999</v>
      </c>
      <c r="G339" s="2">
        <f t="shared" si="121"/>
        <v>15373.325599999998</v>
      </c>
      <c r="H339" s="2">
        <f t="shared" si="122"/>
        <v>53806.639599999995</v>
      </c>
      <c r="I339" s="2">
        <f t="shared" si="123"/>
        <v>35.125776559367225</v>
      </c>
      <c r="J339" s="2">
        <f t="shared" si="124"/>
        <v>16.184302726832989</v>
      </c>
      <c r="K339">
        <f t="shared" si="125"/>
        <v>1798584855776686.5</v>
      </c>
      <c r="L339" s="13">
        <f t="shared" si="116"/>
        <v>298511886.49550575</v>
      </c>
      <c r="M339" s="2">
        <f t="shared" si="126"/>
        <v>10684479.440523805</v>
      </c>
      <c r="N339" s="2">
        <f t="shared" si="127"/>
        <v>1.1737098549588216E+18</v>
      </c>
      <c r="O339" s="2">
        <f t="shared" si="128"/>
        <v>3711596453855734</v>
      </c>
      <c r="P339" s="2">
        <f t="shared" si="129"/>
        <v>2.007433521198406E+22</v>
      </c>
      <c r="Q339" s="2">
        <f t="shared" si="117"/>
        <v>1.2089731403067983E+20</v>
      </c>
    </row>
    <row r="340" spans="1:17" x14ac:dyDescent="0.2">
      <c r="A340">
        <f t="shared" si="130"/>
        <v>751</v>
      </c>
      <c r="B340">
        <f t="shared" si="118"/>
        <v>751000</v>
      </c>
      <c r="C340" s="1">
        <f t="shared" si="114"/>
        <v>24312123000</v>
      </c>
      <c r="D340">
        <f t="shared" si="119"/>
        <v>1848.5</v>
      </c>
      <c r="E340" s="2">
        <f t="shared" si="115"/>
        <v>540000</v>
      </c>
      <c r="F340" s="2">
        <f t="shared" si="120"/>
        <v>870369.72200000007</v>
      </c>
      <c r="G340" s="2">
        <f t="shared" si="121"/>
        <v>15369.168399999999</v>
      </c>
      <c r="H340" s="2">
        <f t="shared" si="122"/>
        <v>53792.089399999997</v>
      </c>
      <c r="I340" s="2">
        <f t="shared" si="123"/>
        <v>35.135277716131995</v>
      </c>
      <c r="J340" s="2">
        <f t="shared" si="124"/>
        <v>16.180254972583388</v>
      </c>
      <c r="K340">
        <f t="shared" si="125"/>
        <v>1815754931070145.5</v>
      </c>
      <c r="L340" s="13">
        <f t="shared" si="116"/>
        <v>300091723.58836013</v>
      </c>
      <c r="M340" s="2">
        <f t="shared" si="126"/>
        <v>10641318.704420043</v>
      </c>
      <c r="N340" s="2">
        <f t="shared" si="127"/>
        <v>1.1849146010221455E+18</v>
      </c>
      <c r="O340" s="2">
        <f t="shared" si="128"/>
        <v>3747028972019642.5</v>
      </c>
      <c r="P340" s="2">
        <f t="shared" si="129"/>
        <v>1.9993243466769338E+22</v>
      </c>
      <c r="Q340" s="2">
        <f t="shared" si="117"/>
        <v>1.2153714805328585E+20</v>
      </c>
    </row>
    <row r="341" spans="1:17" x14ac:dyDescent="0.2">
      <c r="A341">
        <f t="shared" si="130"/>
        <v>750</v>
      </c>
      <c r="B341">
        <f t="shared" si="118"/>
        <v>750000</v>
      </c>
      <c r="C341" s="1">
        <f t="shared" si="114"/>
        <v>24279750000</v>
      </c>
      <c r="D341">
        <f t="shared" si="119"/>
        <v>1848</v>
      </c>
      <c r="E341" s="2">
        <f t="shared" si="115"/>
        <v>540000</v>
      </c>
      <c r="F341" s="2">
        <f t="shared" si="120"/>
        <v>869916.5</v>
      </c>
      <c r="G341" s="2">
        <f t="shared" si="121"/>
        <v>15365.011199999999</v>
      </c>
      <c r="H341" s="2">
        <f t="shared" si="122"/>
        <v>53777.539199999992</v>
      </c>
      <c r="I341" s="2">
        <f t="shared" si="123"/>
        <v>35.144784014215368</v>
      </c>
      <c r="J341" s="2">
        <f t="shared" si="124"/>
        <v>16.176205027990573</v>
      </c>
      <c r="K341">
        <f t="shared" si="125"/>
        <v>1833098343907635.2</v>
      </c>
      <c r="L341" s="13">
        <f t="shared" si="116"/>
        <v>301680783.45886397</v>
      </c>
      <c r="M341" s="2">
        <f t="shared" si="126"/>
        <v>10598309.105306465</v>
      </c>
      <c r="N341" s="2">
        <f t="shared" si="127"/>
        <v>1.1962324626735442E+18</v>
      </c>
      <c r="O341" s="2">
        <f t="shared" si="128"/>
        <v>3782819193080736</v>
      </c>
      <c r="P341" s="2">
        <f t="shared" si="129"/>
        <v>1.9912435682473887E+22</v>
      </c>
      <c r="Q341" s="2">
        <f t="shared" si="117"/>
        <v>1.2218071730083991E+20</v>
      </c>
    </row>
    <row r="342" spans="1:17" x14ac:dyDescent="0.2">
      <c r="A342">
        <f t="shared" si="130"/>
        <v>749</v>
      </c>
      <c r="B342">
        <f t="shared" si="118"/>
        <v>749000</v>
      </c>
      <c r="C342" s="1">
        <f t="shared" si="114"/>
        <v>24247377000</v>
      </c>
      <c r="D342">
        <f t="shared" si="119"/>
        <v>1847.5</v>
      </c>
      <c r="E342" s="2">
        <f t="shared" si="115"/>
        <v>540000</v>
      </c>
      <c r="F342" s="2">
        <f t="shared" si="120"/>
        <v>869463.27799999993</v>
      </c>
      <c r="G342" s="2">
        <f t="shared" si="121"/>
        <v>15360.853999999998</v>
      </c>
      <c r="H342" s="2">
        <f t="shared" si="122"/>
        <v>53762.988999999994</v>
      </c>
      <c r="I342" s="2">
        <f t="shared" si="123"/>
        <v>35.154295457791612</v>
      </c>
      <c r="J342" s="2">
        <f t="shared" si="124"/>
        <v>16.172152891276191</v>
      </c>
      <c r="K342">
        <f t="shared" si="125"/>
        <v>1850616936857780</v>
      </c>
      <c r="L342" s="13">
        <f t="shared" si="116"/>
        <v>303279124.74889362</v>
      </c>
      <c r="M342" s="2">
        <f t="shared" si="126"/>
        <v>10555450.201583721</v>
      </c>
      <c r="N342" s="2">
        <f t="shared" si="127"/>
        <v>1.2076646423255393E+18</v>
      </c>
      <c r="O342" s="2">
        <f t="shared" si="128"/>
        <v>3818970919401272</v>
      </c>
      <c r="P342" s="2">
        <f t="shared" si="129"/>
        <v>1.9831911029406997E+22</v>
      </c>
      <c r="Q342" s="2">
        <f t="shared" si="117"/>
        <v>1.2282804552330191E+20</v>
      </c>
    </row>
    <row r="343" spans="1:17" x14ac:dyDescent="0.2">
      <c r="A343">
        <f t="shared" si="130"/>
        <v>748</v>
      </c>
      <c r="B343">
        <f t="shared" si="118"/>
        <v>748000</v>
      </c>
      <c r="C343" s="1">
        <f t="shared" si="114"/>
        <v>24215004000</v>
      </c>
      <c r="D343">
        <f t="shared" si="119"/>
        <v>1847</v>
      </c>
      <c r="E343" s="2">
        <f t="shared" si="115"/>
        <v>540000</v>
      </c>
      <c r="F343" s="2">
        <f t="shared" si="120"/>
        <v>869010.05599999998</v>
      </c>
      <c r="G343" s="2">
        <f t="shared" si="121"/>
        <v>15356.696799999998</v>
      </c>
      <c r="H343" s="2">
        <f t="shared" si="122"/>
        <v>53748.438799999996</v>
      </c>
      <c r="I343" s="2">
        <f t="shared" si="123"/>
        <v>35.163812051039521</v>
      </c>
      <c r="J343" s="2">
        <f t="shared" si="124"/>
        <v>16.168098560659963</v>
      </c>
      <c r="K343">
        <f t="shared" si="125"/>
        <v>1868312573038398</v>
      </c>
      <c r="L343" s="13">
        <f t="shared" si="116"/>
        <v>304886806.50262457</v>
      </c>
      <c r="M343" s="2">
        <f t="shared" si="126"/>
        <v>10512741.552657112</v>
      </c>
      <c r="N343" s="2">
        <f t="shared" si="127"/>
        <v>1.2192123558005248E+18</v>
      </c>
      <c r="O343" s="2">
        <f t="shared" si="128"/>
        <v>3855487995749244</v>
      </c>
      <c r="P343" s="2">
        <f t="shared" si="129"/>
        <v>1.9751668679765519E+22</v>
      </c>
      <c r="Q343" s="2">
        <f t="shared" si="117"/>
        <v>1.2347915663356296E+20</v>
      </c>
    </row>
    <row r="344" spans="1:17" x14ac:dyDescent="0.2">
      <c r="A344">
        <f t="shared" si="130"/>
        <v>747</v>
      </c>
      <c r="B344">
        <f t="shared" si="118"/>
        <v>747000</v>
      </c>
      <c r="C344" s="1">
        <f t="shared" si="114"/>
        <v>24182631000</v>
      </c>
      <c r="D344">
        <f t="shared" si="119"/>
        <v>1846.5</v>
      </c>
      <c r="E344" s="2">
        <f t="shared" si="115"/>
        <v>540000</v>
      </c>
      <c r="F344" s="2">
        <f t="shared" si="120"/>
        <v>868556.83400000003</v>
      </c>
      <c r="G344" s="2">
        <f t="shared" si="121"/>
        <v>15352.539599999998</v>
      </c>
      <c r="H344" s="2">
        <f t="shared" si="122"/>
        <v>53733.888599999991</v>
      </c>
      <c r="I344" s="2">
        <f t="shared" si="123"/>
        <v>35.17333379814243</v>
      </c>
      <c r="J344" s="2">
        <f t="shared" si="124"/>
        <v>16.164042034359674</v>
      </c>
      <c r="K344">
        <f t="shared" si="125"/>
        <v>1886187136356212.5</v>
      </c>
      <c r="L344" s="13">
        <f t="shared" si="116"/>
        <v>306503888.16948307</v>
      </c>
      <c r="M344" s="2">
        <f t="shared" si="126"/>
        <v>10470182.718934994</v>
      </c>
      <c r="N344" s="2">
        <f t="shared" si="127"/>
        <v>1.2308768324871946E+18</v>
      </c>
      <c r="O344" s="2">
        <f t="shared" si="128"/>
        <v>3892374309793054</v>
      </c>
      <c r="P344" s="2">
        <f t="shared" si="129"/>
        <v>1.9671707807630882E+22</v>
      </c>
      <c r="Q344" s="2">
        <f t="shared" si="117"/>
        <v>1.2413407470864065E+20</v>
      </c>
    </row>
    <row r="345" spans="1:17" x14ac:dyDescent="0.2">
      <c r="A345">
        <f t="shared" si="130"/>
        <v>746</v>
      </c>
      <c r="B345">
        <f t="shared" si="118"/>
        <v>746000</v>
      </c>
      <c r="C345" s="1">
        <f t="shared" si="114"/>
        <v>24150258000</v>
      </c>
      <c r="D345">
        <f t="shared" si="119"/>
        <v>1846</v>
      </c>
      <c r="E345" s="2">
        <f t="shared" si="115"/>
        <v>540000</v>
      </c>
      <c r="F345" s="2">
        <f t="shared" si="120"/>
        <v>868103.61199999996</v>
      </c>
      <c r="G345" s="2">
        <f t="shared" si="121"/>
        <v>15348.382399999999</v>
      </c>
      <c r="H345" s="2">
        <f t="shared" si="122"/>
        <v>53719.338399999993</v>
      </c>
      <c r="I345" s="2">
        <f t="shared" si="123"/>
        <v>35.182860703288185</v>
      </c>
      <c r="J345" s="2">
        <f t="shared" si="124"/>
        <v>16.159983310591183</v>
      </c>
      <c r="K345">
        <f t="shared" si="125"/>
        <v>1904242531749402.8</v>
      </c>
      <c r="L345" s="13">
        <f t="shared" si="116"/>
        <v>308130429.60713053</v>
      </c>
      <c r="M345" s="2">
        <f t="shared" si="126"/>
        <v>10427773.261827404</v>
      </c>
      <c r="N345" s="2">
        <f t="shared" si="127"/>
        <v>1.2426593154988255E+18</v>
      </c>
      <c r="O345" s="2">
        <f t="shared" si="128"/>
        <v>3929633792602048</v>
      </c>
      <c r="P345" s="2">
        <f t="shared" si="129"/>
        <v>1.9592027588966499E+22</v>
      </c>
      <c r="Q345" s="2">
        <f t="shared" si="117"/>
        <v>1.2479282399088786E+20</v>
      </c>
    </row>
    <row r="346" spans="1:17" x14ac:dyDescent="0.2">
      <c r="A346">
        <f t="shared" si="130"/>
        <v>745</v>
      </c>
      <c r="B346">
        <f t="shared" si="118"/>
        <v>745000</v>
      </c>
      <c r="C346" s="1">
        <f t="shared" si="114"/>
        <v>24117885000</v>
      </c>
      <c r="D346">
        <f t="shared" si="119"/>
        <v>1845.5</v>
      </c>
      <c r="E346" s="2">
        <f t="shared" si="115"/>
        <v>540000</v>
      </c>
      <c r="F346" s="2">
        <f t="shared" si="120"/>
        <v>867650.3899999999</v>
      </c>
      <c r="G346" s="2">
        <f t="shared" si="121"/>
        <v>15344.225199999999</v>
      </c>
      <c r="H346" s="2">
        <f t="shared" si="122"/>
        <v>53704.788199999995</v>
      </c>
      <c r="I346" s="2">
        <f t="shared" si="123"/>
        <v>35.192392770669194</v>
      </c>
      <c r="J346" s="2">
        <f t="shared" si="124"/>
        <v>16.155922387568413</v>
      </c>
      <c r="K346">
        <f t="shared" si="125"/>
        <v>1922480685433251.5</v>
      </c>
      <c r="L346" s="13">
        <f t="shared" si="116"/>
        <v>309766491.0844593</v>
      </c>
      <c r="M346" s="2">
        <f t="shared" si="126"/>
        <v>10385512.743744478</v>
      </c>
      <c r="N346" s="2">
        <f t="shared" si="127"/>
        <v>1.2545610618335808E+18</v>
      </c>
      <c r="O346" s="2">
        <f t="shared" si="128"/>
        <v>3967270419153435.5</v>
      </c>
      <c r="P346" s="2">
        <f t="shared" si="129"/>
        <v>1.9512627201614807E+22</v>
      </c>
      <c r="Q346" s="2">
        <f t="shared" si="117"/>
        <v>1.2545542888920601E+20</v>
      </c>
    </row>
    <row r="347" spans="1:17" x14ac:dyDescent="0.2">
      <c r="A347">
        <f t="shared" si="130"/>
        <v>744</v>
      </c>
      <c r="B347">
        <f t="shared" si="118"/>
        <v>744000</v>
      </c>
      <c r="C347" s="1">
        <f t="shared" si="114"/>
        <v>24085512000</v>
      </c>
      <c r="D347">
        <f t="shared" si="119"/>
        <v>1845</v>
      </c>
      <c r="E347" s="2">
        <f t="shared" si="115"/>
        <v>540000</v>
      </c>
      <c r="F347" s="2">
        <f t="shared" si="120"/>
        <v>867197.16800000006</v>
      </c>
      <c r="G347" s="2">
        <f t="shared" si="121"/>
        <v>15340.067999999997</v>
      </c>
      <c r="H347" s="2">
        <f t="shared" si="122"/>
        <v>53690.237999999998</v>
      </c>
      <c r="I347" s="2">
        <f t="shared" si="123"/>
        <v>35.201930004482385</v>
      </c>
      <c r="J347" s="2">
        <f t="shared" si="124"/>
        <v>16.151859263503361</v>
      </c>
      <c r="K347">
        <f t="shared" si="125"/>
        <v>1940903545148611.8</v>
      </c>
      <c r="L347" s="13">
        <f t="shared" si="116"/>
        <v>311412133.28462178</v>
      </c>
      <c r="M347" s="2">
        <f t="shared" si="126"/>
        <v>10343400.728095083</v>
      </c>
      <c r="N347" s="2">
        <f t="shared" si="127"/>
        <v>1.2665833425366533E+18</v>
      </c>
      <c r="O347" s="2">
        <f t="shared" si="128"/>
        <v>4005288208845034.5</v>
      </c>
      <c r="P347" s="2">
        <f t="shared" si="129"/>
        <v>1.9433505825294687E+22</v>
      </c>
      <c r="Q347" s="2">
        <f t="shared" si="117"/>
        <v>1.2612191398027182E+20</v>
      </c>
    </row>
    <row r="348" spans="1:17" x14ac:dyDescent="0.2">
      <c r="A348">
        <f t="shared" si="130"/>
        <v>743</v>
      </c>
      <c r="B348">
        <f t="shared" si="118"/>
        <v>743000</v>
      </c>
      <c r="C348" s="1">
        <f t="shared" si="114"/>
        <v>24053139000</v>
      </c>
      <c r="D348">
        <f t="shared" si="119"/>
        <v>1844.5</v>
      </c>
      <c r="E348" s="2">
        <f t="shared" si="115"/>
        <v>540000</v>
      </c>
      <c r="F348" s="2">
        <f t="shared" si="120"/>
        <v>866743.946</v>
      </c>
      <c r="G348" s="2">
        <f t="shared" si="121"/>
        <v>15335.910799999998</v>
      </c>
      <c r="H348" s="2">
        <f t="shared" si="122"/>
        <v>53675.687799999992</v>
      </c>
      <c r="I348" s="2">
        <f t="shared" si="123"/>
        <v>35.211472408929247</v>
      </c>
      <c r="J348" s="2">
        <f t="shared" si="124"/>
        <v>16.147793936606064</v>
      </c>
      <c r="K348">
        <f t="shared" si="125"/>
        <v>1959513080413561.5</v>
      </c>
      <c r="L348" s="13">
        <f t="shared" si="116"/>
        <v>313067417.30807966</v>
      </c>
      <c r="M348" s="2">
        <f t="shared" si="126"/>
        <v>10301436.779284962</v>
      </c>
      <c r="N348" s="2">
        <f t="shared" si="127"/>
        <v>1.2787274428644874E+18</v>
      </c>
      <c r="O348" s="2">
        <f t="shared" si="128"/>
        <v>4043691226014588</v>
      </c>
      <c r="P348" s="2">
        <f t="shared" si="129"/>
        <v>1.9354662641597982E+22</v>
      </c>
      <c r="Q348" s="2">
        <f t="shared" si="117"/>
        <v>1.2679230400977227E+20</v>
      </c>
    </row>
    <row r="349" spans="1:17" x14ac:dyDescent="0.2">
      <c r="A349">
        <f t="shared" si="130"/>
        <v>742</v>
      </c>
      <c r="B349">
        <f t="shared" si="118"/>
        <v>742000</v>
      </c>
      <c r="C349" s="1">
        <f t="shared" si="114"/>
        <v>24020766000</v>
      </c>
      <c r="D349">
        <f t="shared" si="119"/>
        <v>1844</v>
      </c>
      <c r="E349" s="2">
        <f t="shared" si="115"/>
        <v>540000</v>
      </c>
      <c r="F349" s="2">
        <f t="shared" si="120"/>
        <v>866290.72399999993</v>
      </c>
      <c r="G349" s="2">
        <f t="shared" si="121"/>
        <v>15331.753599999998</v>
      </c>
      <c r="H349" s="2">
        <f t="shared" si="122"/>
        <v>53661.137599999995</v>
      </c>
      <c r="I349" s="2">
        <f t="shared" si="123"/>
        <v>35.221019988215836</v>
      </c>
      <c r="J349" s="2">
        <f t="shared" si="124"/>
        <v>16.143726405084635</v>
      </c>
      <c r="K349">
        <f t="shared" si="125"/>
        <v>1978311282778062.5</v>
      </c>
      <c r="L349" s="13">
        <f t="shared" si="116"/>
        <v>314732404.67567635</v>
      </c>
      <c r="M349" s="2">
        <f t="shared" si="126"/>
        <v>10259620.46271567</v>
      </c>
      <c r="N349" s="2">
        <f t="shared" si="127"/>
        <v>1.2909946624509647E+18</v>
      </c>
      <c r="O349" s="2">
        <f t="shared" si="128"/>
        <v>4082483580465284.5</v>
      </c>
      <c r="P349" s="2">
        <f t="shared" si="129"/>
        <v>1.9276096833987495E+22</v>
      </c>
      <c r="Q349" s="2">
        <f t="shared" si="117"/>
        <v>1.2746662389364892E+20</v>
      </c>
    </row>
    <row r="350" spans="1:17" x14ac:dyDescent="0.2">
      <c r="A350">
        <f t="shared" si="130"/>
        <v>741</v>
      </c>
      <c r="B350">
        <f t="shared" si="118"/>
        <v>741000</v>
      </c>
      <c r="C350" s="1">
        <f t="shared" si="114"/>
        <v>23988393000</v>
      </c>
      <c r="D350">
        <f t="shared" si="119"/>
        <v>1843.5</v>
      </c>
      <c r="E350" s="2">
        <f t="shared" si="115"/>
        <v>540000</v>
      </c>
      <c r="F350" s="2">
        <f t="shared" si="120"/>
        <v>865837.50199999998</v>
      </c>
      <c r="G350" s="2">
        <f t="shared" si="121"/>
        <v>15327.596399999999</v>
      </c>
      <c r="H350" s="2">
        <f t="shared" si="122"/>
        <v>53646.587399999997</v>
      </c>
      <c r="I350" s="2">
        <f t="shared" si="123"/>
        <v>35.230572746552753</v>
      </c>
      <c r="J350" s="2">
        <f t="shared" si="124"/>
        <v>16.139656667145243</v>
      </c>
      <c r="K350">
        <f t="shared" si="125"/>
        <v>1997300166081650</v>
      </c>
      <c r="L350" s="13">
        <f t="shared" si="116"/>
        <v>316407157.3317368</v>
      </c>
      <c r="M350" s="2">
        <f t="shared" si="126"/>
        <v>10217951.344782839</v>
      </c>
      <c r="N350" s="2">
        <f t="shared" si="127"/>
        <v>1.303386315475564E+18</v>
      </c>
      <c r="O350" s="2">
        <f t="shared" si="128"/>
        <v>4121669427997532.5</v>
      </c>
      <c r="P350" s="2">
        <f t="shared" si="129"/>
        <v>1.9197807587793729E+22</v>
      </c>
      <c r="Q350" s="2">
        <f t="shared" si="117"/>
        <v>1.2814489871935341E+20</v>
      </c>
    </row>
    <row r="351" spans="1:17" x14ac:dyDescent="0.2">
      <c r="A351">
        <f t="shared" si="130"/>
        <v>740</v>
      </c>
      <c r="B351">
        <f t="shared" si="118"/>
        <v>740000</v>
      </c>
      <c r="C351" s="1">
        <f t="shared" si="114"/>
        <v>23956020000</v>
      </c>
      <c r="D351">
        <f t="shared" si="119"/>
        <v>1843</v>
      </c>
      <c r="E351" s="2">
        <f t="shared" si="115"/>
        <v>540000</v>
      </c>
      <c r="F351" s="2">
        <f t="shared" si="120"/>
        <v>865384.28</v>
      </c>
      <c r="G351" s="2">
        <f t="shared" si="121"/>
        <v>15323.439199999999</v>
      </c>
      <c r="H351" s="2">
        <f t="shared" si="122"/>
        <v>53632.037199999992</v>
      </c>
      <c r="I351" s="2">
        <f t="shared" si="123"/>
        <v>35.240130688155176</v>
      </c>
      <c r="J351" s="2">
        <f t="shared" si="124"/>
        <v>16.135584720992103</v>
      </c>
      <c r="K351">
        <f t="shared" si="125"/>
        <v>2016481766714411.8</v>
      </c>
      <c r="L351" s="13">
        <f t="shared" si="116"/>
        <v>318091737.64718562</v>
      </c>
      <c r="M351" s="2">
        <f t="shared" si="126"/>
        <v>10176428.992874658</v>
      </c>
      <c r="N351" s="2">
        <f t="shared" si="127"/>
        <v>1.3159037308336704E+18</v>
      </c>
      <c r="O351" s="2">
        <f t="shared" si="128"/>
        <v>4161252970947521</v>
      </c>
      <c r="P351" s="2">
        <f t="shared" si="129"/>
        <v>1.9119794090212055E+22</v>
      </c>
      <c r="Q351" s="2">
        <f t="shared" si="117"/>
        <v>1.2882715374711018E+20</v>
      </c>
    </row>
    <row r="352" spans="1:17" x14ac:dyDescent="0.2">
      <c r="A352">
        <f t="shared" si="130"/>
        <v>739</v>
      </c>
      <c r="B352">
        <f t="shared" si="118"/>
        <v>739000</v>
      </c>
      <c r="C352" s="1">
        <f t="shared" ref="C352:C415" si="131">$B$3*$B$1*B352</f>
        <v>23923647000</v>
      </c>
      <c r="D352">
        <f t="shared" si="119"/>
        <v>1842.5</v>
      </c>
      <c r="E352" s="2">
        <f t="shared" ref="E352:E415" si="132">+$B$19+$B$16*0</f>
        <v>540000</v>
      </c>
      <c r="F352" s="2">
        <f t="shared" si="120"/>
        <v>864931.05799999996</v>
      </c>
      <c r="G352" s="2">
        <f t="shared" si="121"/>
        <v>15319.281999999999</v>
      </c>
      <c r="H352" s="2">
        <f t="shared" si="122"/>
        <v>53617.486999999994</v>
      </c>
      <c r="I352" s="2">
        <f t="shared" si="123"/>
        <v>35.249693817242871</v>
      </c>
      <c r="J352" s="2">
        <f t="shared" si="124"/>
        <v>16.131510564827479</v>
      </c>
      <c r="K352">
        <f t="shared" si="125"/>
        <v>2035858143881066.2</v>
      </c>
      <c r="L352" s="13">
        <f t="shared" ref="L352:L415" si="133">EXP((300*1000)/($B$17*D352))</f>
        <v>319786208.42269593</v>
      </c>
      <c r="M352" s="2">
        <f t="shared" si="126"/>
        <v>10135052.975370368</v>
      </c>
      <c r="N352" s="2">
        <f t="shared" si="127"/>
        <v>1.3285482523089057E+18</v>
      </c>
      <c r="O352" s="2">
        <f t="shared" si="128"/>
        <v>4201238458732177.5</v>
      </c>
      <c r="P352" s="2">
        <f t="shared" si="129"/>
        <v>1.9042055530299836E+22</v>
      </c>
      <c r="Q352" s="2">
        <f t="shared" ref="Q352:Q415" si="134">$B$12*L352</f>
        <v>1.2951341441119186E+20</v>
      </c>
    </row>
    <row r="353" spans="1:17" x14ac:dyDescent="0.2">
      <c r="A353">
        <f t="shared" si="130"/>
        <v>738</v>
      </c>
      <c r="B353">
        <f t="shared" si="118"/>
        <v>738000</v>
      </c>
      <c r="C353" s="1">
        <f t="shared" si="131"/>
        <v>23891274000</v>
      </c>
      <c r="D353">
        <f t="shared" si="119"/>
        <v>1842</v>
      </c>
      <c r="E353" s="2">
        <f t="shared" si="132"/>
        <v>540000</v>
      </c>
      <c r="F353" s="2">
        <f t="shared" si="120"/>
        <v>864477.83600000001</v>
      </c>
      <c r="G353" s="2">
        <f t="shared" si="121"/>
        <v>15315.124799999998</v>
      </c>
      <c r="H353" s="2">
        <f t="shared" si="122"/>
        <v>53602.936799999996</v>
      </c>
      <c r="I353" s="2">
        <f t="shared" si="123"/>
        <v>35.259262138040171</v>
      </c>
      <c r="J353" s="2">
        <f t="shared" si="124"/>
        <v>16.127434196851695</v>
      </c>
      <c r="K353">
        <f t="shared" si="125"/>
        <v>2055431379868240.5</v>
      </c>
      <c r="L353" s="13">
        <f t="shared" si="133"/>
        <v>321490632.89186114</v>
      </c>
      <c r="M353" s="2">
        <f t="shared" si="126"/>
        <v>10093822.86163893</v>
      </c>
      <c r="N353" s="2">
        <f t="shared" si="127"/>
        <v>1.3413212387475471E+18</v>
      </c>
      <c r="O353" s="2">
        <f t="shared" si="128"/>
        <v>4241630188400726</v>
      </c>
      <c r="P353" s="2">
        <f t="shared" si="129"/>
        <v>1.8964591098973963E+22</v>
      </c>
      <c r="Q353" s="2">
        <f t="shared" si="134"/>
        <v>1.3020370632120376E+20</v>
      </c>
    </row>
    <row r="354" spans="1:17" x14ac:dyDescent="0.2">
      <c r="A354">
        <f t="shared" si="130"/>
        <v>737</v>
      </c>
      <c r="B354">
        <f t="shared" si="118"/>
        <v>737000</v>
      </c>
      <c r="C354" s="1">
        <f t="shared" si="131"/>
        <v>23858901000</v>
      </c>
      <c r="D354">
        <f t="shared" si="119"/>
        <v>1841.5</v>
      </c>
      <c r="E354" s="2">
        <f t="shared" si="132"/>
        <v>540000</v>
      </c>
      <c r="F354" s="2">
        <f t="shared" si="120"/>
        <v>864024.61400000006</v>
      </c>
      <c r="G354" s="2">
        <f t="shared" si="121"/>
        <v>15310.967599999998</v>
      </c>
      <c r="H354" s="2">
        <f t="shared" si="122"/>
        <v>53588.386599999991</v>
      </c>
      <c r="I354" s="2">
        <f t="shared" si="123"/>
        <v>35.268835654775998</v>
      </c>
      <c r="J354" s="2">
        <f t="shared" si="124"/>
        <v>16.123355615263108</v>
      </c>
      <c r="K354">
        <f t="shared" si="125"/>
        <v>2075203580315081.5</v>
      </c>
      <c r="L354" s="13">
        <f t="shared" si="133"/>
        <v>323205074.72438526</v>
      </c>
      <c r="M354" s="2">
        <f t="shared" si="126"/>
        <v>10052738.222037295</v>
      </c>
      <c r="N354" s="2">
        <f t="shared" si="127"/>
        <v>1.3542240642351201E+18</v>
      </c>
      <c r="O354" s="2">
        <f t="shared" si="128"/>
        <v>4282432505193129.5</v>
      </c>
      <c r="P354" s="2">
        <f t="shared" si="129"/>
        <v>1.8887399989007606E+22</v>
      </c>
      <c r="Q354" s="2">
        <f t="shared" si="134"/>
        <v>1.3089805526337603E+20</v>
      </c>
    </row>
    <row r="355" spans="1:17" x14ac:dyDescent="0.2">
      <c r="A355">
        <f t="shared" si="130"/>
        <v>736</v>
      </c>
      <c r="B355">
        <f t="shared" si="118"/>
        <v>736000</v>
      </c>
      <c r="C355" s="1">
        <f t="shared" si="131"/>
        <v>23826528000</v>
      </c>
      <c r="D355">
        <f t="shared" si="119"/>
        <v>1841</v>
      </c>
      <c r="E355" s="2">
        <f t="shared" si="132"/>
        <v>540000</v>
      </c>
      <c r="F355" s="2">
        <f t="shared" si="120"/>
        <v>863571.39199999999</v>
      </c>
      <c r="G355" s="2">
        <f t="shared" si="121"/>
        <v>15306.810399999998</v>
      </c>
      <c r="H355" s="2">
        <f t="shared" si="122"/>
        <v>53573.836399999993</v>
      </c>
      <c r="I355" s="2">
        <f t="shared" si="123"/>
        <v>35.278414371683866</v>
      </c>
      <c r="J355" s="2">
        <f t="shared" si="124"/>
        <v>16.119274818258116</v>
      </c>
      <c r="K355">
        <f t="shared" si="125"/>
        <v>2095176874487138.8</v>
      </c>
      <c r="L355" s="13">
        <f t="shared" si="133"/>
        <v>324929598.02931201</v>
      </c>
      <c r="M355" s="2">
        <f t="shared" si="126"/>
        <v>10011798.627908969</v>
      </c>
      <c r="N355" s="2">
        <f t="shared" si="127"/>
        <v>1.3672581182751291E+18</v>
      </c>
      <c r="O355" s="2">
        <f t="shared" si="128"/>
        <v>4323649803105277</v>
      </c>
      <c r="P355" s="2">
        <f t="shared" si="129"/>
        <v>1.8810481395027486E+22</v>
      </c>
      <c r="Q355" s="2">
        <f t="shared" si="134"/>
        <v>1.3159648720187136E+20</v>
      </c>
    </row>
    <row r="356" spans="1:17" x14ac:dyDescent="0.2">
      <c r="A356">
        <f t="shared" si="130"/>
        <v>735</v>
      </c>
      <c r="B356">
        <f t="shared" si="118"/>
        <v>735000</v>
      </c>
      <c r="C356" s="1">
        <f t="shared" si="131"/>
        <v>23794155000</v>
      </c>
      <c r="D356">
        <f t="shared" si="119"/>
        <v>1840.5</v>
      </c>
      <c r="E356" s="2">
        <f t="shared" si="132"/>
        <v>540000</v>
      </c>
      <c r="F356" s="2">
        <f t="shared" si="120"/>
        <v>863118.16999999993</v>
      </c>
      <c r="G356" s="2">
        <f t="shared" si="121"/>
        <v>15302.653199999999</v>
      </c>
      <c r="H356" s="2">
        <f t="shared" si="122"/>
        <v>53559.286199999995</v>
      </c>
      <c r="I356" s="2">
        <f t="shared" si="123"/>
        <v>35.287998293001898</v>
      </c>
      <c r="J356" s="2">
        <f t="shared" si="124"/>
        <v>16.115191804031173</v>
      </c>
      <c r="K356">
        <f t="shared" si="125"/>
        <v>2115353415553636.8</v>
      </c>
      <c r="L356" s="13">
        <f t="shared" si="133"/>
        <v>326664267.3582629</v>
      </c>
      <c r="M356" s="2">
        <f t="shared" si="126"/>
        <v>9971003.651582716</v>
      </c>
      <c r="N356" s="2">
        <f t="shared" si="127"/>
        <v>1.3804248059699968E+18</v>
      </c>
      <c r="O356" s="2">
        <f t="shared" si="128"/>
        <v>4365286525461170.5</v>
      </c>
      <c r="P356" s="2">
        <f t="shared" si="129"/>
        <v>1.8733834513511468E+22</v>
      </c>
      <c r="Q356" s="2">
        <f t="shared" si="134"/>
        <v>1.3229902828009647E+20</v>
      </c>
    </row>
    <row r="357" spans="1:17" x14ac:dyDescent="0.2">
      <c r="A357">
        <f t="shared" si="130"/>
        <v>734</v>
      </c>
      <c r="B357">
        <f t="shared" si="118"/>
        <v>734000</v>
      </c>
      <c r="C357" s="1">
        <f t="shared" si="131"/>
        <v>23761782000</v>
      </c>
      <c r="D357">
        <f t="shared" si="119"/>
        <v>1840</v>
      </c>
      <c r="E357" s="2">
        <f t="shared" si="132"/>
        <v>540000</v>
      </c>
      <c r="F357" s="2">
        <f t="shared" si="120"/>
        <v>862664.94799999997</v>
      </c>
      <c r="G357" s="2">
        <f t="shared" si="121"/>
        <v>15298.495999999999</v>
      </c>
      <c r="H357" s="2">
        <f t="shared" si="122"/>
        <v>53544.735999999997</v>
      </c>
      <c r="I357" s="2">
        <f t="shared" si="123"/>
        <v>35.297587422972825</v>
      </c>
      <c r="J357" s="2">
        <f t="shared" si="124"/>
        <v>16.111106570774762</v>
      </c>
      <c r="K357">
        <f t="shared" si="125"/>
        <v>2135735380868084.5</v>
      </c>
      <c r="L357" s="13">
        <f t="shared" si="133"/>
        <v>328409147.70871717</v>
      </c>
      <c r="M357" s="2">
        <f t="shared" si="126"/>
        <v>9930352.8663708009</v>
      </c>
      <c r="N357" s="2">
        <f t="shared" si="127"/>
        <v>1.3937255482041828E+18</v>
      </c>
      <c r="O357" s="2">
        <f t="shared" si="128"/>
        <v>4407347165491995</v>
      </c>
      <c r="P357" s="2">
        <f t="shared" si="129"/>
        <v>1.8657458542785247E+22</v>
      </c>
      <c r="Q357" s="2">
        <f t="shared" si="134"/>
        <v>1.3300570482203045E+20</v>
      </c>
    </row>
    <row r="358" spans="1:17" x14ac:dyDescent="0.2">
      <c r="A358">
        <f t="shared" si="130"/>
        <v>733</v>
      </c>
      <c r="B358">
        <f t="shared" si="118"/>
        <v>733000</v>
      </c>
      <c r="C358" s="1">
        <f t="shared" si="131"/>
        <v>23729409000</v>
      </c>
      <c r="D358">
        <f t="shared" si="119"/>
        <v>1839.5</v>
      </c>
      <c r="E358" s="2">
        <f t="shared" si="132"/>
        <v>540000</v>
      </c>
      <c r="F358" s="2">
        <f t="shared" si="120"/>
        <v>862211.72600000002</v>
      </c>
      <c r="G358" s="2">
        <f t="shared" si="121"/>
        <v>15294.338799999998</v>
      </c>
      <c r="H358" s="2">
        <f t="shared" si="122"/>
        <v>53530.185799999992</v>
      </c>
      <c r="I358" s="2">
        <f t="shared" si="123"/>
        <v>35.307181765843978</v>
      </c>
      <c r="J358" s="2">
        <f t="shared" si="124"/>
        <v>16.1070191166794</v>
      </c>
      <c r="K358">
        <f t="shared" si="125"/>
        <v>2156324972252335.8</v>
      </c>
      <c r="L358" s="13">
        <f t="shared" si="133"/>
        <v>330164304.52730364</v>
      </c>
      <c r="M358" s="2">
        <f t="shared" si="126"/>
        <v>9889845.8465675842</v>
      </c>
      <c r="N358" s="2">
        <f t="shared" si="127"/>
        <v>1.4071617818295544E+18</v>
      </c>
      <c r="O358" s="2">
        <f t="shared" si="128"/>
        <v>4449836266922310.5</v>
      </c>
      <c r="P358" s="2">
        <f t="shared" si="129"/>
        <v>1.8581352683019713E+22</v>
      </c>
      <c r="Q358" s="2">
        <f t="shared" si="134"/>
        <v>1.3371654333355798E+20</v>
      </c>
    </row>
    <row r="359" spans="1:17" x14ac:dyDescent="0.2">
      <c r="A359">
        <f t="shared" si="130"/>
        <v>732</v>
      </c>
      <c r="B359">
        <f t="shared" si="118"/>
        <v>732000</v>
      </c>
      <c r="C359" s="1">
        <f t="shared" si="131"/>
        <v>23697036000</v>
      </c>
      <c r="D359">
        <f t="shared" si="119"/>
        <v>1839</v>
      </c>
      <c r="E359" s="2">
        <f t="shared" si="132"/>
        <v>540000</v>
      </c>
      <c r="F359" s="2">
        <f t="shared" si="120"/>
        <v>861758.50399999996</v>
      </c>
      <c r="G359" s="2">
        <f t="shared" si="121"/>
        <v>15290.181599999998</v>
      </c>
      <c r="H359" s="2">
        <f t="shared" si="122"/>
        <v>53515.635599999994</v>
      </c>
      <c r="I359" s="2">
        <f t="shared" si="123"/>
        <v>35.316781325867318</v>
      </c>
      <c r="J359" s="2">
        <f t="shared" si="124"/>
        <v>16.102929439933625</v>
      </c>
      <c r="K359">
        <f t="shared" si="125"/>
        <v>2177124416284172.5</v>
      </c>
      <c r="L359" s="13">
        <f t="shared" si="133"/>
        <v>331929803.71312201</v>
      </c>
      <c r="M359" s="2">
        <f t="shared" si="126"/>
        <v>9849482.1674479116</v>
      </c>
      <c r="N359" s="2">
        <f t="shared" si="127"/>
        <v>1.4207349598530563E+18</v>
      </c>
      <c r="O359" s="2">
        <f t="shared" si="128"/>
        <v>4492758424563518.5</v>
      </c>
      <c r="P359" s="2">
        <f t="shared" si="129"/>
        <v>1.8505516136227918E+22</v>
      </c>
      <c r="Q359" s="2">
        <f t="shared" si="134"/>
        <v>1.3443157050381441E+20</v>
      </c>
    </row>
    <row r="360" spans="1:17" x14ac:dyDescent="0.2">
      <c r="A360">
        <f t="shared" si="130"/>
        <v>731</v>
      </c>
      <c r="B360">
        <f t="shared" si="118"/>
        <v>731000</v>
      </c>
      <c r="C360" s="1">
        <f t="shared" si="131"/>
        <v>23664663000</v>
      </c>
      <c r="D360">
        <f t="shared" si="119"/>
        <v>1838.5</v>
      </c>
      <c r="E360" s="2">
        <f t="shared" si="132"/>
        <v>540000</v>
      </c>
      <c r="F360" s="2">
        <f t="shared" si="120"/>
        <v>861305.28200000001</v>
      </c>
      <c r="G360" s="2">
        <f t="shared" si="121"/>
        <v>15286.024399999998</v>
      </c>
      <c r="H360" s="2">
        <f t="shared" si="122"/>
        <v>53501.085399999996</v>
      </c>
      <c r="I360" s="2">
        <f t="shared" si="123"/>
        <v>35.326386107299427</v>
      </c>
      <c r="J360" s="2">
        <f t="shared" si="124"/>
        <v>16.09883753872403</v>
      </c>
      <c r="K360">
        <f t="shared" si="125"/>
        <v>2198135964588370</v>
      </c>
      <c r="L360" s="13">
        <f t="shared" si="133"/>
        <v>333705711.62110275</v>
      </c>
      <c r="M360" s="2">
        <f t="shared" si="126"/>
        <v>9809261.4052659608</v>
      </c>
      <c r="N360" s="2">
        <f t="shared" si="127"/>
        <v>1.4344465516266511E+18</v>
      </c>
      <c r="O360" s="2">
        <f t="shared" si="128"/>
        <v>4536118284914506</v>
      </c>
      <c r="P360" s="2">
        <f t="shared" si="129"/>
        <v>1.8429948106262914E+22</v>
      </c>
      <c r="Q360" s="2">
        <f t="shared" si="134"/>
        <v>1.3515081320654661E+20</v>
      </c>
    </row>
    <row r="361" spans="1:17" x14ac:dyDescent="0.2">
      <c r="A361">
        <f t="shared" si="130"/>
        <v>730</v>
      </c>
      <c r="B361">
        <f t="shared" si="118"/>
        <v>730000</v>
      </c>
      <c r="C361" s="1">
        <f t="shared" si="131"/>
        <v>23632290000</v>
      </c>
      <c r="D361">
        <f t="shared" si="119"/>
        <v>1838</v>
      </c>
      <c r="E361" s="2">
        <f t="shared" si="132"/>
        <v>540000</v>
      </c>
      <c r="F361" s="2">
        <f t="shared" si="120"/>
        <v>860852.06</v>
      </c>
      <c r="G361" s="2">
        <f t="shared" si="121"/>
        <v>15281.867199999999</v>
      </c>
      <c r="H361" s="2">
        <f t="shared" si="122"/>
        <v>53486.535199999991</v>
      </c>
      <c r="I361" s="2">
        <f t="shared" si="123"/>
        <v>35.335996114401517</v>
      </c>
      <c r="J361" s="2">
        <f t="shared" si="124"/>
        <v>16.094743411235211</v>
      </c>
      <c r="K361">
        <f t="shared" si="125"/>
        <v>2219361894131331</v>
      </c>
      <c r="L361" s="13">
        <f t="shared" si="133"/>
        <v>335492095.06537074</v>
      </c>
      <c r="M361" s="2">
        <f t="shared" si="126"/>
        <v>9769183.1372532751</v>
      </c>
      <c r="N361" s="2">
        <f t="shared" si="127"/>
        <v>1.4482980430395912E+18</v>
      </c>
      <c r="O361" s="2">
        <f t="shared" si="128"/>
        <v>4579920546769660</v>
      </c>
      <c r="P361" s="2">
        <f t="shared" si="129"/>
        <v>1.835464779881406E+22</v>
      </c>
      <c r="Q361" s="2">
        <f t="shared" si="134"/>
        <v>1.3587429850147516E+20</v>
      </c>
    </row>
    <row r="362" spans="1:17" x14ac:dyDescent="0.2">
      <c r="A362">
        <f t="shared" si="130"/>
        <v>729</v>
      </c>
      <c r="B362">
        <f t="shared" si="118"/>
        <v>729000</v>
      </c>
      <c r="C362" s="1">
        <f t="shared" si="131"/>
        <v>23599917000</v>
      </c>
      <c r="D362">
        <f t="shared" si="119"/>
        <v>1837.5</v>
      </c>
      <c r="E362" s="2">
        <f t="shared" si="132"/>
        <v>540000</v>
      </c>
      <c r="F362" s="2">
        <f t="shared" si="120"/>
        <v>860398.83799999999</v>
      </c>
      <c r="G362" s="2">
        <f t="shared" si="121"/>
        <v>15277.71</v>
      </c>
      <c r="H362" s="2">
        <f t="shared" si="122"/>
        <v>53471.984999999993</v>
      </c>
      <c r="I362" s="2">
        <f t="shared" si="123"/>
        <v>35.345611351439452</v>
      </c>
      <c r="J362" s="2">
        <f t="shared" si="124"/>
        <v>16.090647055649796</v>
      </c>
      <c r="K362">
        <f t="shared" si="125"/>
        <v>2240804507519396</v>
      </c>
      <c r="L362" s="13">
        <f t="shared" si="133"/>
        <v>337289021.32265955</v>
      </c>
      <c r="M362" s="2">
        <f t="shared" si="126"/>
        <v>9729246.9416176081</v>
      </c>
      <c r="N362" s="2">
        <f t="shared" si="127"/>
        <v>1.4622909367130875E+18</v>
      </c>
      <c r="O362" s="2">
        <f t="shared" si="128"/>
        <v>4624169961834469</v>
      </c>
      <c r="P362" s="2">
        <f t="shared" si="129"/>
        <v>1.8279614421404851E+22</v>
      </c>
      <c r="Q362" s="2">
        <f t="shared" si="134"/>
        <v>1.3660205363567713E+20</v>
      </c>
    </row>
    <row r="363" spans="1:17" x14ac:dyDescent="0.2">
      <c r="A363">
        <f t="shared" si="130"/>
        <v>728</v>
      </c>
      <c r="B363">
        <f t="shared" si="118"/>
        <v>728000</v>
      </c>
      <c r="C363" s="1">
        <f t="shared" si="131"/>
        <v>23567544000</v>
      </c>
      <c r="D363">
        <f t="shared" si="119"/>
        <v>1837</v>
      </c>
      <c r="E363" s="2">
        <f t="shared" si="132"/>
        <v>540000</v>
      </c>
      <c r="F363" s="2">
        <f t="shared" si="120"/>
        <v>859945.61599999992</v>
      </c>
      <c r="G363" s="2">
        <f t="shared" si="121"/>
        <v>15273.552799999998</v>
      </c>
      <c r="H363" s="2">
        <f t="shared" si="122"/>
        <v>53457.434799999995</v>
      </c>
      <c r="I363" s="2">
        <f t="shared" si="123"/>
        <v>35.35523182268372</v>
      </c>
      <c r="J363" s="2">
        <f t="shared" si="124"/>
        <v>16.08654847014844</v>
      </c>
      <c r="K363">
        <f t="shared" si="125"/>
        <v>2262466133300690.5</v>
      </c>
      <c r="L363" s="13">
        <f t="shared" si="133"/>
        <v>339096558.13573152</v>
      </c>
      <c r="M363" s="2">
        <f t="shared" si="126"/>
        <v>9689452.3975413181</v>
      </c>
      <c r="N363" s="2">
        <f t="shared" si="127"/>
        <v>1.4764267521972874E+18</v>
      </c>
      <c r="O363" s="2">
        <f t="shared" si="128"/>
        <v>4668871335348416</v>
      </c>
      <c r="P363" s="2">
        <f t="shared" si="129"/>
        <v>1.8204847183389897E+22</v>
      </c>
      <c r="Q363" s="2">
        <f t="shared" si="134"/>
        <v>1.3733410604497127E+20</v>
      </c>
    </row>
    <row r="364" spans="1:17" x14ac:dyDescent="0.2">
      <c r="A364">
        <f t="shared" si="130"/>
        <v>727</v>
      </c>
      <c r="B364">
        <f t="shared" si="118"/>
        <v>727000</v>
      </c>
      <c r="C364" s="1">
        <f t="shared" si="131"/>
        <v>23535171000</v>
      </c>
      <c r="D364">
        <f t="shared" si="119"/>
        <v>1836.5</v>
      </c>
      <c r="E364" s="2">
        <f t="shared" si="132"/>
        <v>540000</v>
      </c>
      <c r="F364" s="2">
        <f t="shared" si="120"/>
        <v>859492.39399999997</v>
      </c>
      <c r="G364" s="2">
        <f t="shared" si="121"/>
        <v>15269.395599999998</v>
      </c>
      <c r="H364" s="2">
        <f t="shared" si="122"/>
        <v>53442.884599999998</v>
      </c>
      <c r="I364" s="2">
        <f t="shared" si="123"/>
        <v>35.364857532409474</v>
      </c>
      <c r="J364" s="2">
        <f t="shared" si="124"/>
        <v>16.082447652909813</v>
      </c>
      <c r="K364">
        <f t="shared" si="125"/>
        <v>2284349126270822</v>
      </c>
      <c r="L364" s="13">
        <f t="shared" si="133"/>
        <v>340914773.71683925</v>
      </c>
      <c r="M364" s="2">
        <f t="shared" si="126"/>
        <v>9649799.0851798933</v>
      </c>
      <c r="N364" s="2">
        <f t="shared" si="127"/>
        <v>1.4907070261707645E+18</v>
      </c>
      <c r="O364" s="2">
        <f t="shared" si="128"/>
        <v>4714029526715827</v>
      </c>
      <c r="P364" s="2">
        <f t="shared" si="129"/>
        <v>1.8130345295952157E+22</v>
      </c>
      <c r="Q364" s="2">
        <f t="shared" si="134"/>
        <v>1.3807048335531989E+20</v>
      </c>
    </row>
    <row r="365" spans="1:17" x14ac:dyDescent="0.2">
      <c r="A365">
        <f t="shared" si="130"/>
        <v>726</v>
      </c>
      <c r="B365">
        <f t="shared" si="118"/>
        <v>726000</v>
      </c>
      <c r="C365" s="1">
        <f t="shared" si="131"/>
        <v>23502798000</v>
      </c>
      <c r="D365">
        <f t="shared" si="119"/>
        <v>1836</v>
      </c>
      <c r="E365" s="2">
        <f t="shared" si="132"/>
        <v>540000</v>
      </c>
      <c r="F365" s="2">
        <f t="shared" si="120"/>
        <v>859039.17200000002</v>
      </c>
      <c r="G365" s="2">
        <f t="shared" si="121"/>
        <v>15265.238399999998</v>
      </c>
      <c r="H365" s="2">
        <f t="shared" si="122"/>
        <v>53428.334399999992</v>
      </c>
      <c r="I365" s="2">
        <f t="shared" si="123"/>
        <v>35.37448848489651</v>
      </c>
      <c r="J365" s="2">
        <f t="shared" si="124"/>
        <v>16.078344602110601</v>
      </c>
      <c r="K365">
        <f t="shared" si="125"/>
        <v>2306455867782219.5</v>
      </c>
      <c r="L365" s="13">
        <f t="shared" si="133"/>
        <v>342743736.75120819</v>
      </c>
      <c r="M365" s="2">
        <f t="shared" si="126"/>
        <v>9610286.585660385</v>
      </c>
      <c r="N365" s="2">
        <f t="shared" si="127"/>
        <v>1.5051333126423859E+18</v>
      </c>
      <c r="O365" s="2">
        <f t="shared" si="128"/>
        <v>4759649450144224</v>
      </c>
      <c r="P365" s="2">
        <f t="shared" si="129"/>
        <v>1.8056107972099991E+22</v>
      </c>
      <c r="Q365" s="2">
        <f t="shared" si="134"/>
        <v>1.3881121338423932E+20</v>
      </c>
    </row>
    <row r="366" spans="1:17" x14ac:dyDescent="0.2">
      <c r="A366">
        <f t="shared" si="130"/>
        <v>725</v>
      </c>
      <c r="B366">
        <f t="shared" si="118"/>
        <v>725000</v>
      </c>
      <c r="C366" s="1">
        <f t="shared" si="131"/>
        <v>23470425000</v>
      </c>
      <c r="D366">
        <f t="shared" si="119"/>
        <v>1835.5</v>
      </c>
      <c r="E366" s="2">
        <f t="shared" si="132"/>
        <v>540000</v>
      </c>
      <c r="F366" s="2">
        <f t="shared" si="120"/>
        <v>858585.95</v>
      </c>
      <c r="G366" s="2">
        <f t="shared" si="121"/>
        <v>15261.081199999999</v>
      </c>
      <c r="H366" s="2">
        <f t="shared" si="122"/>
        <v>53413.784199999995</v>
      </c>
      <c r="I366" s="2">
        <f t="shared" si="123"/>
        <v>35.38412468442931</v>
      </c>
      <c r="J366" s="2">
        <f t="shared" si="124"/>
        <v>16.074239315925496</v>
      </c>
      <c r="K366">
        <f t="shared" si="125"/>
        <v>2328788766057393.5</v>
      </c>
      <c r="L366" s="13">
        <f t="shared" si="133"/>
        <v>344583516.4005506</v>
      </c>
      <c r="M366" s="2">
        <f t="shared" si="126"/>
        <v>9570914.4810799342</v>
      </c>
      <c r="N366" s="2">
        <f t="shared" si="127"/>
        <v>1.5197071831557376E+18</v>
      </c>
      <c r="O366" s="2">
        <f t="shared" si="128"/>
        <v>4805736075290783</v>
      </c>
      <c r="P366" s="2">
        <f t="shared" si="129"/>
        <v>1.7982134426664398E+22</v>
      </c>
      <c r="Q366" s="2">
        <f t="shared" si="134"/>
        <v>1.39556324142223E+20</v>
      </c>
    </row>
    <row r="367" spans="1:17" x14ac:dyDescent="0.2">
      <c r="A367">
        <f t="shared" si="130"/>
        <v>724</v>
      </c>
      <c r="B367">
        <f t="shared" si="118"/>
        <v>724000</v>
      </c>
      <c r="C367" s="1">
        <f t="shared" si="131"/>
        <v>23438052000</v>
      </c>
      <c r="D367">
        <f t="shared" si="119"/>
        <v>1835</v>
      </c>
      <c r="E367" s="2">
        <f t="shared" si="132"/>
        <v>540000</v>
      </c>
      <c r="F367" s="2">
        <f t="shared" si="120"/>
        <v>858132.728</v>
      </c>
      <c r="G367" s="2">
        <f t="shared" si="121"/>
        <v>15256.923999999999</v>
      </c>
      <c r="H367" s="2">
        <f t="shared" si="122"/>
        <v>53399.233999999997</v>
      </c>
      <c r="I367" s="2">
        <f t="shared" si="123"/>
        <v>35.393766135297</v>
      </c>
      <c r="J367" s="2">
        <f t="shared" si="124"/>
        <v>16.070131792527214</v>
      </c>
      <c r="K367">
        <f t="shared" si="125"/>
        <v>2351350256505879</v>
      </c>
      <c r="L367" s="13">
        <f t="shared" si="133"/>
        <v>346434182.30659992</v>
      </c>
      <c r="M367" s="2">
        <f t="shared" si="126"/>
        <v>9531682.3545044083</v>
      </c>
      <c r="N367" s="2">
        <f t="shared" si="127"/>
        <v>1.5344302269959524E+18</v>
      </c>
      <c r="O367" s="2">
        <f t="shared" si="128"/>
        <v>4852294427916374</v>
      </c>
      <c r="P367" s="2">
        <f t="shared" si="129"/>
        <v>1.7908423876296443E+22</v>
      </c>
      <c r="Q367" s="2">
        <f t="shared" si="134"/>
        <v>1.4030584383417296E+20</v>
      </c>
    </row>
    <row r="368" spans="1:17" x14ac:dyDescent="0.2">
      <c r="A368">
        <f t="shared" si="130"/>
        <v>723</v>
      </c>
      <c r="B368">
        <f t="shared" si="118"/>
        <v>723000</v>
      </c>
      <c r="C368" s="1">
        <f t="shared" si="131"/>
        <v>23405679000</v>
      </c>
      <c r="D368">
        <f t="shared" si="119"/>
        <v>1834.5</v>
      </c>
      <c r="E368" s="2">
        <f t="shared" si="132"/>
        <v>540000</v>
      </c>
      <c r="F368" s="2">
        <f t="shared" si="120"/>
        <v>857679.50600000005</v>
      </c>
      <c r="G368" s="2">
        <f t="shared" si="121"/>
        <v>15252.766799999998</v>
      </c>
      <c r="H368" s="2">
        <f t="shared" si="122"/>
        <v>53384.683799999992</v>
      </c>
      <c r="I368" s="2">
        <f t="shared" si="123"/>
        <v>35.403412841793404</v>
      </c>
      <c r="J368" s="2">
        <f t="shared" si="124"/>
        <v>16.066022030086469</v>
      </c>
      <c r="K368">
        <f t="shared" si="125"/>
        <v>2374142802045284</v>
      </c>
      <c r="L368" s="13">
        <f t="shared" si="133"/>
        <v>348295804.59468263</v>
      </c>
      <c r="M368" s="2">
        <f t="shared" si="126"/>
        <v>9492589.7899667285</v>
      </c>
      <c r="N368" s="2">
        <f t="shared" si="127"/>
        <v>1.5493040513992192E+18</v>
      </c>
      <c r="O368" s="2">
        <f t="shared" si="128"/>
        <v>4899329590548091</v>
      </c>
      <c r="P368" s="2">
        <f t="shared" si="129"/>
        <v>1.7834975539464132E+22</v>
      </c>
      <c r="Q368" s="2">
        <f t="shared" si="134"/>
        <v>1.4105980086084647E+20</v>
      </c>
    </row>
    <row r="369" spans="1:17" x14ac:dyDescent="0.2">
      <c r="A369">
        <f t="shared" si="130"/>
        <v>722</v>
      </c>
      <c r="B369">
        <f t="shared" ref="B369:B394" si="135">A369*1000</f>
        <v>722000</v>
      </c>
      <c r="C369" s="1">
        <f t="shared" si="131"/>
        <v>23373306000</v>
      </c>
      <c r="D369">
        <f t="shared" si="119"/>
        <v>1834</v>
      </c>
      <c r="E369" s="2">
        <f t="shared" si="132"/>
        <v>540000</v>
      </c>
      <c r="F369" s="2">
        <f t="shared" si="120"/>
        <v>857226.28399999999</v>
      </c>
      <c r="G369" s="2">
        <f t="shared" si="121"/>
        <v>15248.609599999998</v>
      </c>
      <c r="H369" s="2">
        <f t="shared" si="122"/>
        <v>53370.133599999994</v>
      </c>
      <c r="I369" s="2">
        <f t="shared" si="123"/>
        <v>35.413064808217008</v>
      </c>
      <c r="J369" s="2">
        <f t="shared" si="124"/>
        <v>16.061910026771979</v>
      </c>
      <c r="K369">
        <f t="shared" si="125"/>
        <v>2397168893426084</v>
      </c>
      <c r="L369" s="13">
        <f t="shared" si="133"/>
        <v>350168453.87730885</v>
      </c>
      <c r="M369" s="2">
        <f t="shared" si="126"/>
        <v>9453636.372465441</v>
      </c>
      <c r="N369" s="2">
        <f t="shared" si="127"/>
        <v>1.5643302817647345E+18</v>
      </c>
      <c r="O369" s="2">
        <f t="shared" si="128"/>
        <v>4946846703149503</v>
      </c>
      <c r="P369" s="2">
        <f t="shared" si="129"/>
        <v>1.7761788636449709E+22</v>
      </c>
      <c r="Q369" s="2">
        <f t="shared" si="134"/>
        <v>1.4181822382031009E+20</v>
      </c>
    </row>
    <row r="370" spans="1:17" x14ac:dyDescent="0.2">
      <c r="A370">
        <f t="shared" si="130"/>
        <v>721</v>
      </c>
      <c r="B370">
        <f t="shared" si="135"/>
        <v>721000</v>
      </c>
      <c r="C370" s="1">
        <f t="shared" si="131"/>
        <v>23340933000</v>
      </c>
      <c r="D370">
        <f t="shared" ref="D370:D394" si="136">IF(A370&gt;$B$4,$B$2+(A370-$B$4)*$B$5,$B$6+(($B$2-$B$6)/$B$4)*(A370))</f>
        <v>1833.5</v>
      </c>
      <c r="E370" s="2">
        <f t="shared" si="132"/>
        <v>540000</v>
      </c>
      <c r="F370" s="2">
        <f t="shared" ref="F370:F394" si="137">+$F$20+$H$15*C370*(0.000001)</f>
        <v>856773.06199999992</v>
      </c>
      <c r="G370" s="2">
        <f t="shared" ref="G370:G394" si="138">+$B$17*D370</f>
        <v>15244.452399999998</v>
      </c>
      <c r="H370" s="2">
        <f t="shared" ref="H370:H394" si="139">+$B$23*$B$17*D370</f>
        <v>53355.583399999996</v>
      </c>
      <c r="I370" s="2">
        <f t="shared" ref="I370:I394" si="140">+E370/G370</f>
        <v>35.422722038871008</v>
      </c>
      <c r="J370" s="2">
        <f t="shared" ref="J370:J394" si="141">+F370/H370</f>
        <v>16.057795780750475</v>
      </c>
      <c r="K370">
        <f t="shared" ref="K370:K394" si="142">+EXP(I370)</f>
        <v>2420431049560622</v>
      </c>
      <c r="L370" s="13">
        <f t="shared" si="133"/>
        <v>352052201.25780231</v>
      </c>
      <c r="M370" s="2">
        <f t="shared" ref="M370:M394" si="143">+EXP(J370)</f>
        <v>9414821.6879633125</v>
      </c>
      <c r="N370" s="2">
        <f t="shared" ref="N370:N394" si="144">+$B$13*(($B$15/$B$21)^($B$23-1))*K370</f>
        <v>1.579510561869399E+18</v>
      </c>
      <c r="O370" s="2">
        <f t="shared" ref="O370:O394" si="145">+$B$13*(($B$15/$B$22)^($B$23-1))*K370</f>
        <v>4994850963799583</v>
      </c>
      <c r="P370" s="2">
        <f t="shared" ref="P370:P394" si="146">(1000000)*($F$18^(-1/$B$23))*($F$19^((1/$B$23)-1))*M370</f>
        <v>1.7688862389347029E+22</v>
      </c>
      <c r="Q370" s="2">
        <f t="shared" si="134"/>
        <v>1.4258114150940993E+20</v>
      </c>
    </row>
    <row r="371" spans="1:17" x14ac:dyDescent="0.2">
      <c r="A371">
        <f t="shared" si="130"/>
        <v>720</v>
      </c>
      <c r="B371">
        <f t="shared" si="135"/>
        <v>720000</v>
      </c>
      <c r="C371" s="1">
        <f t="shared" si="131"/>
        <v>23308560000</v>
      </c>
      <c r="D371">
        <f t="shared" si="136"/>
        <v>1833</v>
      </c>
      <c r="E371" s="2">
        <f t="shared" si="132"/>
        <v>540000</v>
      </c>
      <c r="F371" s="2">
        <f t="shared" si="137"/>
        <v>856319.84</v>
      </c>
      <c r="G371" s="2">
        <f t="shared" si="138"/>
        <v>15240.295199999999</v>
      </c>
      <c r="H371" s="2">
        <f t="shared" si="139"/>
        <v>53341.033199999991</v>
      </c>
      <c r="I371" s="2">
        <f t="shared" si="140"/>
        <v>35.432384538063282</v>
      </c>
      <c r="J371" s="2">
        <f t="shared" si="141"/>
        <v>16.053679290186679</v>
      </c>
      <c r="K371">
        <f t="shared" si="142"/>
        <v>2443931817855980</v>
      </c>
      <c r="L371" s="13">
        <f t="shared" si="133"/>
        <v>353947118.33394659</v>
      </c>
      <c r="M371" s="2">
        <f t="shared" si="143"/>
        <v>9376145.3233857341</v>
      </c>
      <c r="N371" s="2">
        <f t="shared" si="144"/>
        <v>1.5948465540850427E+18</v>
      </c>
      <c r="O371" s="2">
        <f t="shared" si="145"/>
        <v>5043347629379628</v>
      </c>
      <c r="P371" s="2">
        <f t="shared" si="146"/>
        <v>1.761619602205856E+22</v>
      </c>
      <c r="Q371" s="2">
        <f t="shared" si="134"/>
        <v>1.4334858292524836E+20</v>
      </c>
    </row>
    <row r="372" spans="1:17" x14ac:dyDescent="0.2">
      <c r="A372">
        <f t="shared" si="130"/>
        <v>719</v>
      </c>
      <c r="B372">
        <f t="shared" si="135"/>
        <v>719000</v>
      </c>
      <c r="C372" s="1">
        <f t="shared" si="131"/>
        <v>23276187000</v>
      </c>
      <c r="D372">
        <f t="shared" si="136"/>
        <v>1832.5</v>
      </c>
      <c r="E372" s="2">
        <f t="shared" si="132"/>
        <v>540000</v>
      </c>
      <c r="F372" s="2">
        <f t="shared" si="137"/>
        <v>855866.61800000002</v>
      </c>
      <c r="G372" s="2">
        <f t="shared" si="138"/>
        <v>15236.137999999999</v>
      </c>
      <c r="H372" s="2">
        <f t="shared" si="139"/>
        <v>53326.482999999993</v>
      </c>
      <c r="I372" s="2">
        <f t="shared" si="140"/>
        <v>35.442052310106412</v>
      </c>
      <c r="J372" s="2">
        <f t="shared" si="141"/>
        <v>16.049560553243314</v>
      </c>
      <c r="K372">
        <f t="shared" si="142"/>
        <v>2467673774551065</v>
      </c>
      <c r="L372" s="13">
        <f t="shared" si="133"/>
        <v>355853277.20167041</v>
      </c>
      <c r="M372" s="2">
        <f t="shared" si="143"/>
        <v>9337606.8666192554</v>
      </c>
      <c r="N372" s="2">
        <f t="shared" si="144"/>
        <v>1.6103399395983956E+18</v>
      </c>
      <c r="O372" s="2">
        <f t="shared" si="145"/>
        <v>5092342016268881</v>
      </c>
      <c r="P372" s="2">
        <f t="shared" si="146"/>
        <v>1.7543788760292615E+22</v>
      </c>
      <c r="Q372" s="2">
        <f t="shared" si="134"/>
        <v>1.4412057726667651E+20</v>
      </c>
    </row>
    <row r="373" spans="1:17" x14ac:dyDescent="0.2">
      <c r="A373">
        <f t="shared" si="130"/>
        <v>718</v>
      </c>
      <c r="B373">
        <f t="shared" si="135"/>
        <v>718000</v>
      </c>
      <c r="C373" s="1">
        <f t="shared" si="131"/>
        <v>23243814000</v>
      </c>
      <c r="D373">
        <f t="shared" si="136"/>
        <v>1832</v>
      </c>
      <c r="E373" s="2">
        <f t="shared" si="132"/>
        <v>540000</v>
      </c>
      <c r="F373" s="2">
        <f t="shared" si="137"/>
        <v>855413.39599999995</v>
      </c>
      <c r="G373" s="2">
        <f t="shared" si="138"/>
        <v>15231.980799999998</v>
      </c>
      <c r="H373" s="2">
        <f t="shared" si="139"/>
        <v>53311.932799999995</v>
      </c>
      <c r="I373" s="2">
        <f t="shared" si="140"/>
        <v>35.451725359317685</v>
      </c>
      <c r="J373" s="2">
        <f t="shared" si="141"/>
        <v>16.04543956808109</v>
      </c>
      <c r="K373">
        <f t="shared" si="142"/>
        <v>2491659525057812.5</v>
      </c>
      <c r="L373" s="13">
        <f t="shared" si="133"/>
        <v>357770750.45875943</v>
      </c>
      <c r="M373" s="2">
        <f t="shared" si="143"/>
        <v>9299205.9065100513</v>
      </c>
      <c r="N373" s="2">
        <f t="shared" si="144"/>
        <v>1.6259924186337516E+18</v>
      </c>
      <c r="O373" s="2">
        <f t="shared" si="145"/>
        <v>5141839501048641</v>
      </c>
      <c r="P373" s="2">
        <f t="shared" si="146"/>
        <v>1.7471639831560493E+22</v>
      </c>
      <c r="Q373" s="2">
        <f t="shared" si="134"/>
        <v>1.4489715393579757E+20</v>
      </c>
    </row>
    <row r="374" spans="1:17" x14ac:dyDescent="0.2">
      <c r="A374">
        <f t="shared" si="130"/>
        <v>717</v>
      </c>
      <c r="B374">
        <f t="shared" si="135"/>
        <v>717000</v>
      </c>
      <c r="C374" s="1">
        <f t="shared" si="131"/>
        <v>23211441000</v>
      </c>
      <c r="D374">
        <f t="shared" si="136"/>
        <v>1831.5</v>
      </c>
      <c r="E374" s="2">
        <f t="shared" si="132"/>
        <v>540000</v>
      </c>
      <c r="F374" s="2">
        <f t="shared" si="137"/>
        <v>854960.174</v>
      </c>
      <c r="G374" s="2">
        <f t="shared" si="138"/>
        <v>15227.823599999998</v>
      </c>
      <c r="H374" s="2">
        <f t="shared" si="139"/>
        <v>53297.382599999997</v>
      </c>
      <c r="I374" s="2">
        <f t="shared" si="140"/>
        <v>35.461403690019111</v>
      </c>
      <c r="J374" s="2">
        <f t="shared" si="141"/>
        <v>16.041316332858717</v>
      </c>
      <c r="K374">
        <f t="shared" si="142"/>
        <v>2515891704306644.5</v>
      </c>
      <c r="L374" s="13">
        <f t="shared" si="133"/>
        <v>359699611.20858872</v>
      </c>
      <c r="M374" s="2">
        <f t="shared" si="143"/>
        <v>9260942.0328625608</v>
      </c>
      <c r="N374" s="2">
        <f t="shared" si="144"/>
        <v>1.6418057106784023E+18</v>
      </c>
      <c r="O374" s="2">
        <f t="shared" si="145"/>
        <v>5191845521215158</v>
      </c>
      <c r="P374" s="2">
        <f t="shared" si="146"/>
        <v>1.7399748465173899E+22</v>
      </c>
      <c r="Q374" s="2">
        <f t="shared" si="134"/>
        <v>1.4567834253947843E+20</v>
      </c>
    </row>
    <row r="375" spans="1:17" x14ac:dyDescent="0.2">
      <c r="A375">
        <f t="shared" si="130"/>
        <v>716</v>
      </c>
      <c r="B375">
        <f t="shared" si="135"/>
        <v>716000</v>
      </c>
      <c r="C375" s="1">
        <f t="shared" si="131"/>
        <v>23179068000</v>
      </c>
      <c r="D375">
        <f t="shared" si="136"/>
        <v>1831</v>
      </c>
      <c r="E375" s="2">
        <f t="shared" si="132"/>
        <v>540000</v>
      </c>
      <c r="F375" s="2">
        <f t="shared" si="137"/>
        <v>854506.95200000005</v>
      </c>
      <c r="G375" s="2">
        <f t="shared" si="138"/>
        <v>15223.666399999998</v>
      </c>
      <c r="H375" s="2">
        <f t="shared" si="139"/>
        <v>53282.832399999992</v>
      </c>
      <c r="I375" s="2">
        <f t="shared" si="140"/>
        <v>35.471087306537413</v>
      </c>
      <c r="J375" s="2">
        <f t="shared" si="141"/>
        <v>16.037190845732898</v>
      </c>
      <c r="K375">
        <f t="shared" si="142"/>
        <v>2540372977096112.5</v>
      </c>
      <c r="L375" s="13">
        <f t="shared" si="133"/>
        <v>361639933.06390119</v>
      </c>
      <c r="M375" s="2">
        <f t="shared" si="143"/>
        <v>9222814.8364379536</v>
      </c>
      <c r="N375" s="2">
        <f t="shared" si="144"/>
        <v>1.6577815547108073E+18</v>
      </c>
      <c r="O375" s="2">
        <f t="shared" si="145"/>
        <v>5242365575901166</v>
      </c>
      <c r="P375" s="2">
        <f t="shared" si="146"/>
        <v>1.732811389224208E+22</v>
      </c>
      <c r="Q375" s="2">
        <f t="shared" si="134"/>
        <v>1.4646417289087998E+20</v>
      </c>
    </row>
    <row r="376" spans="1:17" x14ac:dyDescent="0.2">
      <c r="A376">
        <f t="shared" si="130"/>
        <v>715</v>
      </c>
      <c r="B376">
        <f t="shared" si="135"/>
        <v>715000</v>
      </c>
      <c r="C376" s="1">
        <f t="shared" si="131"/>
        <v>23146695000</v>
      </c>
      <c r="D376">
        <f t="shared" si="136"/>
        <v>1830.5</v>
      </c>
      <c r="E376" s="2">
        <f t="shared" si="132"/>
        <v>540000</v>
      </c>
      <c r="F376" s="2">
        <f t="shared" si="137"/>
        <v>854053.73</v>
      </c>
      <c r="G376" s="2">
        <f t="shared" si="138"/>
        <v>15219.509199999999</v>
      </c>
      <c r="H376" s="2">
        <f t="shared" si="139"/>
        <v>53268.282199999994</v>
      </c>
      <c r="I376" s="2">
        <f t="shared" si="140"/>
        <v>35.480776213204038</v>
      </c>
      <c r="J376" s="2">
        <f t="shared" si="141"/>
        <v>16.0330631048583</v>
      </c>
      <c r="K376">
        <f t="shared" si="142"/>
        <v>2565106038446922.5</v>
      </c>
      <c r="L376" s="13">
        <f t="shared" si="133"/>
        <v>363591790.15060484</v>
      </c>
      <c r="M376" s="2">
        <f t="shared" si="143"/>
        <v>9184823.9089524113</v>
      </c>
      <c r="N376" s="2">
        <f t="shared" si="144"/>
        <v>1.6739217094316201E+18</v>
      </c>
      <c r="O376" s="2">
        <f t="shared" si="145"/>
        <v>5293405226606454</v>
      </c>
      <c r="P376" s="2">
        <f t="shared" si="146"/>
        <v>1.7256735345668587E+22</v>
      </c>
      <c r="Q376" s="2">
        <f t="shared" si="134"/>
        <v>1.4725467501099496E+20</v>
      </c>
    </row>
    <row r="377" spans="1:17" x14ac:dyDescent="0.2">
      <c r="A377">
        <f t="shared" si="130"/>
        <v>714</v>
      </c>
      <c r="B377">
        <f t="shared" si="135"/>
        <v>714000</v>
      </c>
      <c r="C377" s="1">
        <f t="shared" si="131"/>
        <v>23114322000</v>
      </c>
      <c r="D377">
        <f t="shared" si="136"/>
        <v>1830</v>
      </c>
      <c r="E377" s="2">
        <f t="shared" si="132"/>
        <v>540000</v>
      </c>
      <c r="F377" s="2">
        <f t="shared" si="137"/>
        <v>853600.50799999991</v>
      </c>
      <c r="G377" s="2">
        <f t="shared" si="138"/>
        <v>15215.351999999999</v>
      </c>
      <c r="H377" s="2">
        <f t="shared" si="139"/>
        <v>53253.731999999996</v>
      </c>
      <c r="I377" s="2">
        <f t="shared" si="140"/>
        <v>35.490470414355187</v>
      </c>
      <c r="J377" s="2">
        <f t="shared" si="141"/>
        <v>16.028933108387594</v>
      </c>
      <c r="K377">
        <f t="shared" si="142"/>
        <v>2590093613960381.5</v>
      </c>
      <c r="L377" s="13">
        <f t="shared" si="133"/>
        <v>365555257.11160129</v>
      </c>
      <c r="M377" s="2">
        <f t="shared" si="143"/>
        <v>9146968.8430760168</v>
      </c>
      <c r="N377" s="2">
        <f t="shared" si="144"/>
        <v>1.6902279534976028E+18</v>
      </c>
      <c r="O377" s="2">
        <f t="shared" si="145"/>
        <v>5344970097937563</v>
      </c>
      <c r="P377" s="2">
        <f t="shared" si="146"/>
        <v>1.7185612060149192E+22</v>
      </c>
      <c r="Q377" s="2">
        <f t="shared" si="134"/>
        <v>1.4804987913019851E+20</v>
      </c>
    </row>
    <row r="378" spans="1:17" x14ac:dyDescent="0.2">
      <c r="A378">
        <f t="shared" si="130"/>
        <v>713</v>
      </c>
      <c r="B378">
        <f t="shared" si="135"/>
        <v>713000</v>
      </c>
      <c r="C378" s="1">
        <f t="shared" si="131"/>
        <v>23081949000</v>
      </c>
      <c r="D378">
        <f t="shared" si="136"/>
        <v>1829.5</v>
      </c>
      <c r="E378" s="2">
        <f t="shared" si="132"/>
        <v>540000</v>
      </c>
      <c r="F378" s="2">
        <f t="shared" si="137"/>
        <v>853147.28599999996</v>
      </c>
      <c r="G378" s="2">
        <f t="shared" si="138"/>
        <v>15211.194799999999</v>
      </c>
      <c r="H378" s="2">
        <f t="shared" si="139"/>
        <v>53239.181799999991</v>
      </c>
      <c r="I378" s="2">
        <f t="shared" si="140"/>
        <v>35.500169914331778</v>
      </c>
      <c r="J378" s="2">
        <f t="shared" si="141"/>
        <v>16.024800854471437</v>
      </c>
      <c r="K378">
        <f t="shared" si="142"/>
        <v>2615338460181108</v>
      </c>
      <c r="L378" s="13">
        <f t="shared" si="133"/>
        <v>367530409.11064184</v>
      </c>
      <c r="M378" s="2">
        <f t="shared" si="143"/>
        <v>9109249.2324311342</v>
      </c>
      <c r="N378" s="2">
        <f t="shared" si="144"/>
        <v>1.7067020857583191E+18</v>
      </c>
      <c r="O378" s="2">
        <f t="shared" si="145"/>
        <v>5397065878356286</v>
      </c>
      <c r="P378" s="2">
        <f t="shared" si="146"/>
        <v>1.7114743272168841E+22</v>
      </c>
      <c r="Q378" s="2">
        <f t="shared" si="134"/>
        <v>1.4884981568980995E+20</v>
      </c>
    </row>
    <row r="379" spans="1:17" x14ac:dyDescent="0.2">
      <c r="A379">
        <f t="shared" si="130"/>
        <v>712</v>
      </c>
      <c r="B379">
        <f t="shared" si="135"/>
        <v>712000</v>
      </c>
      <c r="C379" s="1">
        <f t="shared" si="131"/>
        <v>23049576000</v>
      </c>
      <c r="D379">
        <f t="shared" si="136"/>
        <v>1829</v>
      </c>
      <c r="E379" s="2">
        <f t="shared" si="132"/>
        <v>540000</v>
      </c>
      <c r="F379" s="2">
        <f t="shared" si="137"/>
        <v>852694.06400000001</v>
      </c>
      <c r="G379" s="2">
        <f t="shared" si="138"/>
        <v>15207.037599999998</v>
      </c>
      <c r="H379" s="2">
        <f t="shared" si="139"/>
        <v>53224.631599999993</v>
      </c>
      <c r="I379" s="2">
        <f t="shared" si="140"/>
        <v>35.509874717479498</v>
      </c>
      <c r="J379" s="2">
        <f t="shared" si="141"/>
        <v>16.020666341258437</v>
      </c>
      <c r="K379">
        <f t="shared" si="142"/>
        <v>2640843364964448.5</v>
      </c>
      <c r="L379" s="13">
        <f t="shared" si="133"/>
        <v>369517321.83622879</v>
      </c>
      <c r="M379" s="2">
        <f t="shared" si="143"/>
        <v>9071664.671590656</v>
      </c>
      <c r="N379" s="2">
        <f t="shared" si="144"/>
        <v>1.7233459254959032E+18</v>
      </c>
      <c r="O379" s="2">
        <f t="shared" si="145"/>
        <v>5449698320937871</v>
      </c>
      <c r="P379" s="2">
        <f t="shared" si="146"/>
        <v>1.7044128219998366E+22</v>
      </c>
      <c r="Q379" s="2">
        <f t="shared" si="134"/>
        <v>1.4965451534367267E+20</v>
      </c>
    </row>
    <row r="380" spans="1:17" x14ac:dyDescent="0.2">
      <c r="A380">
        <f t="shared" si="130"/>
        <v>711</v>
      </c>
      <c r="B380">
        <f t="shared" si="135"/>
        <v>711000</v>
      </c>
      <c r="C380" s="1">
        <f t="shared" si="131"/>
        <v>23017203000</v>
      </c>
      <c r="D380">
        <f t="shared" si="136"/>
        <v>1828.5</v>
      </c>
      <c r="E380" s="2">
        <f t="shared" si="132"/>
        <v>540000</v>
      </c>
      <c r="F380" s="2">
        <f t="shared" si="137"/>
        <v>852240.84199999995</v>
      </c>
      <c r="G380" s="2">
        <f t="shared" si="138"/>
        <v>15202.880399999998</v>
      </c>
      <c r="H380" s="2">
        <f t="shared" si="139"/>
        <v>53210.081399999995</v>
      </c>
      <c r="I380" s="2">
        <f t="shared" si="140"/>
        <v>35.519584828148751</v>
      </c>
      <c r="J380" s="2">
        <f t="shared" si="141"/>
        <v>16.016529566895194</v>
      </c>
      <c r="K380">
        <f t="shared" si="142"/>
        <v>2666611147848186.5</v>
      </c>
      <c r="L380" s="13">
        <f t="shared" si="133"/>
        <v>371516071.5055269</v>
      </c>
      <c r="M380" s="2">
        <f t="shared" si="143"/>
        <v>9034214.7560768668</v>
      </c>
      <c r="N380" s="2">
        <f t="shared" si="144"/>
        <v>1.7401613126676262E+18</v>
      </c>
      <c r="O380" s="2">
        <f t="shared" si="145"/>
        <v>5502873244138092</v>
      </c>
      <c r="P380" s="2">
        <f t="shared" si="146"/>
        <v>1.6973766143692339E+22</v>
      </c>
      <c r="Q380" s="2">
        <f t="shared" si="134"/>
        <v>1.5046400895973838E+20</v>
      </c>
    </row>
    <row r="381" spans="1:17" x14ac:dyDescent="0.2">
      <c r="A381">
        <f t="shared" si="130"/>
        <v>710</v>
      </c>
      <c r="B381">
        <f t="shared" si="135"/>
        <v>710000</v>
      </c>
      <c r="C381" s="1">
        <f t="shared" si="131"/>
        <v>22984830000</v>
      </c>
      <c r="D381">
        <f t="shared" si="136"/>
        <v>1828</v>
      </c>
      <c r="E381" s="2">
        <f t="shared" si="132"/>
        <v>540000</v>
      </c>
      <c r="F381" s="2">
        <f t="shared" si="137"/>
        <v>851787.62</v>
      </c>
      <c r="G381" s="2">
        <f t="shared" si="138"/>
        <v>15198.723199999999</v>
      </c>
      <c r="H381" s="2">
        <f t="shared" si="139"/>
        <v>53195.531199999998</v>
      </c>
      <c r="I381" s="2">
        <f t="shared" si="140"/>
        <v>35.529300250694746</v>
      </c>
      <c r="J381" s="2">
        <f t="shared" si="141"/>
        <v>16.012390529526286</v>
      </c>
      <c r="K381">
        <f t="shared" si="142"/>
        <v>2692644660429208</v>
      </c>
      <c r="L381" s="13">
        <f t="shared" si="133"/>
        <v>373526734.86832148</v>
      </c>
      <c r="M381" s="2">
        <f t="shared" si="143"/>
        <v>8996899.0823598802</v>
      </c>
      <c r="N381" s="2">
        <f t="shared" si="144"/>
        <v>1.7571501081516984E+18</v>
      </c>
      <c r="O381" s="2">
        <f t="shared" si="145"/>
        <v>5556596532570542</v>
      </c>
      <c r="P381" s="2">
        <f t="shared" si="146"/>
        <v>1.6903656285086155E+22</v>
      </c>
      <c r="Q381" s="2">
        <f t="shared" si="134"/>
        <v>1.5127832762167021E+20</v>
      </c>
    </row>
    <row r="382" spans="1:17" x14ac:dyDescent="0.2">
      <c r="A382">
        <f t="shared" si="130"/>
        <v>709</v>
      </c>
      <c r="B382">
        <f t="shared" si="135"/>
        <v>709000</v>
      </c>
      <c r="C382" s="1">
        <f t="shared" si="131"/>
        <v>22952457000</v>
      </c>
      <c r="D382">
        <f t="shared" si="136"/>
        <v>1827.5</v>
      </c>
      <c r="E382" s="2">
        <f t="shared" si="132"/>
        <v>540000</v>
      </c>
      <c r="F382" s="2">
        <f t="shared" si="137"/>
        <v>851334.39800000004</v>
      </c>
      <c r="G382" s="2">
        <f t="shared" si="138"/>
        <v>15194.565999999999</v>
      </c>
      <c r="H382" s="2">
        <f t="shared" si="139"/>
        <v>53180.980999999992</v>
      </c>
      <c r="I382" s="2">
        <f t="shared" si="140"/>
        <v>35.539020989477422</v>
      </c>
      <c r="J382" s="2">
        <f t="shared" si="141"/>
        <v>16.00824922729425</v>
      </c>
      <c r="K382">
        <f t="shared" si="142"/>
        <v>2718946786744421</v>
      </c>
      <c r="L382" s="13">
        <f t="shared" si="133"/>
        <v>375549389.21100432</v>
      </c>
      <c r="M382" s="2">
        <f t="shared" si="143"/>
        <v>8959717.2478560284</v>
      </c>
      <c r="N382" s="2">
        <f t="shared" si="144"/>
        <v>1.7743141939958472E+18</v>
      </c>
      <c r="O382" s="2">
        <f t="shared" si="145"/>
        <v>5610874137792706</v>
      </c>
      <c r="P382" s="2">
        <f t="shared" si="146"/>
        <v>1.6833797887792983E+22</v>
      </c>
      <c r="Q382" s="2">
        <f t="shared" si="134"/>
        <v>1.5209750263045675E+20</v>
      </c>
    </row>
    <row r="383" spans="1:17" x14ac:dyDescent="0.2">
      <c r="A383">
        <f t="shared" si="130"/>
        <v>708</v>
      </c>
      <c r="B383">
        <f t="shared" si="135"/>
        <v>708000</v>
      </c>
      <c r="C383" s="1">
        <f t="shared" si="131"/>
        <v>22920084000</v>
      </c>
      <c r="D383">
        <f t="shared" si="136"/>
        <v>1827</v>
      </c>
      <c r="E383" s="2">
        <f t="shared" si="132"/>
        <v>540000</v>
      </c>
      <c r="F383" s="2">
        <f t="shared" si="137"/>
        <v>850881.17599999998</v>
      </c>
      <c r="G383" s="2">
        <f t="shared" si="138"/>
        <v>15190.408799999999</v>
      </c>
      <c r="H383" s="2">
        <f t="shared" si="139"/>
        <v>53166.430799999995</v>
      </c>
      <c r="I383" s="2">
        <f t="shared" si="140"/>
        <v>35.548747048861514</v>
      </c>
      <c r="J383" s="2">
        <f t="shared" si="141"/>
        <v>16.004105658339586</v>
      </c>
      <c r="K383">
        <f t="shared" si="142"/>
        <v>2745520443656758</v>
      </c>
      <c r="L383" s="13">
        <f t="shared" si="133"/>
        <v>377584112.36058289</v>
      </c>
      <c r="M383" s="2">
        <f t="shared" si="143"/>
        <v>8922668.8509263992</v>
      </c>
      <c r="N383" s="2">
        <f t="shared" si="144"/>
        <v>1.7916554736692134E+18</v>
      </c>
      <c r="O383" s="2">
        <f t="shared" si="145"/>
        <v>5665712079102524</v>
      </c>
      <c r="P383" s="2">
        <f t="shared" si="146"/>
        <v>1.6764190197201035E+22</v>
      </c>
      <c r="Q383" s="2">
        <f t="shared" si="134"/>
        <v>1.5292156550603607E+20</v>
      </c>
    </row>
    <row r="384" spans="1:17" x14ac:dyDescent="0.2">
      <c r="A384">
        <f t="shared" si="130"/>
        <v>707</v>
      </c>
      <c r="B384">
        <f t="shared" si="135"/>
        <v>707000</v>
      </c>
      <c r="C384" s="1">
        <f t="shared" si="131"/>
        <v>22887711000</v>
      </c>
      <c r="D384">
        <f t="shared" si="136"/>
        <v>1826.5</v>
      </c>
      <c r="E384" s="2">
        <f t="shared" si="132"/>
        <v>540000</v>
      </c>
      <c r="F384" s="2">
        <f t="shared" si="137"/>
        <v>850427.95399999991</v>
      </c>
      <c r="G384" s="2">
        <f t="shared" si="138"/>
        <v>15186.251599999998</v>
      </c>
      <c r="H384" s="2">
        <f t="shared" si="139"/>
        <v>53151.880599999997</v>
      </c>
      <c r="I384" s="2">
        <f t="shared" si="140"/>
        <v>35.558478433216536</v>
      </c>
      <c r="J384" s="2">
        <f t="shared" si="141"/>
        <v>15.99995982080077</v>
      </c>
      <c r="K384">
        <f t="shared" si="142"/>
        <v>2772368581245734</v>
      </c>
      <c r="L384" s="13">
        <f t="shared" si="133"/>
        <v>379630982.68873954</v>
      </c>
      <c r="M384" s="2">
        <f t="shared" si="143"/>
        <v>8885753.4908755198</v>
      </c>
      <c r="N384" s="2">
        <f t="shared" si="144"/>
        <v>1.809175872317218E+18</v>
      </c>
      <c r="O384" s="2">
        <f t="shared" si="145"/>
        <v>5721116444344353</v>
      </c>
      <c r="P384" s="2">
        <f t="shared" si="146"/>
        <v>1.6694832460471082E+22</v>
      </c>
      <c r="Q384" s="2">
        <f t="shared" si="134"/>
        <v>1.5375054798893951E+20</v>
      </c>
    </row>
    <row r="385" spans="1:17" x14ac:dyDescent="0.2">
      <c r="A385">
        <f t="shared" ref="A385:A448" si="147">+A384-1</f>
        <v>706</v>
      </c>
      <c r="B385">
        <f t="shared" si="135"/>
        <v>706000</v>
      </c>
      <c r="C385" s="1">
        <f t="shared" si="131"/>
        <v>22855338000</v>
      </c>
      <c r="D385">
        <f t="shared" si="136"/>
        <v>1826</v>
      </c>
      <c r="E385" s="2">
        <f t="shared" si="132"/>
        <v>540000</v>
      </c>
      <c r="F385" s="2">
        <f t="shared" si="137"/>
        <v>849974.73199999996</v>
      </c>
      <c r="G385" s="2">
        <f t="shared" si="138"/>
        <v>15182.094399999998</v>
      </c>
      <c r="H385" s="2">
        <f t="shared" si="139"/>
        <v>53137.330399999992</v>
      </c>
      <c r="I385" s="2">
        <f t="shared" si="140"/>
        <v>35.568215146916756</v>
      </c>
      <c r="J385" s="2">
        <f t="shared" si="141"/>
        <v>15.995811712814238</v>
      </c>
      <c r="K385">
        <f t="shared" si="142"/>
        <v>2799494183202872</v>
      </c>
      <c r="L385" s="13">
        <f t="shared" si="133"/>
        <v>381690079.11589956</v>
      </c>
      <c r="M385" s="2">
        <f t="shared" si="143"/>
        <v>8848970.76794976</v>
      </c>
      <c r="N385" s="2">
        <f t="shared" si="144"/>
        <v>1.8268773370196076E+18</v>
      </c>
      <c r="O385" s="2">
        <f t="shared" si="145"/>
        <v>5777093390724978</v>
      </c>
      <c r="P385" s="2">
        <f t="shared" si="146"/>
        <v>1.6625723926533464E+22</v>
      </c>
      <c r="Q385" s="2">
        <f t="shared" si="134"/>
        <v>1.5458448204193933E+20</v>
      </c>
    </row>
    <row r="386" spans="1:17" x14ac:dyDescent="0.2">
      <c r="A386">
        <f t="shared" si="147"/>
        <v>705</v>
      </c>
      <c r="B386">
        <f t="shared" si="135"/>
        <v>705000</v>
      </c>
      <c r="C386" s="1">
        <f t="shared" si="131"/>
        <v>22822965000</v>
      </c>
      <c r="D386">
        <f t="shared" si="136"/>
        <v>1825.5</v>
      </c>
      <c r="E386" s="2">
        <f t="shared" si="132"/>
        <v>540000</v>
      </c>
      <c r="F386" s="2">
        <f t="shared" si="137"/>
        <v>849521.51</v>
      </c>
      <c r="G386" s="2">
        <f t="shared" si="138"/>
        <v>15177.937199999998</v>
      </c>
      <c r="H386" s="2">
        <f t="shared" si="139"/>
        <v>53122.780199999994</v>
      </c>
      <c r="I386" s="2">
        <f t="shared" si="140"/>
        <v>35.577957194341273</v>
      </c>
      <c r="J386" s="2">
        <f t="shared" si="141"/>
        <v>15.991661332514372</v>
      </c>
      <c r="K386">
        <f t="shared" si="142"/>
        <v>2826900267232254.5</v>
      </c>
      <c r="L386" s="13">
        <f t="shared" si="133"/>
        <v>383761481.11535215</v>
      </c>
      <c r="M386" s="2">
        <f t="shared" si="143"/>
        <v>8812320.2833357435</v>
      </c>
      <c r="N386" s="2">
        <f t="shared" si="144"/>
        <v>1.8447618370518428E+18</v>
      </c>
      <c r="O386" s="2">
        <f t="shared" si="145"/>
        <v>5833649145640196</v>
      </c>
      <c r="P386" s="2">
        <f t="shared" si="146"/>
        <v>1.6556863846085093E+22</v>
      </c>
      <c r="Q386" s="2">
        <f t="shared" si="134"/>
        <v>1.5542339985171762E+20</v>
      </c>
    </row>
    <row r="387" spans="1:17" x14ac:dyDescent="0.2">
      <c r="A387">
        <f t="shared" si="147"/>
        <v>704</v>
      </c>
      <c r="B387">
        <f t="shared" si="135"/>
        <v>704000</v>
      </c>
      <c r="C387" s="1">
        <f t="shared" si="131"/>
        <v>22790592000</v>
      </c>
      <c r="D387">
        <f t="shared" si="136"/>
        <v>1825</v>
      </c>
      <c r="E387" s="2">
        <f t="shared" si="132"/>
        <v>540000</v>
      </c>
      <c r="F387" s="2">
        <f t="shared" si="137"/>
        <v>849068.28799999994</v>
      </c>
      <c r="G387" s="2">
        <f t="shared" si="138"/>
        <v>15173.779999999999</v>
      </c>
      <c r="H387" s="2">
        <f t="shared" si="139"/>
        <v>53108.229999999996</v>
      </c>
      <c r="I387" s="2">
        <f t="shared" si="140"/>
        <v>35.587704579873972</v>
      </c>
      <c r="J387" s="2">
        <f t="shared" si="141"/>
        <v>15.987508678033517</v>
      </c>
      <c r="K387">
        <f t="shared" si="142"/>
        <v>2854589885455770.5</v>
      </c>
      <c r="L387" s="13">
        <f t="shared" si="133"/>
        <v>385845268.71739507</v>
      </c>
      <c r="M387" s="2">
        <f t="shared" si="143"/>
        <v>8775801.6391590275</v>
      </c>
      <c r="N387" s="2">
        <f t="shared" si="144"/>
        <v>1.8628313641495529E+18</v>
      </c>
      <c r="O387" s="2">
        <f t="shared" si="145"/>
        <v>5890790007511092</v>
      </c>
      <c r="P387" s="2">
        <f t="shared" si="146"/>
        <v>1.6488251471586983E+22</v>
      </c>
      <c r="Q387" s="2">
        <f t="shared" si="134"/>
        <v>1.5626733383054501E+20</v>
      </c>
    </row>
    <row r="388" spans="1:17" x14ac:dyDescent="0.2">
      <c r="A388">
        <f t="shared" si="147"/>
        <v>703</v>
      </c>
      <c r="B388">
        <f t="shared" si="135"/>
        <v>703000</v>
      </c>
      <c r="C388" s="1">
        <f t="shared" si="131"/>
        <v>22758219000</v>
      </c>
      <c r="D388">
        <f t="shared" si="136"/>
        <v>1824.5</v>
      </c>
      <c r="E388" s="2">
        <f t="shared" si="132"/>
        <v>540000</v>
      </c>
      <c r="F388" s="2">
        <f t="shared" si="137"/>
        <v>848615.06599999999</v>
      </c>
      <c r="G388" s="2">
        <f t="shared" si="138"/>
        <v>15169.622799999999</v>
      </c>
      <c r="H388" s="2">
        <f t="shared" si="139"/>
        <v>53093.679799999991</v>
      </c>
      <c r="I388" s="2">
        <f t="shared" si="140"/>
        <v>35.597457307903532</v>
      </c>
      <c r="J388" s="2">
        <f t="shared" si="141"/>
        <v>15.98335374750198</v>
      </c>
      <c r="K388">
        <f t="shared" si="142"/>
        <v>2882566124823520.5</v>
      </c>
      <c r="L388" s="13">
        <f t="shared" si="133"/>
        <v>387941522.51351309</v>
      </c>
      <c r="M388" s="2">
        <f t="shared" si="143"/>
        <v>8739414.4384826515</v>
      </c>
      <c r="N388" s="2">
        <f t="shared" si="144"/>
        <v>1.8810879327763556E+18</v>
      </c>
      <c r="O388" s="2">
        <f t="shared" si="145"/>
        <v>5948522346630961</v>
      </c>
      <c r="P388" s="2">
        <f t="shared" si="146"/>
        <v>1.641988605726152E+22</v>
      </c>
      <c r="Q388" s="2">
        <f t="shared" si="134"/>
        <v>1.5711631661797281E+20</v>
      </c>
    </row>
    <row r="389" spans="1:17" x14ac:dyDescent="0.2">
      <c r="A389">
        <f t="shared" si="147"/>
        <v>702</v>
      </c>
      <c r="B389">
        <f t="shared" si="135"/>
        <v>702000</v>
      </c>
      <c r="C389" s="1">
        <f t="shared" si="131"/>
        <v>22725846000</v>
      </c>
      <c r="D389">
        <f t="shared" si="136"/>
        <v>1824</v>
      </c>
      <c r="E389" s="2">
        <f t="shared" si="132"/>
        <v>540000</v>
      </c>
      <c r="F389" s="2">
        <f t="shared" si="137"/>
        <v>848161.84400000004</v>
      </c>
      <c r="G389" s="2">
        <f t="shared" si="138"/>
        <v>15165.465599999998</v>
      </c>
      <c r="H389" s="2">
        <f t="shared" si="139"/>
        <v>53079.129599999993</v>
      </c>
      <c r="I389" s="2">
        <f t="shared" si="140"/>
        <v>35.607215382823462</v>
      </c>
      <c r="J389" s="2">
        <f t="shared" si="141"/>
        <v>15.979196539047997</v>
      </c>
      <c r="K389">
        <f t="shared" si="142"/>
        <v>2910832107529385.5</v>
      </c>
      <c r="L389" s="13">
        <f t="shared" si="133"/>
        <v>390050323.66058916</v>
      </c>
      <c r="M389" s="2">
        <f t="shared" si="143"/>
        <v>8703158.2853054293</v>
      </c>
      <c r="N389" s="2">
        <f t="shared" si="144"/>
        <v>1.8995335803950459E+18</v>
      </c>
      <c r="O389" s="2">
        <f t="shared" si="145"/>
        <v>6006852606022882</v>
      </c>
      <c r="P389" s="2">
        <f t="shared" si="146"/>
        <v>1.635176685908925E+22</v>
      </c>
      <c r="Q389" s="2">
        <f t="shared" si="134"/>
        <v>1.5797038108253861E+20</v>
      </c>
    </row>
    <row r="390" spans="1:17" x14ac:dyDescent="0.2">
      <c r="A390">
        <f t="shared" si="147"/>
        <v>701</v>
      </c>
      <c r="B390">
        <f t="shared" si="135"/>
        <v>701000</v>
      </c>
      <c r="C390" s="1">
        <f t="shared" si="131"/>
        <v>22693473000</v>
      </c>
      <c r="D390">
        <f t="shared" si="136"/>
        <v>1823.5</v>
      </c>
      <c r="E390" s="2">
        <f t="shared" si="132"/>
        <v>540000</v>
      </c>
      <c r="F390" s="2">
        <f t="shared" si="137"/>
        <v>847708.62199999997</v>
      </c>
      <c r="G390" s="2">
        <f t="shared" si="138"/>
        <v>15161.308399999998</v>
      </c>
      <c r="H390" s="2">
        <f t="shared" si="139"/>
        <v>53064.579399999995</v>
      </c>
      <c r="I390" s="2">
        <f t="shared" si="140"/>
        <v>35.616978809032076</v>
      </c>
      <c r="J390" s="2">
        <f t="shared" si="141"/>
        <v>15.97503705079777</v>
      </c>
      <c r="K390">
        <f t="shared" si="142"/>
        <v>2939390991431642</v>
      </c>
      <c r="L390" s="13">
        <f t="shared" si="133"/>
        <v>392171753.88514727</v>
      </c>
      <c r="M390" s="2">
        <f t="shared" si="143"/>
        <v>8667032.7845607288</v>
      </c>
      <c r="N390" s="2">
        <f t="shared" si="144"/>
        <v>1.9181703677420785E+18</v>
      </c>
      <c r="O390" s="2">
        <f t="shared" si="145"/>
        <v>6065787302307712</v>
      </c>
      <c r="P390" s="2">
        <f t="shared" si="146"/>
        <v>1.6283893134806586E+22</v>
      </c>
      <c r="Q390" s="2">
        <f t="shared" si="134"/>
        <v>1.5882956032348465E+20</v>
      </c>
    </row>
    <row r="391" spans="1:17" x14ac:dyDescent="0.2">
      <c r="A391">
        <f t="shared" si="147"/>
        <v>700</v>
      </c>
      <c r="B391">
        <f t="shared" si="135"/>
        <v>700000</v>
      </c>
      <c r="C391" s="1">
        <f t="shared" si="131"/>
        <v>22661100000</v>
      </c>
      <c r="D391">
        <f t="shared" si="136"/>
        <v>1823</v>
      </c>
      <c r="E391" s="2">
        <f t="shared" si="132"/>
        <v>540000</v>
      </c>
      <c r="F391" s="2">
        <f t="shared" si="137"/>
        <v>847255.39999999991</v>
      </c>
      <c r="G391" s="2">
        <f t="shared" si="138"/>
        <v>15157.151199999998</v>
      </c>
      <c r="H391" s="2">
        <f t="shared" si="139"/>
        <v>53050.029199999997</v>
      </c>
      <c r="I391" s="2">
        <f t="shared" si="140"/>
        <v>35.626747590932524</v>
      </c>
      <c r="J391" s="2">
        <f t="shared" si="141"/>
        <v>15.970875280875434</v>
      </c>
      <c r="K391">
        <f t="shared" si="142"/>
        <v>2968245970478914.5</v>
      </c>
      <c r="L391" s="13">
        <f t="shared" si="133"/>
        <v>394305895.48763889</v>
      </c>
      <c r="M391" s="2">
        <f t="shared" si="143"/>
        <v>8631037.5421148334</v>
      </c>
      <c r="N391" s="2">
        <f t="shared" si="144"/>
        <v>1.937000379105534E+18</v>
      </c>
      <c r="O391" s="2">
        <f t="shared" si="145"/>
        <v>6125333026583084</v>
      </c>
      <c r="P391" s="2">
        <f t="shared" si="146"/>
        <v>1.6216264143902737E+22</v>
      </c>
      <c r="Q391" s="2">
        <f t="shared" si="134"/>
        <v>1.5969388767249374E+20</v>
      </c>
    </row>
    <row r="392" spans="1:17" x14ac:dyDescent="0.2">
      <c r="A392">
        <f t="shared" si="147"/>
        <v>699</v>
      </c>
      <c r="B392">
        <f t="shared" si="135"/>
        <v>699000</v>
      </c>
      <c r="C392" s="1">
        <f t="shared" si="131"/>
        <v>22628727000</v>
      </c>
      <c r="D392">
        <f t="shared" si="136"/>
        <v>1822.5</v>
      </c>
      <c r="E392" s="2">
        <f t="shared" si="132"/>
        <v>540000</v>
      </c>
      <c r="F392" s="2">
        <f t="shared" si="137"/>
        <v>846802.17800000007</v>
      </c>
      <c r="G392" s="2">
        <f t="shared" si="138"/>
        <v>15152.993999999999</v>
      </c>
      <c r="H392" s="2">
        <f t="shared" si="139"/>
        <v>53035.478999999992</v>
      </c>
      <c r="I392" s="2">
        <f t="shared" si="140"/>
        <v>35.636521732932785</v>
      </c>
      <c r="J392" s="2">
        <f t="shared" si="141"/>
        <v>15.966711227403078</v>
      </c>
      <c r="K392">
        <f t="shared" si="142"/>
        <v>2997400275141372.5</v>
      </c>
      <c r="L392" s="13">
        <f t="shared" si="133"/>
        <v>396452831.34675598</v>
      </c>
      <c r="M392" s="2">
        <f t="shared" si="143"/>
        <v>8595172.1647655796</v>
      </c>
      <c r="N392" s="2">
        <f t="shared" si="144"/>
        <v>1.9560257226065065E+18</v>
      </c>
      <c r="O392" s="2">
        <f t="shared" si="145"/>
        <v>6185496445313239</v>
      </c>
      <c r="P392" s="2">
        <f t="shared" si="146"/>
        <v>1.6148879147617141E+22</v>
      </c>
      <c r="Q392" s="2">
        <f t="shared" si="134"/>
        <v>1.6056339669543617E+20</v>
      </c>
    </row>
    <row r="393" spans="1:17" x14ac:dyDescent="0.2">
      <c r="A393">
        <f t="shared" si="147"/>
        <v>698</v>
      </c>
      <c r="B393">
        <f t="shared" si="135"/>
        <v>698000</v>
      </c>
      <c r="C393" s="1">
        <f t="shared" si="131"/>
        <v>22596354000</v>
      </c>
      <c r="D393">
        <f t="shared" si="136"/>
        <v>1822</v>
      </c>
      <c r="E393" s="2">
        <f t="shared" si="132"/>
        <v>540000</v>
      </c>
      <c r="F393" s="2">
        <f t="shared" si="137"/>
        <v>846348.95600000001</v>
      </c>
      <c r="G393" s="2">
        <f t="shared" si="138"/>
        <v>15148.836799999999</v>
      </c>
      <c r="H393" s="2">
        <f t="shared" si="139"/>
        <v>53020.928799999994</v>
      </c>
      <c r="I393" s="2">
        <f t="shared" si="140"/>
        <v>35.646301239445663</v>
      </c>
      <c r="J393" s="2">
        <f t="shared" si="141"/>
        <v>15.962544888500711</v>
      </c>
      <c r="K393">
        <f t="shared" si="142"/>
        <v>3026857172847275</v>
      </c>
      <c r="L393" s="13">
        <f t="shared" si="133"/>
        <v>398612644.92377353</v>
      </c>
      <c r="M393" s="2">
        <f t="shared" si="143"/>
        <v>8559436.2602406926</v>
      </c>
      <c r="N393" s="2">
        <f t="shared" si="144"/>
        <v>1.9752485304839818E+18</v>
      </c>
      <c r="O393" s="2">
        <f t="shared" si="145"/>
        <v>6246284301229887</v>
      </c>
      <c r="P393" s="2">
        <f t="shared" si="146"/>
        <v>1.608173740893634E+22</v>
      </c>
      <c r="Q393" s="2">
        <f t="shared" si="134"/>
        <v>1.6143812119412828E+20</v>
      </c>
    </row>
    <row r="394" spans="1:17" x14ac:dyDescent="0.2">
      <c r="A394">
        <f t="shared" si="147"/>
        <v>697</v>
      </c>
      <c r="B394">
        <f t="shared" si="135"/>
        <v>697000</v>
      </c>
      <c r="C394" s="1">
        <f t="shared" si="131"/>
        <v>22563981000</v>
      </c>
      <c r="D394">
        <f t="shared" si="136"/>
        <v>1821.5</v>
      </c>
      <c r="E394" s="2">
        <f t="shared" si="132"/>
        <v>540000</v>
      </c>
      <c r="F394" s="2">
        <f t="shared" si="137"/>
        <v>845895.73399999994</v>
      </c>
      <c r="G394" s="2">
        <f t="shared" si="138"/>
        <v>15144.679599999998</v>
      </c>
      <c r="H394" s="2">
        <f t="shared" si="139"/>
        <v>53006.378599999996</v>
      </c>
      <c r="I394" s="2">
        <f t="shared" si="140"/>
        <v>35.656086114888829</v>
      </c>
      <c r="J394" s="2">
        <f t="shared" si="141"/>
        <v>15.95837626228629</v>
      </c>
      <c r="K394">
        <f t="shared" si="142"/>
        <v>3056619968425107</v>
      </c>
      <c r="L394" s="13">
        <f t="shared" si="133"/>
        <v>400785420.26694006</v>
      </c>
      <c r="M394" s="2">
        <f t="shared" si="143"/>
        <v>8523829.4371965174</v>
      </c>
      <c r="N394" s="2">
        <f t="shared" si="144"/>
        <v>1.9946709593833628E+18</v>
      </c>
      <c r="O394" s="2">
        <f t="shared" si="145"/>
        <v>6307703414244608</v>
      </c>
      <c r="P394" s="2">
        <f t="shared" si="146"/>
        <v>1.6014838192591597E+22</v>
      </c>
      <c r="Q394" s="2">
        <f t="shared" si="134"/>
        <v>1.6231809520811072E+20</v>
      </c>
    </row>
    <row r="395" spans="1:17" x14ac:dyDescent="0.2">
      <c r="A395">
        <f t="shared" si="147"/>
        <v>696</v>
      </c>
      <c r="B395">
        <f t="shared" ref="B395:B434" si="148">A395*1000</f>
        <v>696000</v>
      </c>
      <c r="C395" s="1">
        <f t="shared" si="131"/>
        <v>22531608000</v>
      </c>
      <c r="D395">
        <f t="shared" ref="D395:D434" si="149">IF(A395&gt;$B$4,$B$2+(A395-$B$4)*$B$5,$B$6+(($B$2-$B$6)/$B$4)*(A395))</f>
        <v>1821</v>
      </c>
      <c r="E395" s="2">
        <f t="shared" si="132"/>
        <v>540000</v>
      </c>
      <c r="F395" s="2">
        <f t="shared" ref="F395:F434" si="150">+$F$20+$H$15*C395*(0.000001)</f>
        <v>845442.51199999999</v>
      </c>
      <c r="G395" s="2">
        <f t="shared" ref="G395:G434" si="151">+$B$17*D395</f>
        <v>15140.522399999998</v>
      </c>
      <c r="H395" s="2">
        <f t="shared" ref="H395:H434" si="152">+$B$23*$B$17*D395</f>
        <v>52991.828399999991</v>
      </c>
      <c r="I395" s="2">
        <f t="shared" ref="I395:I434" si="153">+E395/G395</f>
        <v>35.665876363684788</v>
      </c>
      <c r="J395" s="2">
        <f t="shared" ref="J395:J434" si="154">+F395/H395</f>
        <v>15.95420534687571</v>
      </c>
      <c r="K395">
        <f t="shared" ref="K395:K434" si="155">+EXP(I395)</f>
        <v>3086692004550994</v>
      </c>
      <c r="L395" s="13">
        <f t="shared" si="133"/>
        <v>402971242.01588577</v>
      </c>
      <c r="M395" s="2">
        <f t="shared" ref="M395:M434" si="156">+EXP(J395)</f>
        <v>8488351.3052165043</v>
      </c>
      <c r="N395" s="2">
        <f t="shared" ref="N395:N434" si="157">+$B$13*(($B$15/$B$21)^($B$23-1))*K395</f>
        <v>2.0142951906484424E+18</v>
      </c>
      <c r="O395" s="2">
        <f t="shared" ref="O395:O434" si="158">+$B$13*(($B$15/$B$22)^($B$23-1))*K395</f>
        <v>6369760682372147</v>
      </c>
      <c r="P395" s="2">
        <f t="shared" ref="P395:P434" si="159">(1000000)*($F$18^(-1/$B$23))*($F$19^((1/$B$23)-1))*M395</f>
        <v>1.5948180765056046E+22</v>
      </c>
      <c r="Q395" s="2">
        <f t="shared" si="134"/>
        <v>1.6320335301643374E+20</v>
      </c>
    </row>
    <row r="396" spans="1:17" x14ac:dyDescent="0.2">
      <c r="A396">
        <f t="shared" si="147"/>
        <v>695</v>
      </c>
      <c r="B396">
        <f t="shared" si="148"/>
        <v>695000</v>
      </c>
      <c r="C396" s="1">
        <f t="shared" si="131"/>
        <v>22499235000</v>
      </c>
      <c r="D396">
        <f t="shared" si="149"/>
        <v>1820.5</v>
      </c>
      <c r="E396" s="2">
        <f t="shared" si="132"/>
        <v>540000</v>
      </c>
      <c r="F396" s="2">
        <f t="shared" si="150"/>
        <v>844989.29</v>
      </c>
      <c r="G396" s="2">
        <f t="shared" si="151"/>
        <v>15136.365199999998</v>
      </c>
      <c r="H396" s="2">
        <f t="shared" si="152"/>
        <v>52977.278199999993</v>
      </c>
      <c r="I396" s="2">
        <f t="shared" si="153"/>
        <v>35.675671990260916</v>
      </c>
      <c r="J396" s="2">
        <f t="shared" si="154"/>
        <v>15.950032140382783</v>
      </c>
      <c r="K396">
        <f t="shared" si="155"/>
        <v>3117076662201934.5</v>
      </c>
      <c r="L396" s="13">
        <f t="shared" si="133"/>
        <v>405170195.40609354</v>
      </c>
      <c r="M396" s="2">
        <f t="shared" si="156"/>
        <v>8453001.4748095628</v>
      </c>
      <c r="N396" s="2">
        <f t="shared" si="157"/>
        <v>2.0341234306171697E+18</v>
      </c>
      <c r="O396" s="2">
        <f t="shared" si="158"/>
        <v>6432463082665710</v>
      </c>
      <c r="P396" s="2">
        <f t="shared" si="159"/>
        <v>1.5881764394541607E+22</v>
      </c>
      <c r="Q396" s="2">
        <f t="shared" si="134"/>
        <v>1.6409392913946788E+20</v>
      </c>
    </row>
    <row r="397" spans="1:17" x14ac:dyDescent="0.2">
      <c r="A397">
        <f t="shared" si="147"/>
        <v>694</v>
      </c>
      <c r="B397">
        <f t="shared" si="148"/>
        <v>694000</v>
      </c>
      <c r="C397" s="1">
        <f t="shared" si="131"/>
        <v>22466862000</v>
      </c>
      <c r="D397">
        <f t="shared" si="149"/>
        <v>1820</v>
      </c>
      <c r="E397" s="2">
        <f t="shared" si="132"/>
        <v>540000</v>
      </c>
      <c r="F397" s="2">
        <f t="shared" si="150"/>
        <v>844536.06799999997</v>
      </c>
      <c r="G397" s="2">
        <f t="shared" si="151"/>
        <v>15132.207999999999</v>
      </c>
      <c r="H397" s="2">
        <f t="shared" si="152"/>
        <v>52962.727999999996</v>
      </c>
      <c r="I397" s="2">
        <f t="shared" si="153"/>
        <v>35.685472999049445</v>
      </c>
      <c r="J397" s="2">
        <f t="shared" si="154"/>
        <v>15.945856640919253</v>
      </c>
      <c r="K397">
        <f t="shared" si="155"/>
        <v>3147777361114499.5</v>
      </c>
      <c r="L397" s="13">
        <f t="shared" si="133"/>
        <v>407382366.27336836</v>
      </c>
      <c r="M397" s="2">
        <f t="shared" si="156"/>
        <v>8417779.557408778</v>
      </c>
      <c r="N397" s="2">
        <f t="shared" si="157"/>
        <v>2.0541579109209864E+18</v>
      </c>
      <c r="O397" s="2">
        <f t="shared" si="158"/>
        <v>6495817672163553</v>
      </c>
      <c r="P397" s="2">
        <f t="shared" si="159"/>
        <v>1.5815588350996569E+22</v>
      </c>
      <c r="Q397" s="2">
        <f t="shared" si="134"/>
        <v>1.6498985834071418E+20</v>
      </c>
    </row>
    <row r="398" spans="1:17" x14ac:dyDescent="0.2">
      <c r="A398">
        <f t="shared" si="147"/>
        <v>693</v>
      </c>
      <c r="B398">
        <f t="shared" si="148"/>
        <v>693000</v>
      </c>
      <c r="C398" s="1">
        <f t="shared" si="131"/>
        <v>22434489000</v>
      </c>
      <c r="D398">
        <f t="shared" si="149"/>
        <v>1819.5</v>
      </c>
      <c r="E398" s="2">
        <f t="shared" si="132"/>
        <v>540000</v>
      </c>
      <c r="F398" s="2">
        <f t="shared" si="150"/>
        <v>844082.8459999999</v>
      </c>
      <c r="G398" s="2">
        <f t="shared" si="151"/>
        <v>15128.050799999999</v>
      </c>
      <c r="H398" s="2">
        <f t="shared" si="152"/>
        <v>52948.177799999998</v>
      </c>
      <c r="I398" s="2">
        <f t="shared" si="153"/>
        <v>35.695279394487493</v>
      </c>
      <c r="J398" s="2">
        <f t="shared" si="154"/>
        <v>15.941678846594792</v>
      </c>
      <c r="K398">
        <f t="shared" si="155"/>
        <v>3178797560249430.5</v>
      </c>
      <c r="L398" s="13">
        <f t="shared" si="133"/>
        <v>409607841.0583784</v>
      </c>
      <c r="M398" s="2">
        <f t="shared" si="156"/>
        <v>8382685.1653698916</v>
      </c>
      <c r="N398" s="2">
        <f t="shared" si="157"/>
        <v>2.0744008887880113E+18</v>
      </c>
      <c r="O398" s="2">
        <f t="shared" si="158"/>
        <v>6559831588847729</v>
      </c>
      <c r="P398" s="2">
        <f t="shared" si="159"/>
        <v>1.5749651906102737E+22</v>
      </c>
      <c r="Q398" s="2">
        <f t="shared" si="134"/>
        <v>1.6589117562864324E+20</v>
      </c>
    </row>
    <row r="399" spans="1:17" x14ac:dyDescent="0.2">
      <c r="A399">
        <f t="shared" si="147"/>
        <v>692</v>
      </c>
      <c r="B399">
        <f t="shared" si="148"/>
        <v>692000</v>
      </c>
      <c r="C399" s="1">
        <f t="shared" si="131"/>
        <v>22402116000</v>
      </c>
      <c r="D399">
        <f t="shared" si="149"/>
        <v>1819</v>
      </c>
      <c r="E399" s="2">
        <f t="shared" si="132"/>
        <v>540000</v>
      </c>
      <c r="F399" s="2">
        <f t="shared" si="150"/>
        <v>843629.62400000007</v>
      </c>
      <c r="G399" s="2">
        <f t="shared" si="151"/>
        <v>15123.893599999998</v>
      </c>
      <c r="H399" s="2">
        <f t="shared" si="152"/>
        <v>52933.627599999993</v>
      </c>
      <c r="I399" s="2">
        <f t="shared" si="153"/>
        <v>35.705091181017039</v>
      </c>
      <c r="J399" s="2">
        <f t="shared" si="154"/>
        <v>15.937498755516998</v>
      </c>
      <c r="K399">
        <f t="shared" si="155"/>
        <v>3210140758261847.5</v>
      </c>
      <c r="L399" s="13">
        <f t="shared" si="133"/>
        <v>411846706.81120968</v>
      </c>
      <c r="M399" s="2">
        <f t="shared" si="156"/>
        <v>8347717.9119698396</v>
      </c>
      <c r="N399" s="2">
        <f t="shared" si="157"/>
        <v>2.0948546473498854E+18</v>
      </c>
      <c r="O399" s="2">
        <f t="shared" si="158"/>
        <v>6624512052614421</v>
      </c>
      <c r="P399" s="2">
        <f t="shared" si="159"/>
        <v>1.5683954333272683E+22</v>
      </c>
      <c r="Q399" s="2">
        <f t="shared" si="134"/>
        <v>1.6679791625853993E+20</v>
      </c>
    </row>
    <row r="400" spans="1:17" x14ac:dyDescent="0.2">
      <c r="A400">
        <f t="shared" si="147"/>
        <v>691</v>
      </c>
      <c r="B400">
        <f t="shared" si="148"/>
        <v>691000</v>
      </c>
      <c r="C400" s="1">
        <f t="shared" si="131"/>
        <v>22369743000</v>
      </c>
      <c r="D400">
        <f t="shared" si="149"/>
        <v>1818.5</v>
      </c>
      <c r="E400" s="2">
        <f t="shared" si="132"/>
        <v>540000</v>
      </c>
      <c r="F400" s="2">
        <f t="shared" si="150"/>
        <v>843176.402</v>
      </c>
      <c r="G400" s="2">
        <f t="shared" si="151"/>
        <v>15119.736399999998</v>
      </c>
      <c r="H400" s="2">
        <f t="shared" si="152"/>
        <v>52919.077399999995</v>
      </c>
      <c r="I400" s="2">
        <f t="shared" si="153"/>
        <v>35.714908363084959</v>
      </c>
      <c r="J400" s="2">
        <f t="shared" si="154"/>
        <v>15.933316365791368</v>
      </c>
      <c r="K400">
        <f t="shared" si="155"/>
        <v>3241810493977533</v>
      </c>
      <c r="L400" s="13">
        <f t="shared" si="133"/>
        <v>414099051.1959641</v>
      </c>
      <c r="M400" s="2">
        <f t="shared" si="156"/>
        <v>8312877.4114050968</v>
      </c>
      <c r="N400" s="2">
        <f t="shared" si="157"/>
        <v>2.1155214959525829E+18</v>
      </c>
      <c r="O400" s="2">
        <f t="shared" si="158"/>
        <v>6689866366256813</v>
      </c>
      <c r="P400" s="2">
        <f t="shared" si="159"/>
        <v>1.5618494907646638E+22</v>
      </c>
      <c r="Q400" s="2">
        <f t="shared" si="134"/>
        <v>1.6771011573436547E+20</v>
      </c>
    </row>
    <row r="401" spans="1:17" x14ac:dyDescent="0.2">
      <c r="A401">
        <f t="shared" si="147"/>
        <v>690</v>
      </c>
      <c r="B401">
        <f t="shared" si="148"/>
        <v>690000</v>
      </c>
      <c r="C401" s="1">
        <f t="shared" si="131"/>
        <v>22337370000</v>
      </c>
      <c r="D401">
        <f t="shared" si="149"/>
        <v>1818</v>
      </c>
      <c r="E401" s="2">
        <f t="shared" si="132"/>
        <v>540000</v>
      </c>
      <c r="F401" s="2">
        <f t="shared" si="150"/>
        <v>842723.17999999993</v>
      </c>
      <c r="G401" s="2">
        <f t="shared" si="151"/>
        <v>15115.579199999998</v>
      </c>
      <c r="H401" s="2">
        <f t="shared" si="152"/>
        <v>52904.527199999997</v>
      </c>
      <c r="I401" s="2">
        <f t="shared" si="153"/>
        <v>35.724730945143016</v>
      </c>
      <c r="J401" s="2">
        <f t="shared" si="154"/>
        <v>15.929131675521335</v>
      </c>
      <c r="K401">
        <f t="shared" si="155"/>
        <v>3273810346875043.5</v>
      </c>
      <c r="L401" s="13">
        <f t="shared" si="133"/>
        <v>416364962.49539649</v>
      </c>
      <c r="M401" s="2">
        <f t="shared" si="156"/>
        <v>8278163.278790514</v>
      </c>
      <c r="N401" s="2">
        <f t="shared" si="157"/>
        <v>2.1364037704710246E+18</v>
      </c>
      <c r="O401" s="2">
        <f t="shared" si="158"/>
        <v>6755901916459985</v>
      </c>
      <c r="P401" s="2">
        <f t="shared" si="159"/>
        <v>1.5553272906090308E+22</v>
      </c>
      <c r="Q401" s="2">
        <f t="shared" si="134"/>
        <v>1.6862780981063559E+20</v>
      </c>
    </row>
    <row r="402" spans="1:17" x14ac:dyDescent="0.2">
      <c r="A402">
        <f t="shared" si="147"/>
        <v>689</v>
      </c>
      <c r="B402">
        <f t="shared" si="148"/>
        <v>689000</v>
      </c>
      <c r="C402" s="1">
        <f t="shared" si="131"/>
        <v>22304997000</v>
      </c>
      <c r="D402">
        <f t="shared" si="149"/>
        <v>1817.5</v>
      </c>
      <c r="E402" s="2">
        <f t="shared" si="132"/>
        <v>540000</v>
      </c>
      <c r="F402" s="2">
        <f t="shared" si="150"/>
        <v>842269.95799999998</v>
      </c>
      <c r="G402" s="2">
        <f t="shared" si="151"/>
        <v>15111.421999999999</v>
      </c>
      <c r="H402" s="2">
        <f t="shared" si="152"/>
        <v>52889.976999999992</v>
      </c>
      <c r="I402" s="2">
        <f t="shared" si="153"/>
        <v>35.734558931647868</v>
      </c>
      <c r="J402" s="2">
        <f t="shared" si="154"/>
        <v>15.92494468280824</v>
      </c>
      <c r="K402">
        <f t="shared" si="155"/>
        <v>3306143937573893</v>
      </c>
      <c r="L402" s="13">
        <f t="shared" si="133"/>
        <v>418644529.61558968</v>
      </c>
      <c r="M402" s="2">
        <f t="shared" si="156"/>
        <v>8243575.1301576756</v>
      </c>
      <c r="N402" s="2">
        <f t="shared" si="157"/>
        <v>2.1575038336276536E+18</v>
      </c>
      <c r="O402" s="2">
        <f t="shared" si="158"/>
        <v>6822626174808334</v>
      </c>
      <c r="P402" s="2">
        <f t="shared" si="159"/>
        <v>1.548828760719179E+22</v>
      </c>
      <c r="Q402" s="2">
        <f t="shared" si="134"/>
        <v>1.6955103449431382E+20</v>
      </c>
    </row>
    <row r="403" spans="1:17" x14ac:dyDescent="0.2">
      <c r="A403">
        <f t="shared" si="147"/>
        <v>688</v>
      </c>
      <c r="B403">
        <f t="shared" si="148"/>
        <v>688000</v>
      </c>
      <c r="C403" s="1">
        <f t="shared" si="131"/>
        <v>22272624000</v>
      </c>
      <c r="D403">
        <f t="shared" si="149"/>
        <v>1817</v>
      </c>
      <c r="E403" s="2">
        <f t="shared" si="132"/>
        <v>540000</v>
      </c>
      <c r="F403" s="2">
        <f t="shared" si="150"/>
        <v>841816.73600000003</v>
      </c>
      <c r="G403" s="2">
        <f t="shared" si="151"/>
        <v>15107.264799999999</v>
      </c>
      <c r="H403" s="2">
        <f t="shared" si="152"/>
        <v>52875.426799999994</v>
      </c>
      <c r="I403" s="2">
        <f t="shared" si="153"/>
        <v>35.744392327061085</v>
      </c>
      <c r="J403" s="2">
        <f t="shared" si="154"/>
        <v>15.920755385751329</v>
      </c>
      <c r="K403">
        <f t="shared" si="155"/>
        <v>3338814928328877.5</v>
      </c>
      <c r="L403" s="13">
        <f t="shared" si="133"/>
        <v>420937842.09065729</v>
      </c>
      <c r="M403" s="2">
        <f t="shared" si="156"/>
        <v>8209112.5824533822</v>
      </c>
      <c r="N403" s="2">
        <f t="shared" si="157"/>
        <v>2.1788240753150188E+18</v>
      </c>
      <c r="O403" s="2">
        <f t="shared" si="158"/>
        <v>6890046698805679</v>
      </c>
      <c r="P403" s="2">
        <f t="shared" si="159"/>
        <v>1.5423538291258708E+22</v>
      </c>
      <c r="Q403" s="2">
        <f t="shared" si="134"/>
        <v>1.7047982604671622E+20</v>
      </c>
    </row>
    <row r="404" spans="1:17" x14ac:dyDescent="0.2">
      <c r="A404">
        <f t="shared" si="147"/>
        <v>687</v>
      </c>
      <c r="B404">
        <f t="shared" si="148"/>
        <v>687000</v>
      </c>
      <c r="C404" s="1">
        <f t="shared" si="131"/>
        <v>22240251000</v>
      </c>
      <c r="D404">
        <f t="shared" si="149"/>
        <v>1816.5</v>
      </c>
      <c r="E404" s="2">
        <f t="shared" si="132"/>
        <v>540000</v>
      </c>
      <c r="F404" s="2">
        <f t="shared" si="150"/>
        <v>841363.51399999997</v>
      </c>
      <c r="G404" s="2">
        <f t="shared" si="151"/>
        <v>15103.107599999998</v>
      </c>
      <c r="H404" s="2">
        <f t="shared" si="152"/>
        <v>52860.876599999996</v>
      </c>
      <c r="I404" s="2">
        <f t="shared" si="153"/>
        <v>35.75423113584916</v>
      </c>
      <c r="J404" s="2">
        <f t="shared" si="154"/>
        <v>15.916563782447755</v>
      </c>
      <c r="K404">
        <f t="shared" si="155"/>
        <v>3371827023530591.5</v>
      </c>
      <c r="L404" s="13">
        <f t="shared" si="133"/>
        <v>423244990.08750343</v>
      </c>
      <c r="M404" s="2">
        <f t="shared" si="156"/>
        <v>8174775.2535382491</v>
      </c>
      <c r="N404" s="2">
        <f t="shared" si="157"/>
        <v>2.200366912922399E+18</v>
      </c>
      <c r="O404" s="2">
        <f t="shared" si="158"/>
        <v>6958171132908133</v>
      </c>
      <c r="P404" s="2">
        <f t="shared" si="159"/>
        <v>1.5359024240315601E+22</v>
      </c>
      <c r="Q404" s="2">
        <f t="shared" si="134"/>
        <v>1.714142209854389E+20</v>
      </c>
    </row>
    <row r="405" spans="1:17" x14ac:dyDescent="0.2">
      <c r="A405">
        <f t="shared" si="147"/>
        <v>686</v>
      </c>
      <c r="B405">
        <f t="shared" si="148"/>
        <v>686000</v>
      </c>
      <c r="C405" s="1">
        <f t="shared" si="131"/>
        <v>22207878000</v>
      </c>
      <c r="D405">
        <f t="shared" si="149"/>
        <v>1816</v>
      </c>
      <c r="E405" s="2">
        <f t="shared" si="132"/>
        <v>540000</v>
      </c>
      <c r="F405" s="2">
        <f t="shared" si="150"/>
        <v>840910.2919999999</v>
      </c>
      <c r="G405" s="2">
        <f t="shared" si="151"/>
        <v>15098.950399999998</v>
      </c>
      <c r="H405" s="2">
        <f t="shared" si="152"/>
        <v>52846.326399999991</v>
      </c>
      <c r="I405" s="2">
        <f t="shared" si="153"/>
        <v>35.764075362483482</v>
      </c>
      <c r="J405" s="2">
        <f t="shared" si="154"/>
        <v>15.912369870992585</v>
      </c>
      <c r="K405">
        <f t="shared" si="155"/>
        <v>3405183970212070.5</v>
      </c>
      <c r="L405" s="13">
        <f t="shared" si="133"/>
        <v>425566064.41059238</v>
      </c>
      <c r="M405" s="2">
        <f t="shared" si="156"/>
        <v>8140562.7621853333</v>
      </c>
      <c r="N405" s="2">
        <f t="shared" si="157"/>
        <v>2.2221347916664248E+18</v>
      </c>
      <c r="O405" s="2">
        <f t="shared" si="158"/>
        <v>7027007209569619</v>
      </c>
      <c r="P405" s="2">
        <f t="shared" si="159"/>
        <v>1.5294744738101325E+22</v>
      </c>
      <c r="Q405" s="2">
        <f t="shared" si="134"/>
        <v>1.7235425608628991E+20</v>
      </c>
    </row>
    <row r="406" spans="1:17" x14ac:dyDescent="0.2">
      <c r="A406">
        <f t="shared" si="147"/>
        <v>685</v>
      </c>
      <c r="B406">
        <f t="shared" si="148"/>
        <v>685000</v>
      </c>
      <c r="C406" s="1">
        <f t="shared" si="131"/>
        <v>22175505000</v>
      </c>
      <c r="D406">
        <f t="shared" si="149"/>
        <v>1815.5</v>
      </c>
      <c r="E406" s="2">
        <f t="shared" si="132"/>
        <v>540000</v>
      </c>
      <c r="F406" s="2">
        <f t="shared" si="150"/>
        <v>840457.07000000007</v>
      </c>
      <c r="G406" s="2">
        <f t="shared" si="151"/>
        <v>15094.793199999998</v>
      </c>
      <c r="H406" s="2">
        <f t="shared" si="152"/>
        <v>52831.776199999993</v>
      </c>
      <c r="I406" s="2">
        <f t="shared" si="153"/>
        <v>35.773925011440376</v>
      </c>
      <c r="J406" s="2">
        <f t="shared" si="154"/>
        <v>15.90817364947878</v>
      </c>
      <c r="K406">
        <f t="shared" si="155"/>
        <v>3438889558562030.5</v>
      </c>
      <c r="L406" s="13">
        <f t="shared" si="133"/>
        <v>427901156.50678807</v>
      </c>
      <c r="M406" s="2">
        <f t="shared" si="156"/>
        <v>8106474.7280784883</v>
      </c>
      <c r="N406" s="2">
        <f t="shared" si="157"/>
        <v>2.2441301849260047E+18</v>
      </c>
      <c r="O406" s="2">
        <f t="shared" si="158"/>
        <v>7096562750301007</v>
      </c>
      <c r="P406" s="2">
        <f t="shared" si="159"/>
        <v>1.5230699070065971E+22</v>
      </c>
      <c r="Q406" s="2">
        <f t="shared" si="134"/>
        <v>1.7329996838524918E+20</v>
      </c>
    </row>
    <row r="407" spans="1:17" x14ac:dyDescent="0.2">
      <c r="A407">
        <f t="shared" si="147"/>
        <v>684</v>
      </c>
      <c r="B407">
        <f t="shared" si="148"/>
        <v>684000</v>
      </c>
      <c r="C407" s="1">
        <f t="shared" si="131"/>
        <v>22143132000</v>
      </c>
      <c r="D407">
        <f t="shared" si="149"/>
        <v>1815</v>
      </c>
      <c r="E407" s="2">
        <f t="shared" si="132"/>
        <v>540000</v>
      </c>
      <c r="F407" s="2">
        <f t="shared" si="150"/>
        <v>840003.848</v>
      </c>
      <c r="G407" s="2">
        <f t="shared" si="151"/>
        <v>15090.635999999999</v>
      </c>
      <c r="H407" s="2">
        <f t="shared" si="152"/>
        <v>52817.225999999995</v>
      </c>
      <c r="I407" s="2">
        <f t="shared" si="153"/>
        <v>35.783780087201102</v>
      </c>
      <c r="J407" s="2">
        <f t="shared" si="154"/>
        <v>15.903975115997195</v>
      </c>
      <c r="K407">
        <f t="shared" si="155"/>
        <v>3472947622444375</v>
      </c>
      <c r="L407" s="13">
        <f t="shared" si="133"/>
        <v>430250358.47021312</v>
      </c>
      <c r="M407" s="2">
        <f t="shared" si="156"/>
        <v>8072510.7718109479</v>
      </c>
      <c r="N407" s="2">
        <f t="shared" si="157"/>
        <v>2.2663555945813435E+18</v>
      </c>
      <c r="O407" s="2">
        <f t="shared" si="158"/>
        <v>7166845666742174</v>
      </c>
      <c r="P407" s="2">
        <f t="shared" si="159"/>
        <v>1.5166886523368202E+22</v>
      </c>
      <c r="Q407" s="2">
        <f t="shared" si="134"/>
        <v>1.7425139518043632E+20</v>
      </c>
    </row>
    <row r="408" spans="1:17" x14ac:dyDescent="0.2">
      <c r="A408">
        <f t="shared" si="147"/>
        <v>683</v>
      </c>
      <c r="B408">
        <f t="shared" si="148"/>
        <v>683000</v>
      </c>
      <c r="C408" s="1">
        <f t="shared" si="131"/>
        <v>22110759000</v>
      </c>
      <c r="D408">
        <f t="shared" si="149"/>
        <v>1814.5</v>
      </c>
      <c r="E408" s="2">
        <f t="shared" si="132"/>
        <v>540000</v>
      </c>
      <c r="F408" s="2">
        <f t="shared" si="150"/>
        <v>839550.62599999993</v>
      </c>
      <c r="G408" s="2">
        <f t="shared" si="151"/>
        <v>15086.478799999999</v>
      </c>
      <c r="H408" s="2">
        <f t="shared" si="152"/>
        <v>52802.675799999997</v>
      </c>
      <c r="I408" s="2">
        <f t="shared" si="153"/>
        <v>35.793640594251855</v>
      </c>
      <c r="J408" s="2">
        <f t="shared" si="154"/>
        <v>15.899774268636589</v>
      </c>
      <c r="K408">
        <f t="shared" si="155"/>
        <v>3507362039924271.5</v>
      </c>
      <c r="L408" s="13">
        <f t="shared" si="133"/>
        <v>432613763.04714513</v>
      </c>
      <c r="M408" s="2">
        <f t="shared" si="156"/>
        <v>8038670.5148839597</v>
      </c>
      <c r="N408" s="2">
        <f t="shared" si="157"/>
        <v>2.2888135513572436E+18</v>
      </c>
      <c r="O408" s="2">
        <f t="shared" si="158"/>
        <v>7237863961747630</v>
      </c>
      <c r="P408" s="2">
        <f t="shared" si="159"/>
        <v>1.5103306386872688E+22</v>
      </c>
      <c r="Q408" s="2">
        <f t="shared" si="134"/>
        <v>1.7520857403409377E+20</v>
      </c>
    </row>
    <row r="409" spans="1:17" x14ac:dyDescent="0.2">
      <c r="A409">
        <f t="shared" si="147"/>
        <v>682</v>
      </c>
      <c r="B409">
        <f t="shared" si="148"/>
        <v>682000</v>
      </c>
      <c r="C409" s="1">
        <f t="shared" si="131"/>
        <v>22078386000</v>
      </c>
      <c r="D409">
        <f t="shared" si="149"/>
        <v>1814</v>
      </c>
      <c r="E409" s="2">
        <f t="shared" si="132"/>
        <v>540000</v>
      </c>
      <c r="F409" s="2">
        <f t="shared" si="150"/>
        <v>839097.40399999998</v>
      </c>
      <c r="G409" s="2">
        <f t="shared" si="151"/>
        <v>15082.321599999999</v>
      </c>
      <c r="H409" s="2">
        <f t="shared" si="152"/>
        <v>52788.125599999992</v>
      </c>
      <c r="I409" s="2">
        <f t="shared" si="153"/>
        <v>35.803506537083791</v>
      </c>
      <c r="J409" s="2">
        <f t="shared" si="154"/>
        <v>15.895571105483619</v>
      </c>
      <c r="K409">
        <f t="shared" si="155"/>
        <v>3542136733800886</v>
      </c>
      <c r="L409" s="13">
        <f t="shared" si="133"/>
        <v>434991463.6409713</v>
      </c>
      <c r="M409" s="2">
        <f t="shared" si="156"/>
        <v>8004953.5797052793</v>
      </c>
      <c r="N409" s="2">
        <f t="shared" si="157"/>
        <v>2.3115066151707566E+18</v>
      </c>
      <c r="O409" s="2">
        <f t="shared" si="158"/>
        <v>7309625730485878</v>
      </c>
      <c r="P409" s="2">
        <f t="shared" si="159"/>
        <v>1.5039957951147271E+22</v>
      </c>
      <c r="Q409" s="2">
        <f t="shared" si="134"/>
        <v>1.7617154277459339E+20</v>
      </c>
    </row>
    <row r="410" spans="1:17" x14ac:dyDescent="0.2">
      <c r="A410">
        <f t="shared" si="147"/>
        <v>681</v>
      </c>
      <c r="B410">
        <f t="shared" si="148"/>
        <v>681000</v>
      </c>
      <c r="C410" s="1">
        <f t="shared" si="131"/>
        <v>22046013000</v>
      </c>
      <c r="D410">
        <f t="shared" si="149"/>
        <v>1813.5</v>
      </c>
      <c r="E410" s="2">
        <f t="shared" si="132"/>
        <v>540000</v>
      </c>
      <c r="F410" s="2">
        <f t="shared" si="150"/>
        <v>838644.18200000003</v>
      </c>
      <c r="G410" s="2">
        <f t="shared" si="151"/>
        <v>15078.164399999998</v>
      </c>
      <c r="H410" s="2">
        <f t="shared" si="152"/>
        <v>52773.575399999994</v>
      </c>
      <c r="I410" s="2">
        <f t="shared" si="153"/>
        <v>35.813377920192998</v>
      </c>
      <c r="J410" s="2">
        <f t="shared" si="154"/>
        <v>15.891365624622813</v>
      </c>
      <c r="K410">
        <f t="shared" si="155"/>
        <v>3577275672146632.5</v>
      </c>
      <c r="L410" s="13">
        <f t="shared" si="133"/>
        <v>437383554.31715775</v>
      </c>
      <c r="M410" s="2">
        <f t="shared" si="156"/>
        <v>7971359.5895875487</v>
      </c>
      <c r="N410" s="2">
        <f t="shared" si="157"/>
        <v>2.3344373754830817E+18</v>
      </c>
      <c r="O410" s="2">
        <f t="shared" si="158"/>
        <v>7382139161552219</v>
      </c>
      <c r="P410" s="2">
        <f t="shared" si="159"/>
        <v>1.4976840508459922E+22</v>
      </c>
      <c r="Q410" s="2">
        <f t="shared" si="134"/>
        <v>1.7714033949844888E+20</v>
      </c>
    </row>
    <row r="411" spans="1:17" x14ac:dyDescent="0.2">
      <c r="A411">
        <f t="shared" si="147"/>
        <v>680</v>
      </c>
      <c r="B411">
        <f t="shared" si="148"/>
        <v>680000</v>
      </c>
      <c r="C411" s="1">
        <f t="shared" si="131"/>
        <v>22013640000</v>
      </c>
      <c r="D411">
        <f t="shared" si="149"/>
        <v>1813</v>
      </c>
      <c r="E411" s="2">
        <f t="shared" si="132"/>
        <v>540000</v>
      </c>
      <c r="F411" s="2">
        <f t="shared" si="150"/>
        <v>838190.96</v>
      </c>
      <c r="G411" s="2">
        <f t="shared" si="151"/>
        <v>15074.007199999998</v>
      </c>
      <c r="H411" s="2">
        <f t="shared" si="152"/>
        <v>52759.025199999996</v>
      </c>
      <c r="I411" s="2">
        <f t="shared" si="153"/>
        <v>35.823254748080529</v>
      </c>
      <c r="J411" s="2">
        <f t="shared" si="154"/>
        <v>15.887157824136599</v>
      </c>
      <c r="K411">
        <f t="shared" si="155"/>
        <v>3612782868853431.5</v>
      </c>
      <c r="L411" s="13">
        <f t="shared" si="133"/>
        <v>439790129.80827808</v>
      </c>
      <c r="M411" s="2">
        <f t="shared" si="156"/>
        <v>7937888.1687470535</v>
      </c>
      <c r="N411" s="2">
        <f t="shared" si="157"/>
        <v>2.3576084516560404E+18</v>
      </c>
      <c r="O411" s="2">
        <f t="shared" si="158"/>
        <v>7455412538096026</v>
      </c>
      <c r="P411" s="2">
        <f t="shared" si="159"/>
        <v>1.4913953352776413E+22</v>
      </c>
      <c r="Q411" s="2">
        <f t="shared" si="134"/>
        <v>1.7811500257235262E+20</v>
      </c>
    </row>
    <row r="412" spans="1:17" x14ac:dyDescent="0.2">
      <c r="A412">
        <f t="shared" si="147"/>
        <v>679</v>
      </c>
      <c r="B412">
        <f t="shared" si="148"/>
        <v>679000</v>
      </c>
      <c r="C412" s="1">
        <f t="shared" si="131"/>
        <v>21981267000</v>
      </c>
      <c r="D412">
        <f t="shared" si="149"/>
        <v>1812.5</v>
      </c>
      <c r="E412" s="2">
        <f t="shared" si="132"/>
        <v>540000</v>
      </c>
      <c r="F412" s="2">
        <f t="shared" si="150"/>
        <v>837737.73800000001</v>
      </c>
      <c r="G412" s="2">
        <f t="shared" si="151"/>
        <v>15069.849999999999</v>
      </c>
      <c r="H412" s="2">
        <f t="shared" si="152"/>
        <v>52744.474999999991</v>
      </c>
      <c r="I412" s="2">
        <f t="shared" si="153"/>
        <v>35.833137025252412</v>
      </c>
      <c r="J412" s="2">
        <f t="shared" si="154"/>
        <v>15.882947702105294</v>
      </c>
      <c r="K412">
        <f t="shared" si="155"/>
        <v>3648662384185732</v>
      </c>
      <c r="L412" s="13">
        <f t="shared" si="133"/>
        <v>442211285.51907903</v>
      </c>
      <c r="M412" s="2">
        <f t="shared" si="156"/>
        <v>7904538.9423021963</v>
      </c>
      <c r="N412" s="2">
        <f t="shared" si="157"/>
        <v>2.3810224933129641E+18</v>
      </c>
      <c r="O412" s="2">
        <f t="shared" si="158"/>
        <v>7529454238961967</v>
      </c>
      <c r="P412" s="2">
        <f t="shared" si="159"/>
        <v>1.4851295779757431E+22</v>
      </c>
      <c r="Q412" s="2">
        <f t="shared" si="134"/>
        <v>1.79095570635227E+20</v>
      </c>
    </row>
    <row r="413" spans="1:17" x14ac:dyDescent="0.2">
      <c r="A413">
        <f t="shared" si="147"/>
        <v>678</v>
      </c>
      <c r="B413">
        <f t="shared" si="148"/>
        <v>678000</v>
      </c>
      <c r="C413" s="1">
        <f t="shared" si="131"/>
        <v>21948894000</v>
      </c>
      <c r="D413">
        <f t="shared" si="149"/>
        <v>1812</v>
      </c>
      <c r="E413" s="2">
        <f t="shared" si="132"/>
        <v>540000</v>
      </c>
      <c r="F413" s="2">
        <f t="shared" si="150"/>
        <v>837284.51600000006</v>
      </c>
      <c r="G413" s="2">
        <f t="shared" si="151"/>
        <v>15065.692799999999</v>
      </c>
      <c r="H413" s="2">
        <f t="shared" si="152"/>
        <v>52729.924799999993</v>
      </c>
      <c r="I413" s="2">
        <f t="shared" si="153"/>
        <v>35.843024756219641</v>
      </c>
      <c r="J413" s="2">
        <f t="shared" si="154"/>
        <v>15.878735256607083</v>
      </c>
      <c r="K413">
        <f t="shared" si="155"/>
        <v>3684918325340448.5</v>
      </c>
      <c r="L413" s="13">
        <f t="shared" si="133"/>
        <v>444647117.53157455</v>
      </c>
      <c r="M413" s="2">
        <f t="shared" si="156"/>
        <v>7871311.5362719055</v>
      </c>
      <c r="N413" s="2">
        <f t="shared" si="157"/>
        <v>2.4046821807040947E+18</v>
      </c>
      <c r="O413" s="2">
        <f t="shared" si="158"/>
        <v>7604272739845506</v>
      </c>
      <c r="P413" s="2">
        <f t="shared" si="159"/>
        <v>1.4788867086755608E+22</v>
      </c>
      <c r="Q413" s="2">
        <f t="shared" si="134"/>
        <v>1.800820826002877E+20</v>
      </c>
    </row>
    <row r="414" spans="1:17" x14ac:dyDescent="0.2">
      <c r="A414">
        <f t="shared" si="147"/>
        <v>677</v>
      </c>
      <c r="B414">
        <f t="shared" si="148"/>
        <v>677000</v>
      </c>
      <c r="C414" s="1">
        <f t="shared" si="131"/>
        <v>21916521000</v>
      </c>
      <c r="D414">
        <f t="shared" si="149"/>
        <v>1811.5</v>
      </c>
      <c r="E414" s="2">
        <f t="shared" si="132"/>
        <v>540000</v>
      </c>
      <c r="F414" s="2">
        <f t="shared" si="150"/>
        <v>836831.29399999999</v>
      </c>
      <c r="G414" s="2">
        <f t="shared" si="151"/>
        <v>15061.535599999999</v>
      </c>
      <c r="H414" s="2">
        <f t="shared" si="152"/>
        <v>52715.374599999996</v>
      </c>
      <c r="I414" s="2">
        <f t="shared" si="153"/>
        <v>35.852917945498199</v>
      </c>
      <c r="J414" s="2">
        <f t="shared" si="154"/>
        <v>15.874520485718033</v>
      </c>
      <c r="K414">
        <f t="shared" si="155"/>
        <v>3721554847014043</v>
      </c>
      <c r="L414" s="13">
        <f t="shared" si="133"/>
        <v>447097722.61020154</v>
      </c>
      <c r="M414" s="2">
        <f t="shared" si="156"/>
        <v>7838205.577574322</v>
      </c>
      <c r="N414" s="2">
        <f t="shared" si="157"/>
        <v>2.4285902250766474E+18</v>
      </c>
      <c r="O414" s="2">
        <f t="shared" si="158"/>
        <v>7679876614463143</v>
      </c>
      <c r="P414" s="2">
        <f t="shared" si="159"/>
        <v>1.4726666572813037E+22</v>
      </c>
      <c r="Q414" s="2">
        <f t="shared" si="134"/>
        <v>1.8107457765713163E+20</v>
      </c>
    </row>
    <row r="415" spans="1:17" x14ac:dyDescent="0.2">
      <c r="A415">
        <f t="shared" si="147"/>
        <v>676</v>
      </c>
      <c r="B415">
        <f t="shared" si="148"/>
        <v>676000</v>
      </c>
      <c r="C415" s="1">
        <f t="shared" si="131"/>
        <v>21884148000</v>
      </c>
      <c r="D415">
        <f t="shared" si="149"/>
        <v>1811</v>
      </c>
      <c r="E415" s="2">
        <f t="shared" si="132"/>
        <v>540000</v>
      </c>
      <c r="F415" s="2">
        <f t="shared" si="150"/>
        <v>836378.07199999993</v>
      </c>
      <c r="G415" s="2">
        <f t="shared" si="151"/>
        <v>15057.378399999998</v>
      </c>
      <c r="H415" s="2">
        <f t="shared" si="152"/>
        <v>52700.824399999998</v>
      </c>
      <c r="I415" s="2">
        <f t="shared" si="153"/>
        <v>35.862816597609054</v>
      </c>
      <c r="J415" s="2">
        <f t="shared" si="154"/>
        <v>15.870303387512093</v>
      </c>
      <c r="K415">
        <f t="shared" si="155"/>
        <v>3758576151976677</v>
      </c>
      <c r="L415" s="13">
        <f t="shared" si="133"/>
        <v>449563198.20700175</v>
      </c>
      <c r="M415" s="2">
        <f t="shared" si="156"/>
        <v>7805220.6940253191</v>
      </c>
      <c r="N415" s="2">
        <f t="shared" si="157"/>
        <v>2.4527493690494879E+18</v>
      </c>
      <c r="O415" s="2">
        <f t="shared" si="158"/>
        <v>7756274535737248</v>
      </c>
      <c r="P415" s="2">
        <f t="shared" si="159"/>
        <v>1.466469353865851E+22</v>
      </c>
      <c r="Q415" s="2">
        <f t="shared" si="134"/>
        <v>1.8207309527383569E+20</v>
      </c>
    </row>
    <row r="416" spans="1:17" x14ac:dyDescent="0.2">
      <c r="A416">
        <f t="shared" si="147"/>
        <v>675</v>
      </c>
      <c r="B416">
        <f t="shared" si="148"/>
        <v>675000</v>
      </c>
      <c r="C416" s="1">
        <f t="shared" ref="C416:C479" si="160">$B$3*$B$1*B416</f>
        <v>21851775000</v>
      </c>
      <c r="D416">
        <f t="shared" si="149"/>
        <v>1810.5</v>
      </c>
      <c r="E416" s="2">
        <f t="shared" ref="E416:E479" si="161">+$B$19+$B$16*0</f>
        <v>540000</v>
      </c>
      <c r="F416" s="2">
        <f t="shared" si="150"/>
        <v>835924.85</v>
      </c>
      <c r="G416" s="2">
        <f t="shared" si="151"/>
        <v>15053.221199999998</v>
      </c>
      <c r="H416" s="2">
        <f t="shared" si="152"/>
        <v>52686.274199999993</v>
      </c>
      <c r="I416" s="2">
        <f t="shared" si="153"/>
        <v>35.872720717078153</v>
      </c>
      <c r="J416" s="2">
        <f t="shared" si="154"/>
        <v>15.866083960061083</v>
      </c>
      <c r="K416">
        <f t="shared" si="155"/>
        <v>3795986491653542.5</v>
      </c>
      <c r="L416" s="13">
        <f t="shared" ref="L416:L479" si="162">EXP((300*1000)/($B$17*D416))</f>
        <v>452043642.46684325</v>
      </c>
      <c r="M416" s="2">
        <f t="shared" si="156"/>
        <v>7772356.5143370098</v>
      </c>
      <c r="N416" s="2">
        <f t="shared" si="157"/>
        <v>2.4771623869924931E+18</v>
      </c>
      <c r="O416" s="2">
        <f t="shared" si="158"/>
        <v>7833475276995703</v>
      </c>
      <c r="P416" s="2">
        <f t="shared" si="159"/>
        <v>1.460294728670469E+22</v>
      </c>
      <c r="Q416" s="2">
        <f t="shared" ref="Q416:Q479" si="163">$B$12*L416</f>
        <v>1.8307767519907152E+20</v>
      </c>
    </row>
    <row r="417" spans="1:17" x14ac:dyDescent="0.2">
      <c r="A417">
        <f t="shared" si="147"/>
        <v>674</v>
      </c>
      <c r="B417">
        <f t="shared" si="148"/>
        <v>674000</v>
      </c>
      <c r="C417" s="1">
        <f t="shared" si="160"/>
        <v>21819402000</v>
      </c>
      <c r="D417">
        <f t="shared" si="149"/>
        <v>1810</v>
      </c>
      <c r="E417" s="2">
        <f t="shared" si="161"/>
        <v>540000</v>
      </c>
      <c r="F417" s="2">
        <f t="shared" si="150"/>
        <v>835471.62800000003</v>
      </c>
      <c r="G417" s="2">
        <f t="shared" si="151"/>
        <v>15049.063999999998</v>
      </c>
      <c r="H417" s="2">
        <f t="shared" si="152"/>
        <v>52671.723999999995</v>
      </c>
      <c r="I417" s="2">
        <f t="shared" si="153"/>
        <v>35.882630308436461</v>
      </c>
      <c r="J417" s="2">
        <f t="shared" si="154"/>
        <v>15.861862201434684</v>
      </c>
      <c r="K417">
        <f t="shared" si="155"/>
        <v>3833790166713762</v>
      </c>
      <c r="L417" s="13">
        <f t="shared" si="162"/>
        <v>454539154.23270565</v>
      </c>
      <c r="M417" s="2">
        <f t="shared" si="156"/>
        <v>7739612.6681162398</v>
      </c>
      <c r="N417" s="2">
        <f t="shared" si="157"/>
        <v>2.5018320854108534E+18</v>
      </c>
      <c r="O417" s="2">
        <f t="shared" si="158"/>
        <v>7911487713187174</v>
      </c>
      <c r="P417" s="2">
        <f t="shared" si="159"/>
        <v>1.4541427121045297E+22</v>
      </c>
      <c r="Q417" s="2">
        <f t="shared" si="163"/>
        <v>1.840883574642458E+20</v>
      </c>
    </row>
    <row r="418" spans="1:17" x14ac:dyDescent="0.2">
      <c r="A418">
        <f t="shared" si="147"/>
        <v>673</v>
      </c>
      <c r="B418">
        <f t="shared" si="148"/>
        <v>673000</v>
      </c>
      <c r="C418" s="1">
        <f t="shared" si="160"/>
        <v>21787029000</v>
      </c>
      <c r="D418">
        <f t="shared" si="149"/>
        <v>1809.5</v>
      </c>
      <c r="E418" s="2">
        <f t="shared" si="161"/>
        <v>540000</v>
      </c>
      <c r="F418" s="2">
        <f t="shared" si="150"/>
        <v>835018.40599999996</v>
      </c>
      <c r="G418" s="2">
        <f t="shared" si="151"/>
        <v>15044.906799999999</v>
      </c>
      <c r="H418" s="2">
        <f t="shared" si="152"/>
        <v>52657.173799999997</v>
      </c>
      <c r="I418" s="2">
        <f t="shared" si="153"/>
        <v>35.89254537621995</v>
      </c>
      <c r="J418" s="2">
        <f t="shared" si="154"/>
        <v>15.857638109700449</v>
      </c>
      <c r="K418">
        <f t="shared" si="155"/>
        <v>3871991527666452.5</v>
      </c>
      <c r="L418" s="13">
        <f t="shared" si="162"/>
        <v>457049833.05098176</v>
      </c>
      <c r="M418" s="2">
        <f t="shared" si="156"/>
        <v>7706988.7858631965</v>
      </c>
      <c r="N418" s="2">
        <f t="shared" si="157"/>
        <v>2.5267613033340467E+18</v>
      </c>
      <c r="O418" s="2">
        <f t="shared" si="158"/>
        <v>7990320822111157</v>
      </c>
      <c r="P418" s="2">
        <f t="shared" si="159"/>
        <v>1.4480132347452491E+22</v>
      </c>
      <c r="Q418" s="2">
        <f t="shared" si="163"/>
        <v>1.8510518238564762E+20</v>
      </c>
    </row>
    <row r="419" spans="1:17" x14ac:dyDescent="0.2">
      <c r="A419">
        <f t="shared" si="147"/>
        <v>672</v>
      </c>
      <c r="B419">
        <f t="shared" si="148"/>
        <v>672000</v>
      </c>
      <c r="C419" s="1">
        <f t="shared" si="160"/>
        <v>21754656000</v>
      </c>
      <c r="D419">
        <f t="shared" si="149"/>
        <v>1809</v>
      </c>
      <c r="E419" s="2">
        <f t="shared" si="161"/>
        <v>540000</v>
      </c>
      <c r="F419" s="2">
        <f t="shared" si="150"/>
        <v>834565.18400000001</v>
      </c>
      <c r="G419" s="2">
        <f t="shared" si="151"/>
        <v>15040.749599999999</v>
      </c>
      <c r="H419" s="2">
        <f t="shared" si="152"/>
        <v>52642.623599999992</v>
      </c>
      <c r="I419" s="2">
        <f t="shared" si="153"/>
        <v>35.90246592496959</v>
      </c>
      <c r="J419" s="2">
        <f t="shared" si="154"/>
        <v>15.853411682923801</v>
      </c>
      <c r="K419">
        <f t="shared" si="155"/>
        <v>3910594975464389</v>
      </c>
      <c r="L419" s="13">
        <f t="shared" si="162"/>
        <v>459575779.17683429</v>
      </c>
      <c r="M419" s="2">
        <f t="shared" si="156"/>
        <v>7674484.498970001</v>
      </c>
      <c r="N419" s="2">
        <f t="shared" si="157"/>
        <v>2.5519529127097743E+18</v>
      </c>
      <c r="O419" s="2">
        <f t="shared" si="158"/>
        <v>8069983685663710</v>
      </c>
      <c r="P419" s="2">
        <f t="shared" si="159"/>
        <v>1.4419062273374224E+22</v>
      </c>
      <c r="Q419" s="2">
        <f t="shared" si="163"/>
        <v>1.8612819056661787E+20</v>
      </c>
    </row>
    <row r="420" spans="1:17" x14ac:dyDescent="0.2">
      <c r="A420">
        <f t="shared" si="147"/>
        <v>671</v>
      </c>
      <c r="B420">
        <f t="shared" si="148"/>
        <v>671000</v>
      </c>
      <c r="C420" s="1">
        <f t="shared" si="160"/>
        <v>21722283000</v>
      </c>
      <c r="D420">
        <f t="shared" si="149"/>
        <v>1808.5</v>
      </c>
      <c r="E420" s="2">
        <f t="shared" si="161"/>
        <v>540000</v>
      </c>
      <c r="F420" s="2">
        <f t="shared" si="150"/>
        <v>834111.96200000006</v>
      </c>
      <c r="G420" s="2">
        <f t="shared" si="151"/>
        <v>15036.592399999998</v>
      </c>
      <c r="H420" s="2">
        <f t="shared" si="152"/>
        <v>52628.073399999994</v>
      </c>
      <c r="I420" s="2">
        <f t="shared" si="153"/>
        <v>35.912391959231407</v>
      </c>
      <c r="J420" s="2">
        <f t="shared" si="154"/>
        <v>15.849182919168006</v>
      </c>
      <c r="K420">
        <f t="shared" si="155"/>
        <v>3949604962115485</v>
      </c>
      <c r="L420" s="13">
        <f t="shared" si="162"/>
        <v>462117093.57960624</v>
      </c>
      <c r="M420" s="2">
        <f t="shared" si="156"/>
        <v>7642099.4397190651</v>
      </c>
      <c r="N420" s="2">
        <f t="shared" si="157"/>
        <v>2.5774098188029993E+18</v>
      </c>
      <c r="O420" s="2">
        <f t="shared" si="158"/>
        <v>8150485491099319</v>
      </c>
      <c r="P420" s="2">
        <f t="shared" si="159"/>
        <v>1.4358216207931154E+22</v>
      </c>
      <c r="Q420" s="2">
        <f t="shared" si="163"/>
        <v>1.8715742289974054E+20</v>
      </c>
    </row>
    <row r="421" spans="1:17" x14ac:dyDescent="0.2">
      <c r="A421">
        <f t="shared" si="147"/>
        <v>670</v>
      </c>
      <c r="B421">
        <f t="shared" si="148"/>
        <v>670000</v>
      </c>
      <c r="C421" s="1">
        <f t="shared" si="160"/>
        <v>21689910000</v>
      </c>
      <c r="D421">
        <f t="shared" si="149"/>
        <v>1808</v>
      </c>
      <c r="E421" s="2">
        <f t="shared" si="161"/>
        <v>540000</v>
      </c>
      <c r="F421" s="2">
        <f t="shared" si="150"/>
        <v>833658.74</v>
      </c>
      <c r="G421" s="2">
        <f t="shared" si="151"/>
        <v>15032.435199999998</v>
      </c>
      <c r="H421" s="2">
        <f t="shared" si="152"/>
        <v>52613.523199999996</v>
      </c>
      <c r="I421" s="2">
        <f t="shared" si="153"/>
        <v>35.922323483556411</v>
      </c>
      <c r="J421" s="2">
        <f t="shared" si="154"/>
        <v>15.844951816494206</v>
      </c>
      <c r="K421">
        <f t="shared" si="155"/>
        <v>3989025991301555</v>
      </c>
      <c r="L421" s="13">
        <f t="shared" si="162"/>
        <v>464673877.94825006</v>
      </c>
      <c r="M421" s="2">
        <f t="shared" si="156"/>
        <v>7609833.2412818521</v>
      </c>
      <c r="N421" s="2">
        <f t="shared" si="157"/>
        <v>2.6031349605997312E+18</v>
      </c>
      <c r="O421" s="2">
        <f t="shared" si="158"/>
        <v>8231835532307787</v>
      </c>
      <c r="P421" s="2">
        <f t="shared" si="159"/>
        <v>1.4297593461914315E+22</v>
      </c>
      <c r="Q421" s="2">
        <f t="shared" si="163"/>
        <v>1.8819292056904126E+20</v>
      </c>
    </row>
    <row r="422" spans="1:17" x14ac:dyDescent="0.2">
      <c r="A422">
        <f t="shared" si="147"/>
        <v>669</v>
      </c>
      <c r="B422">
        <f t="shared" si="148"/>
        <v>669000</v>
      </c>
      <c r="C422" s="1">
        <f t="shared" si="160"/>
        <v>21657537000</v>
      </c>
      <c r="D422">
        <f t="shared" si="149"/>
        <v>1807.5</v>
      </c>
      <c r="E422" s="2">
        <f t="shared" si="161"/>
        <v>540000</v>
      </c>
      <c r="F422" s="2">
        <f t="shared" si="150"/>
        <v>833205.51799999992</v>
      </c>
      <c r="G422" s="2">
        <f t="shared" si="151"/>
        <v>15028.277999999998</v>
      </c>
      <c r="H422" s="2">
        <f t="shared" si="152"/>
        <v>52598.972999999991</v>
      </c>
      <c r="I422" s="2">
        <f t="shared" si="153"/>
        <v>35.932260502500689</v>
      </c>
      <c r="J422" s="2">
        <f t="shared" si="154"/>
        <v>15.840718372961391</v>
      </c>
      <c r="K422">
        <f t="shared" si="155"/>
        <v>4028862619005483</v>
      </c>
      <c r="L422" s="13">
        <f t="shared" si="162"/>
        <v>467246234.69682461</v>
      </c>
      <c r="M422" s="2">
        <f t="shared" si="156"/>
        <v>7577685.53771732</v>
      </c>
      <c r="N422" s="2">
        <f t="shared" si="157"/>
        <v>2.6291313112163026E+18</v>
      </c>
      <c r="O422" s="2">
        <f t="shared" si="158"/>
        <v>8314043211108474</v>
      </c>
      <c r="P422" s="2">
        <f t="shared" si="159"/>
        <v>1.4237193347782196E+22</v>
      </c>
      <c r="Q422" s="2">
        <f t="shared" si="163"/>
        <v>1.8923472505221395E+20</v>
      </c>
    </row>
    <row r="423" spans="1:17" x14ac:dyDescent="0.2">
      <c r="A423">
        <f t="shared" si="147"/>
        <v>668</v>
      </c>
      <c r="B423">
        <f t="shared" si="148"/>
        <v>668000</v>
      </c>
      <c r="C423" s="1">
        <f t="shared" si="160"/>
        <v>21625164000</v>
      </c>
      <c r="D423">
        <f t="shared" si="149"/>
        <v>1807</v>
      </c>
      <c r="E423" s="2">
        <f t="shared" si="161"/>
        <v>540000</v>
      </c>
      <c r="F423" s="2">
        <f t="shared" si="150"/>
        <v>832752.29599999997</v>
      </c>
      <c r="G423" s="2">
        <f t="shared" si="151"/>
        <v>15024.120799999999</v>
      </c>
      <c r="H423" s="2">
        <f t="shared" si="152"/>
        <v>52584.422799999993</v>
      </c>
      <c r="I423" s="2">
        <f t="shared" si="153"/>
        <v>35.942203020625342</v>
      </c>
      <c r="J423" s="2">
        <f t="shared" si="154"/>
        <v>15.836482586626397</v>
      </c>
      <c r="K423">
        <f t="shared" si="155"/>
        <v>4069119454145760</v>
      </c>
      <c r="L423" s="13">
        <f t="shared" si="162"/>
        <v>469834266.97002906</v>
      </c>
      <c r="M423" s="2">
        <f t="shared" si="156"/>
        <v>7545655.9639704106</v>
      </c>
      <c r="N423" s="2">
        <f t="shared" si="157"/>
        <v>2.6554018783134505E+18</v>
      </c>
      <c r="O423" s="2">
        <f t="shared" si="158"/>
        <v>8397118038559740</v>
      </c>
      <c r="P423" s="2">
        <f t="shared" si="159"/>
        <v>1.4177015179657901E+22</v>
      </c>
      <c r="Q423" s="2">
        <f t="shared" si="163"/>
        <v>1.9028287812286176E+20</v>
      </c>
    </row>
    <row r="424" spans="1:17" x14ac:dyDescent="0.2">
      <c r="A424">
        <f t="shared" si="147"/>
        <v>667</v>
      </c>
      <c r="B424">
        <f t="shared" si="148"/>
        <v>667000</v>
      </c>
      <c r="C424" s="1">
        <f t="shared" si="160"/>
        <v>21592791000</v>
      </c>
      <c r="D424">
        <f t="shared" si="149"/>
        <v>1806.5</v>
      </c>
      <c r="E424" s="2">
        <f t="shared" si="161"/>
        <v>540000</v>
      </c>
      <c r="F424" s="2">
        <f t="shared" si="150"/>
        <v>832299.07400000002</v>
      </c>
      <c r="G424" s="2">
        <f t="shared" si="151"/>
        <v>15019.963599999999</v>
      </c>
      <c r="H424" s="2">
        <f t="shared" si="152"/>
        <v>52569.872599999995</v>
      </c>
      <c r="I424" s="2">
        <f t="shared" si="153"/>
        <v>35.952151042496538</v>
      </c>
      <c r="J424" s="2">
        <f t="shared" si="154"/>
        <v>15.832244455543917</v>
      </c>
      <c r="K424">
        <f t="shared" si="155"/>
        <v>4109801159219477</v>
      </c>
      <c r="L424" s="13">
        <f t="shared" si="162"/>
        <v>472438078.64876825</v>
      </c>
      <c r="M424" s="2">
        <f t="shared" si="156"/>
        <v>7513744.1558706965</v>
      </c>
      <c r="N424" s="2">
        <f t="shared" si="157"/>
        <v>2.6819497045159183E+18</v>
      </c>
      <c r="O424" s="2">
        <f t="shared" si="158"/>
        <v>8481069636285836</v>
      </c>
      <c r="P424" s="2">
        <f t="shared" si="159"/>
        <v>1.4117058273326603E+22</v>
      </c>
      <c r="Q424" s="2">
        <f t="shared" si="163"/>
        <v>1.9133742185275113E+20</v>
      </c>
    </row>
    <row r="425" spans="1:17" x14ac:dyDescent="0.2">
      <c r="A425">
        <f t="shared" si="147"/>
        <v>666</v>
      </c>
      <c r="B425">
        <f t="shared" si="148"/>
        <v>666000</v>
      </c>
      <c r="C425" s="1">
        <f t="shared" si="160"/>
        <v>21560418000</v>
      </c>
      <c r="D425">
        <f t="shared" si="149"/>
        <v>1806</v>
      </c>
      <c r="E425" s="2">
        <f t="shared" si="161"/>
        <v>540000</v>
      </c>
      <c r="F425" s="2">
        <f t="shared" si="150"/>
        <v>831845.85199999996</v>
      </c>
      <c r="G425" s="2">
        <f t="shared" si="151"/>
        <v>15015.806399999998</v>
      </c>
      <c r="H425" s="2">
        <f t="shared" si="152"/>
        <v>52555.322399999997</v>
      </c>
      <c r="I425" s="2">
        <f t="shared" si="153"/>
        <v>35.96210457268549</v>
      </c>
      <c r="J425" s="2">
        <f t="shared" si="154"/>
        <v>15.828003977766484</v>
      </c>
      <c r="K425">
        <f t="shared" si="155"/>
        <v>4150912450953167</v>
      </c>
      <c r="L425" s="13">
        <f t="shared" si="162"/>
        <v>475057774.35578954</v>
      </c>
      <c r="M425" s="2">
        <f t="shared" si="156"/>
        <v>7481949.7501308834</v>
      </c>
      <c r="N425" s="2">
        <f t="shared" si="157"/>
        <v>2.7087778678371768E+18</v>
      </c>
      <c r="O425" s="2">
        <f t="shared" si="158"/>
        <v>8565907737820000</v>
      </c>
      <c r="P425" s="2">
        <f t="shared" si="159"/>
        <v>1.4057321946232736E+22</v>
      </c>
      <c r="Q425" s="2">
        <f t="shared" si="163"/>
        <v>1.9239839861409477E+20</v>
      </c>
    </row>
    <row r="426" spans="1:17" x14ac:dyDescent="0.2">
      <c r="A426">
        <f t="shared" si="147"/>
        <v>665</v>
      </c>
      <c r="B426">
        <f t="shared" si="148"/>
        <v>665000</v>
      </c>
      <c r="C426" s="1">
        <f t="shared" si="160"/>
        <v>21528045000</v>
      </c>
      <c r="D426">
        <f t="shared" si="149"/>
        <v>1805.5</v>
      </c>
      <c r="E426" s="2">
        <f t="shared" si="161"/>
        <v>540000</v>
      </c>
      <c r="F426" s="2">
        <f t="shared" si="150"/>
        <v>831392.63</v>
      </c>
      <c r="G426" s="2">
        <f t="shared" si="151"/>
        <v>15011.649199999998</v>
      </c>
      <c r="H426" s="2">
        <f t="shared" si="152"/>
        <v>52540.772199999992</v>
      </c>
      <c r="I426" s="2">
        <f t="shared" si="153"/>
        <v>35.972063615768484</v>
      </c>
      <c r="J426" s="2">
        <f t="shared" si="154"/>
        <v>15.823761151344481</v>
      </c>
      <c r="K426">
        <f t="shared" si="155"/>
        <v>4192458100962098</v>
      </c>
      <c r="L426" s="13">
        <f t="shared" si="162"/>
        <v>477693459.46133757</v>
      </c>
      <c r="M426" s="2">
        <f t="shared" si="156"/>
        <v>7450272.3843453946</v>
      </c>
      <c r="N426" s="2">
        <f t="shared" si="157"/>
        <v>2.7358894821096627E+18</v>
      </c>
      <c r="O426" s="2">
        <f t="shared" si="158"/>
        <v>8651642189964984</v>
      </c>
      <c r="P426" s="2">
        <f t="shared" si="159"/>
        <v>1.3997805517477329E+22</v>
      </c>
      <c r="Q426" s="2">
        <f t="shared" si="163"/>
        <v>1.934658510818417E+20</v>
      </c>
    </row>
    <row r="427" spans="1:17" x14ac:dyDescent="0.2">
      <c r="A427">
        <f t="shared" si="147"/>
        <v>664</v>
      </c>
      <c r="B427">
        <f t="shared" si="148"/>
        <v>664000</v>
      </c>
      <c r="C427" s="1">
        <f t="shared" si="160"/>
        <v>21495672000</v>
      </c>
      <c r="D427">
        <f t="shared" si="149"/>
        <v>1805</v>
      </c>
      <c r="E427" s="2">
        <f t="shared" si="161"/>
        <v>540000</v>
      </c>
      <c r="F427" s="2">
        <f t="shared" si="150"/>
        <v>830939.40800000005</v>
      </c>
      <c r="G427" s="2">
        <f t="shared" si="151"/>
        <v>15007.491999999998</v>
      </c>
      <c r="H427" s="2">
        <f t="shared" si="152"/>
        <v>52526.221999999994</v>
      </c>
      <c r="I427" s="2">
        <f t="shared" si="153"/>
        <v>35.982028176326871</v>
      </c>
      <c r="J427" s="2">
        <f t="shared" si="154"/>
        <v>15.819515974326121</v>
      </c>
      <c r="K427">
        <f t="shared" si="155"/>
        <v>4234442936417769.5</v>
      </c>
      <c r="L427" s="13">
        <f t="shared" si="162"/>
        <v>480345240.08888161</v>
      </c>
      <c r="M427" s="2">
        <f t="shared" si="156"/>
        <v>7418711.6969888108</v>
      </c>
      <c r="N427" s="2">
        <f t="shared" si="157"/>
        <v>2.7632876974203694E+18</v>
      </c>
      <c r="O427" s="2">
        <f t="shared" si="158"/>
        <v>8738282954170515</v>
      </c>
      <c r="P427" s="2">
        <f t="shared" si="159"/>
        <v>1.3938508307815083E+22</v>
      </c>
      <c r="Q427" s="2">
        <f t="shared" si="163"/>
        <v>1.9453982223599704E+20</v>
      </c>
    </row>
    <row r="428" spans="1:17" x14ac:dyDescent="0.2">
      <c r="A428">
        <f t="shared" si="147"/>
        <v>663</v>
      </c>
      <c r="B428">
        <f t="shared" si="148"/>
        <v>663000</v>
      </c>
      <c r="C428" s="1">
        <f t="shared" si="160"/>
        <v>21463299000</v>
      </c>
      <c r="D428">
        <f t="shared" si="149"/>
        <v>1804.5</v>
      </c>
      <c r="E428" s="2">
        <f t="shared" si="161"/>
        <v>540000</v>
      </c>
      <c r="F428" s="2">
        <f t="shared" si="150"/>
        <v>830486.18599999999</v>
      </c>
      <c r="G428" s="2">
        <f t="shared" si="151"/>
        <v>15003.334799999999</v>
      </c>
      <c r="H428" s="2">
        <f t="shared" si="152"/>
        <v>52511.671799999996</v>
      </c>
      <c r="I428" s="2">
        <f t="shared" si="153"/>
        <v>35.991998258947071</v>
      </c>
      <c r="J428" s="2">
        <f t="shared" si="154"/>
        <v>15.815268444757457</v>
      </c>
      <c r="K428">
        <f t="shared" si="155"/>
        <v>4276871840723901.5</v>
      </c>
      <c r="L428" s="13">
        <f t="shared" si="162"/>
        <v>483013223.12086225</v>
      </c>
      <c r="M428" s="2">
        <f t="shared" si="156"/>
        <v>7387267.3274145303</v>
      </c>
      <c r="N428" s="2">
        <f t="shared" si="157"/>
        <v>2.79097570055198E+18</v>
      </c>
      <c r="O428" s="2">
        <f t="shared" si="158"/>
        <v>8825840107928278</v>
      </c>
      <c r="P428" s="2">
        <f t="shared" si="159"/>
        <v>1.3879429639651847E+22</v>
      </c>
      <c r="Q428" s="2">
        <f t="shared" si="163"/>
        <v>1.9562035536394922E+20</v>
      </c>
    </row>
    <row r="429" spans="1:17" x14ac:dyDescent="0.2">
      <c r="A429">
        <f t="shared" si="147"/>
        <v>662</v>
      </c>
      <c r="B429">
        <f t="shared" si="148"/>
        <v>662000</v>
      </c>
      <c r="C429" s="1">
        <f t="shared" si="160"/>
        <v>21430926000</v>
      </c>
      <c r="D429">
        <f t="shared" si="149"/>
        <v>1804</v>
      </c>
      <c r="E429" s="2">
        <f t="shared" si="161"/>
        <v>540000</v>
      </c>
      <c r="F429" s="2">
        <f t="shared" si="150"/>
        <v>830032.96399999992</v>
      </c>
      <c r="G429" s="2">
        <f t="shared" si="151"/>
        <v>14999.177599999999</v>
      </c>
      <c r="H429" s="2">
        <f t="shared" si="152"/>
        <v>52497.121599999991</v>
      </c>
      <c r="I429" s="2">
        <f t="shared" si="153"/>
        <v>36.001973868220617</v>
      </c>
      <c r="J429" s="2">
        <f t="shared" si="154"/>
        <v>15.811018560682383</v>
      </c>
      <c r="K429">
        <f t="shared" si="155"/>
        <v>4319749754201210</v>
      </c>
      <c r="L429" s="13">
        <f t="shared" si="162"/>
        <v>485697516.20451242</v>
      </c>
      <c r="M429" s="2">
        <f t="shared" si="156"/>
        <v>7355938.9158533299</v>
      </c>
      <c r="N429" s="2">
        <f t="shared" si="157"/>
        <v>2.8189567154297329E+18</v>
      </c>
      <c r="O429" s="2">
        <f t="shared" si="158"/>
        <v>8914323846185035</v>
      </c>
      <c r="P429" s="2">
        <f t="shared" si="159"/>
        <v>1.3820568837041917E+22</v>
      </c>
      <c r="Q429" s="2">
        <f t="shared" si="163"/>
        <v>1.9670749406282754E+20</v>
      </c>
    </row>
    <row r="430" spans="1:17" x14ac:dyDescent="0.2">
      <c r="A430">
        <f t="shared" si="147"/>
        <v>661</v>
      </c>
      <c r="B430">
        <f t="shared" si="148"/>
        <v>661000</v>
      </c>
      <c r="C430" s="1">
        <f t="shared" si="160"/>
        <v>21398553000</v>
      </c>
      <c r="D430">
        <f t="shared" si="149"/>
        <v>1803.5</v>
      </c>
      <c r="E430" s="2">
        <f t="shared" si="161"/>
        <v>540000</v>
      </c>
      <c r="F430" s="2">
        <f t="shared" si="150"/>
        <v>829579.74199999997</v>
      </c>
      <c r="G430" s="2">
        <f t="shared" si="151"/>
        <v>14995.020399999998</v>
      </c>
      <c r="H430" s="2">
        <f t="shared" si="152"/>
        <v>52482.571399999993</v>
      </c>
      <c r="I430" s="2">
        <f t="shared" si="153"/>
        <v>36.01195500874411</v>
      </c>
      <c r="J430" s="2">
        <f t="shared" si="154"/>
        <v>15.806766320142616</v>
      </c>
      <c r="K430">
        <f t="shared" si="155"/>
        <v>4363081674780447.5</v>
      </c>
      <c r="L430" s="13">
        <f t="shared" si="162"/>
        <v>488398227.75770164</v>
      </c>
      <c r="M430" s="2">
        <f t="shared" si="156"/>
        <v>7324726.1034118216</v>
      </c>
      <c r="N430" s="2">
        <f t="shared" si="157"/>
        <v>2.8472340035736837E+18</v>
      </c>
      <c r="O430" s="2">
        <f t="shared" si="158"/>
        <v>9003744482772795</v>
      </c>
      <c r="P430" s="2">
        <f t="shared" si="159"/>
        <v>1.3761925225685134E+22</v>
      </c>
      <c r="Q430" s="2">
        <f t="shared" si="163"/>
        <v>1.9780128224186915E+20</v>
      </c>
    </row>
    <row r="431" spans="1:17" x14ac:dyDescent="0.2">
      <c r="A431">
        <f t="shared" si="147"/>
        <v>660</v>
      </c>
      <c r="B431">
        <f t="shared" si="148"/>
        <v>660000</v>
      </c>
      <c r="C431" s="1">
        <f t="shared" si="160"/>
        <v>21366180000</v>
      </c>
      <c r="D431">
        <f t="shared" si="149"/>
        <v>1803</v>
      </c>
      <c r="E431" s="2">
        <f t="shared" si="161"/>
        <v>540000</v>
      </c>
      <c r="F431" s="2">
        <f t="shared" si="150"/>
        <v>829126.52</v>
      </c>
      <c r="G431" s="2">
        <f t="shared" si="151"/>
        <v>14990.863199999998</v>
      </c>
      <c r="H431" s="2">
        <f t="shared" si="152"/>
        <v>52468.021199999996</v>
      </c>
      <c r="I431" s="2">
        <f t="shared" si="153"/>
        <v>36.021941685119245</v>
      </c>
      <c r="J431" s="2">
        <f t="shared" si="154"/>
        <v>15.802511721177702</v>
      </c>
      <c r="K431">
        <f t="shared" si="155"/>
        <v>4406872658704577</v>
      </c>
      <c r="L431" s="13">
        <f t="shared" si="162"/>
        <v>491115466.97483957</v>
      </c>
      <c r="M431" s="2">
        <f t="shared" si="156"/>
        <v>7293628.5320710503</v>
      </c>
      <c r="N431" s="2">
        <f t="shared" si="157"/>
        <v>2.8758108645569254E+18</v>
      </c>
      <c r="O431" s="2">
        <f t="shared" si="158"/>
        <v>9094112451857838</v>
      </c>
      <c r="P431" s="2">
        <f t="shared" si="159"/>
        <v>1.3703498132924251E+22</v>
      </c>
      <c r="Q431" s="2">
        <f t="shared" si="163"/>
        <v>1.9890176412481002E+20</v>
      </c>
    </row>
    <row r="432" spans="1:17" x14ac:dyDescent="0.2">
      <c r="A432">
        <f t="shared" si="147"/>
        <v>659</v>
      </c>
      <c r="B432">
        <f t="shared" si="148"/>
        <v>659000</v>
      </c>
      <c r="C432" s="1">
        <f t="shared" si="160"/>
        <v>21333807000</v>
      </c>
      <c r="D432">
        <f t="shared" si="149"/>
        <v>1802.5</v>
      </c>
      <c r="E432" s="2">
        <f t="shared" si="161"/>
        <v>540000</v>
      </c>
      <c r="F432" s="2">
        <f t="shared" si="150"/>
        <v>828673.29799999995</v>
      </c>
      <c r="G432" s="2">
        <f t="shared" si="151"/>
        <v>14986.705999999998</v>
      </c>
      <c r="H432" s="2">
        <f t="shared" si="152"/>
        <v>52453.470999999998</v>
      </c>
      <c r="I432" s="2">
        <f t="shared" si="153"/>
        <v>36.03193390195284</v>
      </c>
      <c r="J432" s="2">
        <f t="shared" si="154"/>
        <v>15.798254761825008</v>
      </c>
      <c r="K432">
        <f t="shared" si="155"/>
        <v>4451127821239868</v>
      </c>
      <c r="L432" s="13">
        <f t="shared" si="162"/>
        <v>493849343.83283377</v>
      </c>
      <c r="M432" s="2">
        <f t="shared" si="156"/>
        <v>7262645.8446850413</v>
      </c>
      <c r="N432" s="2">
        <f t="shared" si="157"/>
        <v>2.9046906364696305E+18</v>
      </c>
      <c r="O432" s="2">
        <f t="shared" si="158"/>
        <v>9185438309408142</v>
      </c>
      <c r="P432" s="2">
        <f t="shared" si="159"/>
        <v>1.3645286887742205E+22</v>
      </c>
      <c r="Q432" s="2">
        <f t="shared" si="163"/>
        <v>2.0000898425229767E+20</v>
      </c>
    </row>
    <row r="433" spans="1:17" x14ac:dyDescent="0.2">
      <c r="A433">
        <f t="shared" si="147"/>
        <v>658</v>
      </c>
      <c r="B433">
        <f t="shared" si="148"/>
        <v>658000</v>
      </c>
      <c r="C433" s="1">
        <f t="shared" si="160"/>
        <v>21301434000</v>
      </c>
      <c r="D433">
        <f t="shared" si="149"/>
        <v>1802</v>
      </c>
      <c r="E433" s="2">
        <f t="shared" si="161"/>
        <v>540000</v>
      </c>
      <c r="F433" s="2">
        <f t="shared" si="150"/>
        <v>828220.076</v>
      </c>
      <c r="G433" s="2">
        <f t="shared" si="151"/>
        <v>14982.548799999999</v>
      </c>
      <c r="H433" s="2">
        <f t="shared" si="152"/>
        <v>52438.920799999993</v>
      </c>
      <c r="I433" s="2">
        <f t="shared" si="153"/>
        <v>36.041931663856822</v>
      </c>
      <c r="J433" s="2">
        <f t="shared" si="154"/>
        <v>15.793995440119739</v>
      </c>
      <c r="K433">
        <f t="shared" si="155"/>
        <v>4495852337395843.5</v>
      </c>
      <c r="L433" s="13">
        <f t="shared" si="162"/>
        <v>496599969.09708273</v>
      </c>
      <c r="M433" s="2">
        <f t="shared" si="156"/>
        <v>7231777.6849794444</v>
      </c>
      <c r="N433" s="2">
        <f t="shared" si="157"/>
        <v>2.9338766963888686E+18</v>
      </c>
      <c r="O433" s="2">
        <f t="shared" si="158"/>
        <v>9277732734679084</v>
      </c>
      <c r="P433" s="2">
        <f t="shared" si="159"/>
        <v>1.358729082075957E+22</v>
      </c>
      <c r="Q433" s="2">
        <f t="shared" si="163"/>
        <v>2.011229874843185E+20</v>
      </c>
    </row>
    <row r="434" spans="1:17" x14ac:dyDescent="0.2">
      <c r="A434">
        <f t="shared" si="147"/>
        <v>657</v>
      </c>
      <c r="B434">
        <f t="shared" si="148"/>
        <v>657000</v>
      </c>
      <c r="C434" s="1">
        <f t="shared" si="160"/>
        <v>21269061000</v>
      </c>
      <c r="D434">
        <f t="shared" si="149"/>
        <v>1801.5</v>
      </c>
      <c r="E434" s="2">
        <f t="shared" si="161"/>
        <v>540000</v>
      </c>
      <c r="F434" s="2">
        <f t="shared" si="150"/>
        <v>827766.85400000005</v>
      </c>
      <c r="G434" s="2">
        <f t="shared" si="151"/>
        <v>14978.391599999999</v>
      </c>
      <c r="H434" s="2">
        <f t="shared" si="152"/>
        <v>52424.370599999995</v>
      </c>
      <c r="I434" s="2">
        <f t="shared" si="153"/>
        <v>36.051934975448233</v>
      </c>
      <c r="J434" s="2">
        <f t="shared" si="154"/>
        <v>15.789733754094897</v>
      </c>
      <c r="K434">
        <f t="shared" si="155"/>
        <v>4541051442654476</v>
      </c>
      <c r="L434" s="13">
        <f t="shared" si="162"/>
        <v>499367454.32752377</v>
      </c>
      <c r="M434" s="2">
        <f t="shared" si="156"/>
        <v>7201023.6975498851</v>
      </c>
      <c r="N434" s="2">
        <f t="shared" si="157"/>
        <v>2.9633724608544655E+18</v>
      </c>
      <c r="O434" s="2">
        <f t="shared" si="158"/>
        <v>9371006531718228</v>
      </c>
      <c r="P434" s="2">
        <f t="shared" si="159"/>
        <v>1.3529509264231454E+22</v>
      </c>
      <c r="Q434" s="2">
        <f t="shared" si="163"/>
        <v>2.0224381900264712E+20</v>
      </c>
    </row>
    <row r="435" spans="1:17" x14ac:dyDescent="0.2">
      <c r="A435">
        <f t="shared" si="147"/>
        <v>656</v>
      </c>
      <c r="B435">
        <f>A435*1000</f>
        <v>656000</v>
      </c>
      <c r="C435" s="1">
        <f t="shared" si="160"/>
        <v>21236688000</v>
      </c>
      <c r="D435">
        <f t="shared" ref="D435:D498" si="164">IF(A435&gt;$B$4,$B$2+(A435-$B$4)*$B$5,$B$6+(($B$2-$B$6)/$B$4)*(A435))</f>
        <v>1801</v>
      </c>
      <c r="E435" s="2">
        <f t="shared" si="161"/>
        <v>540000</v>
      </c>
      <c r="F435" s="2">
        <f t="shared" ref="F435:F498" si="165">+$F$20+$H$15*C435*(0.000001)</f>
        <v>827313.63199999998</v>
      </c>
      <c r="G435" s="2">
        <f t="shared" ref="G435:G498" si="166">+$B$17*D435</f>
        <v>14974.234399999998</v>
      </c>
      <c r="H435" s="2">
        <f t="shared" ref="H435:H498" si="167">+$B$23*$B$17*D435</f>
        <v>52409.820399999997</v>
      </c>
      <c r="I435" s="2">
        <f>+E435/G435</f>
        <v>36.061943841349247</v>
      </c>
      <c r="J435" s="2">
        <f>+F435/H435</f>
        <v>15.785469701781309</v>
      </c>
      <c r="K435">
        <f>+EXP(I435)</f>
        <v>4586730433708692</v>
      </c>
      <c r="L435" s="13">
        <f t="shared" si="162"/>
        <v>502151911.88473171</v>
      </c>
      <c r="M435" s="2">
        <f>+EXP(J435)</f>
        <v>7170383.5278606899</v>
      </c>
      <c r="N435" s="2">
        <f>+$B$13*(($B$15/$B$21)^($B$23-1))*K435</f>
        <v>2.9931813863509258E+18</v>
      </c>
      <c r="O435" s="2">
        <f>+$B$13*(($B$15/$B$22)^($B$23-1))*K435</f>
        <v>9465270630889308</v>
      </c>
      <c r="P435" s="2">
        <f t="shared" ref="P435:P498" si="168">(1000000)*($F$18^(-1/$B$23))*($F$19^((1/$B$23)-1))*M435</f>
        <v>1.3471941552045109E+22</v>
      </c>
      <c r="Q435" s="2">
        <f t="shared" si="163"/>
        <v>2.0337152431331633E+20</v>
      </c>
    </row>
    <row r="436" spans="1:17" x14ac:dyDescent="0.2">
      <c r="A436">
        <f t="shared" si="147"/>
        <v>655</v>
      </c>
      <c r="B436">
        <f t="shared" ref="B436:B499" si="169">A436*1000</f>
        <v>655000</v>
      </c>
      <c r="C436" s="1">
        <f t="shared" si="160"/>
        <v>21204315000</v>
      </c>
      <c r="D436">
        <f t="shared" si="164"/>
        <v>1800.5</v>
      </c>
      <c r="E436" s="2">
        <f t="shared" si="161"/>
        <v>540000</v>
      </c>
      <c r="F436" s="2">
        <f t="shared" si="165"/>
        <v>826860.40999999992</v>
      </c>
      <c r="G436" s="2">
        <f t="shared" si="166"/>
        <v>14970.077199999998</v>
      </c>
      <c r="H436" s="2">
        <f t="shared" si="167"/>
        <v>52395.270199999992</v>
      </c>
      <c r="I436" s="2">
        <f t="shared" ref="I436:I499" si="170">+E436/G436</f>
        <v>36.071958266187167</v>
      </c>
      <c r="J436" s="2">
        <f t="shared" ref="J436:J499" si="171">+F436/H436</f>
        <v>15.781203281207624</v>
      </c>
      <c r="K436">
        <f t="shared" ref="K436:K499" si="172">+EXP(I436)</f>
        <v>4632894669210209</v>
      </c>
      <c r="L436" s="13">
        <f t="shared" si="162"/>
        <v>504953454.93606591</v>
      </c>
      <c r="M436" s="2">
        <f t="shared" ref="M436:M499" si="173">+EXP(J436)</f>
        <v>7139856.8222434418</v>
      </c>
      <c r="N436" s="2">
        <f t="shared" ref="N436:N499" si="174">+$B$13*(($B$15/$B$21)^($B$23-1))*K436</f>
        <v>3.023306969795457E+18</v>
      </c>
      <c r="O436" s="2">
        <f t="shared" ref="O436:O499" si="175">+$B$13*(($B$15/$B$22)^($B$23-1))*K436</f>
        <v>9560536090415486</v>
      </c>
      <c r="P436" s="2">
        <f t="shared" si="168"/>
        <v>1.341458701971722E+22</v>
      </c>
      <c r="Q436" s="2">
        <f t="shared" si="163"/>
        <v>2.0450614924910671E+20</v>
      </c>
    </row>
    <row r="437" spans="1:17" x14ac:dyDescent="0.2">
      <c r="A437">
        <f t="shared" si="147"/>
        <v>654</v>
      </c>
      <c r="B437">
        <f t="shared" si="169"/>
        <v>654000</v>
      </c>
      <c r="C437" s="1">
        <f t="shared" si="160"/>
        <v>21171942000</v>
      </c>
      <c r="D437">
        <f t="shared" si="164"/>
        <v>1800</v>
      </c>
      <c r="E437" s="2">
        <f t="shared" si="161"/>
        <v>540000</v>
      </c>
      <c r="F437" s="2">
        <f t="shared" si="165"/>
        <v>826407.18799999997</v>
      </c>
      <c r="G437" s="2">
        <f t="shared" si="166"/>
        <v>14965.919999999998</v>
      </c>
      <c r="H437" s="2">
        <f t="shared" si="167"/>
        <v>52380.719999999994</v>
      </c>
      <c r="I437" s="2">
        <f t="shared" si="170"/>
        <v>36.081978254594446</v>
      </c>
      <c r="J437" s="2">
        <f t="shared" si="171"/>
        <v>15.776934490400286</v>
      </c>
      <c r="K437">
        <f t="shared" si="172"/>
        <v>4679549570527004</v>
      </c>
      <c r="L437" s="13">
        <f t="shared" si="162"/>
        <v>507772197.46186489</v>
      </c>
      <c r="M437" s="2">
        <f t="shared" si="173"/>
        <v>7109443.2278954145</v>
      </c>
      <c r="N437" s="2">
        <f t="shared" si="174"/>
        <v>3.0537527490322703E+18</v>
      </c>
      <c r="O437" s="2">
        <f t="shared" si="175"/>
        <v>9656814097942480</v>
      </c>
      <c r="P437" s="2">
        <f t="shared" si="168"/>
        <v>1.3357445004390952E+22</v>
      </c>
      <c r="Q437" s="2">
        <f t="shared" si="163"/>
        <v>2.0564773997205527E+20</v>
      </c>
    </row>
    <row r="438" spans="1:17" x14ac:dyDescent="0.2">
      <c r="A438">
        <f t="shared" si="147"/>
        <v>653</v>
      </c>
      <c r="B438">
        <f t="shared" si="169"/>
        <v>653000</v>
      </c>
      <c r="C438" s="1">
        <f t="shared" si="160"/>
        <v>21139569000</v>
      </c>
      <c r="D438">
        <f t="shared" si="164"/>
        <v>1799.5</v>
      </c>
      <c r="E438" s="2">
        <f t="shared" si="161"/>
        <v>540000</v>
      </c>
      <c r="F438" s="2">
        <f t="shared" si="165"/>
        <v>825953.96600000001</v>
      </c>
      <c r="G438" s="2">
        <f t="shared" si="166"/>
        <v>14961.762799999999</v>
      </c>
      <c r="H438" s="2">
        <f t="shared" si="167"/>
        <v>52366.169799999996</v>
      </c>
      <c r="I438" s="2">
        <f t="shared" si="170"/>
        <v>36.09200381120867</v>
      </c>
      <c r="J438" s="2">
        <f t="shared" si="171"/>
        <v>15.772663327383553</v>
      </c>
      <c r="K438">
        <f t="shared" si="172"/>
        <v>4726700622510221</v>
      </c>
      <c r="L438" s="13">
        <f t="shared" si="162"/>
        <v>510608254.2617017</v>
      </c>
      <c r="M438" s="2">
        <f t="shared" si="173"/>
        <v>7079142.3928782213</v>
      </c>
      <c r="N438" s="2">
        <f t="shared" si="174"/>
        <v>3.0845223033330483E+18</v>
      </c>
      <c r="O438" s="2">
        <f t="shared" si="175"/>
        <v>9754115972121168</v>
      </c>
      <c r="P438" s="2">
        <f t="shared" si="168"/>
        <v>1.3300514844833424E+22</v>
      </c>
      <c r="Q438" s="2">
        <f t="shared" si="163"/>
        <v>2.0679634297598919E+20</v>
      </c>
    </row>
    <row r="439" spans="1:17" x14ac:dyDescent="0.2">
      <c r="A439">
        <f t="shared" si="147"/>
        <v>652</v>
      </c>
      <c r="B439">
        <f t="shared" si="169"/>
        <v>652000</v>
      </c>
      <c r="C439" s="1">
        <f t="shared" si="160"/>
        <v>21107196000</v>
      </c>
      <c r="D439">
        <f t="shared" si="164"/>
        <v>1799</v>
      </c>
      <c r="E439" s="2">
        <f t="shared" si="161"/>
        <v>540000</v>
      </c>
      <c r="F439" s="2">
        <f t="shared" si="165"/>
        <v>825500.74399999995</v>
      </c>
      <c r="G439" s="2">
        <f t="shared" si="166"/>
        <v>14957.605599999999</v>
      </c>
      <c r="H439" s="2">
        <f t="shared" si="167"/>
        <v>52351.619599999991</v>
      </c>
      <c r="I439" s="2">
        <f t="shared" si="170"/>
        <v>36.102034940672596</v>
      </c>
      <c r="J439" s="2">
        <f t="shared" si="171"/>
        <v>15.768389790179482</v>
      </c>
      <c r="K439">
        <f t="shared" si="172"/>
        <v>4774353374271168</v>
      </c>
      <c r="L439" s="13">
        <f t="shared" si="162"/>
        <v>513461740.96066952</v>
      </c>
      <c r="M439" s="2">
        <f t="shared" si="173"/>
        <v>7048953.9661163483</v>
      </c>
      <c r="N439" s="2">
        <f t="shared" si="174"/>
        <v>3.1156192539039887E+18</v>
      </c>
      <c r="O439" s="2">
        <f t="shared" si="175"/>
        <v>9852453164211014</v>
      </c>
      <c r="P439" s="2">
        <f t="shared" si="168"/>
        <v>1.3243795881432942E+22</v>
      </c>
      <c r="Q439" s="2">
        <f t="shared" si="163"/>
        <v>2.0795200508907117E+20</v>
      </c>
    </row>
    <row r="440" spans="1:17" x14ac:dyDescent="0.2">
      <c r="A440">
        <f t="shared" si="147"/>
        <v>651</v>
      </c>
      <c r="B440">
        <f t="shared" si="169"/>
        <v>651000</v>
      </c>
      <c r="C440" s="1">
        <f t="shared" si="160"/>
        <v>21074823000</v>
      </c>
      <c r="D440">
        <f t="shared" si="164"/>
        <v>1798.5</v>
      </c>
      <c r="E440" s="2">
        <f t="shared" si="161"/>
        <v>540000</v>
      </c>
      <c r="F440" s="2">
        <f t="shared" si="165"/>
        <v>825047.522</v>
      </c>
      <c r="G440" s="2">
        <f t="shared" si="166"/>
        <v>14953.448399999999</v>
      </c>
      <c r="H440" s="2">
        <f t="shared" si="167"/>
        <v>52337.069399999993</v>
      </c>
      <c r="I440" s="2">
        <f t="shared" si="170"/>
        <v>36.112071647634139</v>
      </c>
      <c r="J440" s="2">
        <f t="shared" si="171"/>
        <v>15.764113876807938</v>
      </c>
      <c r="K440">
        <f t="shared" si="172"/>
        <v>4822513439967946</v>
      </c>
      <c r="L440" s="13">
        <f t="shared" si="162"/>
        <v>516332774.01574653</v>
      </c>
      <c r="M440" s="2">
        <f t="shared" si="173"/>
        <v>7018877.5973957572</v>
      </c>
      <c r="N440" s="2">
        <f t="shared" si="174"/>
        <v>3.1470472643991419E+18</v>
      </c>
      <c r="O440" s="2">
        <f t="shared" si="175"/>
        <v>9951837259703372</v>
      </c>
      <c r="P440" s="2">
        <f t="shared" si="168"/>
        <v>1.3187287456196384E+22</v>
      </c>
      <c r="Q440" s="2">
        <f t="shared" si="163"/>
        <v>2.0911477347637736E+20</v>
      </c>
    </row>
    <row r="441" spans="1:17" x14ac:dyDescent="0.2">
      <c r="A441">
        <f t="shared" si="147"/>
        <v>650</v>
      </c>
      <c r="B441">
        <f t="shared" si="169"/>
        <v>650000</v>
      </c>
      <c r="C441" s="1">
        <f t="shared" si="160"/>
        <v>21042450000</v>
      </c>
      <c r="D441">
        <f t="shared" si="164"/>
        <v>1798</v>
      </c>
      <c r="E441" s="2">
        <f t="shared" si="161"/>
        <v>540000</v>
      </c>
      <c r="F441" s="2">
        <f t="shared" si="165"/>
        <v>824594.3</v>
      </c>
      <c r="G441" s="2">
        <f t="shared" si="166"/>
        <v>14949.291199999998</v>
      </c>
      <c r="H441" s="2">
        <f t="shared" si="167"/>
        <v>52322.519199999995</v>
      </c>
      <c r="I441" s="2">
        <f t="shared" si="170"/>
        <v>36.122113936746388</v>
      </c>
      <c r="J441" s="2">
        <f t="shared" si="171"/>
        <v>15.759835585286575</v>
      </c>
      <c r="K441">
        <f t="shared" si="172"/>
        <v>4871186499602260</v>
      </c>
      <c r="L441" s="13">
        <f t="shared" si="162"/>
        <v>519221470.72219068</v>
      </c>
      <c r="M441" s="2">
        <f t="shared" si="173"/>
        <v>6988912.937362344</v>
      </c>
      <c r="N441" s="2">
        <f t="shared" si="174"/>
        <v>3.1788100414403855E+18</v>
      </c>
      <c r="O441" s="2">
        <f t="shared" si="175"/>
        <v>1.0052279979965806E+16</v>
      </c>
      <c r="P441" s="2">
        <f t="shared" si="168"/>
        <v>1.3130988912746298E+22</v>
      </c>
      <c r="Q441" s="2">
        <f t="shared" si="163"/>
        <v>2.1028469564248723E+20</v>
      </c>
    </row>
    <row r="442" spans="1:17" x14ac:dyDescent="0.2">
      <c r="A442">
        <f t="shared" si="147"/>
        <v>649</v>
      </c>
      <c r="B442">
        <f t="shared" si="169"/>
        <v>649000</v>
      </c>
      <c r="C442" s="1">
        <f t="shared" si="160"/>
        <v>21010077000</v>
      </c>
      <c r="D442">
        <f t="shared" si="164"/>
        <v>1797.5</v>
      </c>
      <c r="E442" s="2">
        <f t="shared" si="161"/>
        <v>540000</v>
      </c>
      <c r="F442" s="2">
        <f t="shared" si="165"/>
        <v>824141.07799999998</v>
      </c>
      <c r="G442" s="2">
        <f t="shared" si="166"/>
        <v>14945.133999999998</v>
      </c>
      <c r="H442" s="2">
        <f t="shared" si="167"/>
        <v>52307.968999999997</v>
      </c>
      <c r="I442" s="2">
        <f t="shared" si="170"/>
        <v>36.13216181266759</v>
      </c>
      <c r="J442" s="2">
        <f t="shared" si="171"/>
        <v>15.755554913630847</v>
      </c>
      <c r="K442">
        <f t="shared" si="172"/>
        <v>4920378299826256</v>
      </c>
      <c r="L442" s="13">
        <f t="shared" si="162"/>
        <v>522127949.21998876</v>
      </c>
      <c r="M442" s="2">
        <f t="shared" si="173"/>
        <v>6959059.6375206048</v>
      </c>
      <c r="N442" s="2">
        <f t="shared" si="174"/>
        <v>3.2109113351439498E+18</v>
      </c>
      <c r="O442" s="2">
        <f t="shared" si="175"/>
        <v>1.015379318390709E+16</v>
      </c>
      <c r="P442" s="2">
        <f t="shared" si="168"/>
        <v>1.3074899596318398E+22</v>
      </c>
      <c r="Q442" s="2">
        <f t="shared" si="163"/>
        <v>2.1146181943409544E+20</v>
      </c>
    </row>
    <row r="443" spans="1:17" x14ac:dyDescent="0.2">
      <c r="A443">
        <f t="shared" si="147"/>
        <v>648</v>
      </c>
      <c r="B443">
        <f t="shared" si="169"/>
        <v>648000</v>
      </c>
      <c r="C443" s="1">
        <f t="shared" si="160"/>
        <v>20977704000</v>
      </c>
      <c r="D443">
        <f t="shared" si="164"/>
        <v>1797</v>
      </c>
      <c r="E443" s="2">
        <f t="shared" si="161"/>
        <v>540000</v>
      </c>
      <c r="F443" s="2">
        <f t="shared" si="165"/>
        <v>823687.85599999991</v>
      </c>
      <c r="G443" s="2">
        <f t="shared" si="166"/>
        <v>14940.976799999999</v>
      </c>
      <c r="H443" s="2">
        <f t="shared" si="167"/>
        <v>52293.418799999992</v>
      </c>
      <c r="I443" s="2">
        <f t="shared" si="170"/>
        <v>36.142215280061208</v>
      </c>
      <c r="J443" s="2">
        <f t="shared" si="171"/>
        <v>15.751271859853999</v>
      </c>
      <c r="K443">
        <f t="shared" si="172"/>
        <v>4970094654760017</v>
      </c>
      <c r="L443" s="13">
        <f t="shared" si="162"/>
        <v>525052328.50037831</v>
      </c>
      <c r="M443" s="2">
        <f t="shared" si="173"/>
        <v>6929317.3502321495</v>
      </c>
      <c r="N443" s="2">
        <f t="shared" si="174"/>
        <v>3.2433549396538895E+18</v>
      </c>
      <c r="O443" s="2">
        <f t="shared" si="175"/>
        <v>1.025638886966421E+16</v>
      </c>
      <c r="P443" s="2">
        <f t="shared" si="168"/>
        <v>1.3019018853758766E+22</v>
      </c>
      <c r="Q443" s="2">
        <f t="shared" si="163"/>
        <v>2.1264619304265322E+20</v>
      </c>
    </row>
    <row r="444" spans="1:17" x14ac:dyDescent="0.2">
      <c r="A444">
        <f t="shared" si="147"/>
        <v>647</v>
      </c>
      <c r="B444">
        <f t="shared" si="169"/>
        <v>647000</v>
      </c>
      <c r="C444" s="1">
        <f t="shared" si="160"/>
        <v>20945331000</v>
      </c>
      <c r="D444">
        <f t="shared" si="164"/>
        <v>1796.5</v>
      </c>
      <c r="E444" s="2">
        <f t="shared" si="161"/>
        <v>540000</v>
      </c>
      <c r="F444" s="2">
        <f t="shared" si="165"/>
        <v>823234.63399999996</v>
      </c>
      <c r="G444" s="2">
        <f t="shared" si="166"/>
        <v>14936.819599999999</v>
      </c>
      <c r="H444" s="2">
        <f t="shared" si="167"/>
        <v>52278.868599999994</v>
      </c>
      <c r="I444" s="2">
        <f t="shared" si="170"/>
        <v>36.152274343595877</v>
      </c>
      <c r="J444" s="2">
        <f t="shared" si="171"/>
        <v>15.74698642196706</v>
      </c>
      <c r="K444">
        <f t="shared" si="172"/>
        <v>5020341446819020</v>
      </c>
      <c r="L444" s="13">
        <f t="shared" si="162"/>
        <v>527994728.41239733</v>
      </c>
      <c r="M444" s="2">
        <f t="shared" si="173"/>
        <v>6899685.7287142547</v>
      </c>
      <c r="N444" s="2">
        <f t="shared" si="174"/>
        <v>3.2761446936820649E+18</v>
      </c>
      <c r="O444" s="2">
        <f t="shared" si="175"/>
        <v>1.0360079176309924E+16</v>
      </c>
      <c r="P444" s="2">
        <f t="shared" si="168"/>
        <v>1.2963346033521143E+22</v>
      </c>
      <c r="Q444" s="2">
        <f t="shared" si="163"/>
        <v>2.138378650070209E+20</v>
      </c>
    </row>
    <row r="445" spans="1:17" x14ac:dyDescent="0.2">
      <c r="A445">
        <f t="shared" si="147"/>
        <v>646</v>
      </c>
      <c r="B445">
        <f t="shared" si="169"/>
        <v>646000</v>
      </c>
      <c r="C445" s="1">
        <f t="shared" si="160"/>
        <v>20912958000</v>
      </c>
      <c r="D445">
        <f t="shared" si="164"/>
        <v>1796</v>
      </c>
      <c r="E445" s="2">
        <f t="shared" si="161"/>
        <v>540000</v>
      </c>
      <c r="F445" s="2">
        <f t="shared" si="165"/>
        <v>822781.41200000001</v>
      </c>
      <c r="G445" s="2">
        <f t="shared" si="166"/>
        <v>14932.662399999999</v>
      </c>
      <c r="H445" s="2">
        <f t="shared" si="167"/>
        <v>52264.318399999996</v>
      </c>
      <c r="I445" s="2">
        <f t="shared" si="170"/>
        <v>36.162339007945427</v>
      </c>
      <c r="J445" s="2">
        <f t="shared" si="171"/>
        <v>15.742698597978848</v>
      </c>
      <c r="K445">
        <f t="shared" si="172"/>
        <v>5071124627552480</v>
      </c>
      <c r="L445" s="13">
        <f t="shared" si="162"/>
        <v>530955269.66950262</v>
      </c>
      <c r="M445" s="2">
        <f t="shared" si="173"/>
        <v>6870164.4270384405</v>
      </c>
      <c r="N445" s="2">
        <f t="shared" si="174"/>
        <v>3.3092844810552202E+18</v>
      </c>
      <c r="O445" s="2">
        <f t="shared" si="175"/>
        <v>1.0464876385582784E+16</v>
      </c>
      <c r="P445" s="2">
        <f t="shared" si="168"/>
        <v>1.2907880485664246E+22</v>
      </c>
      <c r="Q445" s="2">
        <f t="shared" si="163"/>
        <v>2.1503688421614856E+20</v>
      </c>
    </row>
    <row r="446" spans="1:17" x14ac:dyDescent="0.2">
      <c r="A446">
        <f t="shared" si="147"/>
        <v>645</v>
      </c>
      <c r="B446">
        <f t="shared" si="169"/>
        <v>645000</v>
      </c>
      <c r="C446" s="1">
        <f t="shared" si="160"/>
        <v>20880585000</v>
      </c>
      <c r="D446">
        <f t="shared" si="164"/>
        <v>1795.5</v>
      </c>
      <c r="E446" s="2">
        <f t="shared" si="161"/>
        <v>540000</v>
      </c>
      <c r="F446" s="2">
        <f t="shared" si="165"/>
        <v>822328.19</v>
      </c>
      <c r="G446" s="2">
        <f t="shared" si="166"/>
        <v>14928.505199999998</v>
      </c>
      <c r="H446" s="2">
        <f t="shared" si="167"/>
        <v>52249.768199999991</v>
      </c>
      <c r="I446" s="2">
        <f t="shared" si="170"/>
        <v>36.172409277788915</v>
      </c>
      <c r="J446" s="2">
        <f t="shared" si="171"/>
        <v>15.73840838589596</v>
      </c>
      <c r="K446">
        <f t="shared" si="172"/>
        <v>5122450218492503</v>
      </c>
      <c r="L446" s="13">
        <f t="shared" si="162"/>
        <v>533934073.85624194</v>
      </c>
      <c r="M446" s="2">
        <f t="shared" si="173"/>
        <v>6840753.10012904</v>
      </c>
      <c r="N446" s="2">
        <f t="shared" si="174"/>
        <v>3.3427782312691215E+18</v>
      </c>
      <c r="O446" s="2">
        <f t="shared" si="175"/>
        <v>1.0570792923639464E+16</v>
      </c>
      <c r="P446" s="2">
        <f t="shared" si="168"/>
        <v>1.2852621561849086E+22</v>
      </c>
      <c r="Q446" s="2">
        <f t="shared" si="163"/>
        <v>2.1624329991177798E+20</v>
      </c>
    </row>
    <row r="447" spans="1:17" x14ac:dyDescent="0.2">
      <c r="A447">
        <f t="shared" si="147"/>
        <v>644</v>
      </c>
      <c r="B447">
        <f t="shared" si="169"/>
        <v>644000</v>
      </c>
      <c r="C447" s="1">
        <f t="shared" si="160"/>
        <v>20848212000</v>
      </c>
      <c r="D447">
        <f t="shared" si="164"/>
        <v>1795</v>
      </c>
      <c r="E447" s="2">
        <f t="shared" si="161"/>
        <v>540000</v>
      </c>
      <c r="F447" s="2">
        <f t="shared" si="165"/>
        <v>821874.96799999999</v>
      </c>
      <c r="G447" s="2">
        <f t="shared" si="166"/>
        <v>14924.347999999998</v>
      </c>
      <c r="H447" s="2">
        <f t="shared" si="167"/>
        <v>52235.217999999993</v>
      </c>
      <c r="I447" s="2">
        <f t="shared" si="170"/>
        <v>36.182485157810582</v>
      </c>
      <c r="J447" s="2">
        <f t="shared" si="171"/>
        <v>15.734115783722777</v>
      </c>
      <c r="K447">
        <f t="shared" si="172"/>
        <v>5174324312013664</v>
      </c>
      <c r="L447" s="13">
        <f t="shared" si="162"/>
        <v>536931263.43496633</v>
      </c>
      <c r="M447" s="2">
        <f t="shared" si="173"/>
        <v>6811451.4037617641</v>
      </c>
      <c r="N447" s="2">
        <f t="shared" si="174"/>
        <v>3.3766299200494935E+18</v>
      </c>
      <c r="O447" s="2">
        <f t="shared" si="175"/>
        <v>1.0677841362828606E+16</v>
      </c>
      <c r="P447" s="2">
        <f t="shared" si="168"/>
        <v>1.2797568615336267E+22</v>
      </c>
      <c r="Q447" s="2">
        <f t="shared" si="163"/>
        <v>2.1745716169116136E+20</v>
      </c>
    </row>
    <row r="448" spans="1:17" x14ac:dyDescent="0.2">
      <c r="A448">
        <f t="shared" si="147"/>
        <v>643</v>
      </c>
      <c r="B448">
        <f t="shared" si="169"/>
        <v>643000</v>
      </c>
      <c r="C448" s="1">
        <f t="shared" si="160"/>
        <v>20815839000</v>
      </c>
      <c r="D448">
        <f t="shared" si="164"/>
        <v>1794.5</v>
      </c>
      <c r="E448" s="2">
        <f t="shared" si="161"/>
        <v>540000</v>
      </c>
      <c r="F448" s="2">
        <f t="shared" si="165"/>
        <v>821421.74600000004</v>
      </c>
      <c r="G448" s="2">
        <f t="shared" si="166"/>
        <v>14920.190799999998</v>
      </c>
      <c r="H448" s="2">
        <f t="shared" si="167"/>
        <v>52220.667799999996</v>
      </c>
      <c r="I448" s="2">
        <f t="shared" si="170"/>
        <v>36.192566652699917</v>
      </c>
      <c r="J448" s="2">
        <f t="shared" si="171"/>
        <v>15.729820789461449</v>
      </c>
      <c r="K448">
        <f t="shared" si="172"/>
        <v>5226753072204220</v>
      </c>
      <c r="L448" s="13">
        <f t="shared" si="162"/>
        <v>539946961.7526257</v>
      </c>
      <c r="M448" s="2">
        <f t="shared" si="173"/>
        <v>6782258.9945622487</v>
      </c>
      <c r="N448" s="2">
        <f t="shared" si="174"/>
        <v>3.4108435699205499E+18</v>
      </c>
      <c r="O448" s="2">
        <f t="shared" si="175"/>
        <v>1.078603442348867E+16</v>
      </c>
      <c r="P448" s="2">
        <f t="shared" si="168"/>
        <v>1.274272100098326E+22</v>
      </c>
      <c r="Q448" s="2">
        <f t="shared" si="163"/>
        <v>2.186785195098134E+20</v>
      </c>
    </row>
    <row r="449" spans="1:17" x14ac:dyDescent="0.2">
      <c r="A449">
        <f t="shared" ref="A449:A512" si="176">+A448-1</f>
        <v>642</v>
      </c>
      <c r="B449">
        <f t="shared" si="169"/>
        <v>642000</v>
      </c>
      <c r="C449" s="1">
        <f t="shared" si="160"/>
        <v>20783466000</v>
      </c>
      <c r="D449">
        <f t="shared" si="164"/>
        <v>1794</v>
      </c>
      <c r="E449" s="2">
        <f t="shared" si="161"/>
        <v>540000</v>
      </c>
      <c r="F449" s="2">
        <f t="shared" si="165"/>
        <v>820968.52399999998</v>
      </c>
      <c r="G449" s="2">
        <f t="shared" si="166"/>
        <v>14916.033599999999</v>
      </c>
      <c r="H449" s="2">
        <f t="shared" si="167"/>
        <v>52206.117599999998</v>
      </c>
      <c r="I449" s="2">
        <f t="shared" si="170"/>
        <v>36.202653767151617</v>
      </c>
      <c r="J449" s="2">
        <f t="shared" si="171"/>
        <v>15.725523401111904</v>
      </c>
      <c r="K449">
        <f t="shared" si="172"/>
        <v>5279742735747892</v>
      </c>
      <c r="L449" s="13">
        <f t="shared" si="162"/>
        <v>542981293.04758763</v>
      </c>
      <c r="M449" s="2">
        <f t="shared" si="173"/>
        <v>6753175.5300046327</v>
      </c>
      <c r="N449" s="2">
        <f t="shared" si="174"/>
        <v>3.4454232507804237E+18</v>
      </c>
      <c r="O449" s="2">
        <f t="shared" si="175"/>
        <v>1.08953849757676E+16</v>
      </c>
      <c r="P449" s="2">
        <f t="shared" si="168"/>
        <v>1.2688078075241731E+22</v>
      </c>
      <c r="Q449" s="2">
        <f t="shared" si="163"/>
        <v>2.1990742368427298E+20</v>
      </c>
    </row>
    <row r="450" spans="1:17" x14ac:dyDescent="0.2">
      <c r="A450">
        <f t="shared" si="176"/>
        <v>641</v>
      </c>
      <c r="B450">
        <f t="shared" si="169"/>
        <v>641000</v>
      </c>
      <c r="C450" s="1">
        <f t="shared" si="160"/>
        <v>20751093000</v>
      </c>
      <c r="D450">
        <f t="shared" si="164"/>
        <v>1793.5</v>
      </c>
      <c r="E450" s="2">
        <f t="shared" si="161"/>
        <v>540000</v>
      </c>
      <c r="F450" s="2">
        <f t="shared" si="165"/>
        <v>820515.30199999991</v>
      </c>
      <c r="G450" s="2">
        <f t="shared" si="166"/>
        <v>14911.876399999999</v>
      </c>
      <c r="H450" s="2">
        <f t="shared" si="167"/>
        <v>52191.567399999993</v>
      </c>
      <c r="I450" s="2">
        <f t="shared" si="170"/>
        <v>36.212746505865624</v>
      </c>
      <c r="J450" s="2">
        <f t="shared" si="171"/>
        <v>15.721223616671839</v>
      </c>
      <c r="K450">
        <f t="shared" si="172"/>
        <v>5333299612817360</v>
      </c>
      <c r="L450" s="13">
        <f t="shared" si="162"/>
        <v>546034382.45653987</v>
      </c>
      <c r="M450" s="2">
        <f t="shared" si="173"/>
        <v>6724200.6684101559</v>
      </c>
      <c r="N450" s="2">
        <f t="shared" si="174"/>
        <v>3.4803730804842368E+18</v>
      </c>
      <c r="O450" s="2">
        <f t="shared" si="175"/>
        <v>1.1005906041466658E+16</v>
      </c>
      <c r="P450" s="2">
        <f t="shared" si="168"/>
        <v>1.2633639196154902E+22</v>
      </c>
      <c r="Q450" s="2">
        <f t="shared" si="163"/>
        <v>2.2114392489489865E+20</v>
      </c>
    </row>
    <row r="451" spans="1:17" x14ac:dyDescent="0.2">
      <c r="A451">
        <f t="shared" si="176"/>
        <v>640</v>
      </c>
      <c r="B451">
        <f t="shared" si="169"/>
        <v>640000</v>
      </c>
      <c r="C451" s="1">
        <f t="shared" si="160"/>
        <v>20718720000</v>
      </c>
      <c r="D451">
        <f t="shared" si="164"/>
        <v>1793</v>
      </c>
      <c r="E451" s="2">
        <f t="shared" si="161"/>
        <v>540000</v>
      </c>
      <c r="F451" s="2">
        <f t="shared" si="165"/>
        <v>820062.08</v>
      </c>
      <c r="G451" s="2">
        <f t="shared" si="166"/>
        <v>14907.719199999998</v>
      </c>
      <c r="H451" s="2">
        <f t="shared" si="167"/>
        <v>52177.017199999995</v>
      </c>
      <c r="I451" s="2">
        <f t="shared" si="170"/>
        <v>36.222844873547125</v>
      </c>
      <c r="J451" s="2">
        <f t="shared" si="171"/>
        <v>15.716921434136715</v>
      </c>
      <c r="K451">
        <f t="shared" si="172"/>
        <v>5387430087979031</v>
      </c>
      <c r="L451" s="13">
        <f t="shared" si="162"/>
        <v>549106356.02143097</v>
      </c>
      <c r="M451" s="2">
        <f t="shared" si="173"/>
        <v>6695334.0689456528</v>
      </c>
      <c r="N451" s="2">
        <f t="shared" si="174"/>
        <v>3.5156972254345298E+18</v>
      </c>
      <c r="O451" s="2">
        <f t="shared" si="175"/>
        <v>1.1117610795907518E+16</v>
      </c>
      <c r="P451" s="2">
        <f t="shared" si="168"/>
        <v>1.2579403723354732E+22</v>
      </c>
      <c r="Q451" s="2">
        <f t="shared" si="163"/>
        <v>2.2238807418867954E+20</v>
      </c>
    </row>
    <row r="452" spans="1:17" x14ac:dyDescent="0.2">
      <c r="A452">
        <f t="shared" si="176"/>
        <v>639</v>
      </c>
      <c r="B452">
        <f t="shared" si="169"/>
        <v>639000</v>
      </c>
      <c r="C452" s="1">
        <f t="shared" si="160"/>
        <v>20686347000</v>
      </c>
      <c r="D452">
        <f t="shared" si="164"/>
        <v>1792.5</v>
      </c>
      <c r="E452" s="2">
        <f t="shared" si="161"/>
        <v>540000</v>
      </c>
      <c r="F452" s="2">
        <f t="shared" si="165"/>
        <v>819608.85800000001</v>
      </c>
      <c r="G452" s="2">
        <f t="shared" si="166"/>
        <v>14903.561999999998</v>
      </c>
      <c r="H452" s="2">
        <f t="shared" si="167"/>
        <v>52162.466999999997</v>
      </c>
      <c r="I452" s="2">
        <f t="shared" si="170"/>
        <v>36.232948874906555</v>
      </c>
      <c r="J452" s="2">
        <f t="shared" si="171"/>
        <v>15.712616851499758</v>
      </c>
      <c r="K452">
        <f t="shared" si="172"/>
        <v>5442140621109454</v>
      </c>
      <c r="L452" s="13">
        <f t="shared" si="162"/>
        <v>552197340.69647706</v>
      </c>
      <c r="M452" s="2">
        <f t="shared" si="173"/>
        <v>6666575.3916221941</v>
      </c>
      <c r="N452" s="2">
        <f t="shared" si="174"/>
        <v>3.5513999011792886E+18</v>
      </c>
      <c r="O452" s="2">
        <f t="shared" si="175"/>
        <v>1.1230512569823402E+16</v>
      </c>
      <c r="P452" s="2">
        <f t="shared" si="168"/>
        <v>1.252537101805935E+22</v>
      </c>
      <c r="Q452" s="2">
        <f t="shared" si="163"/>
        <v>2.236399229820732E+20</v>
      </c>
    </row>
    <row r="453" spans="1:17" x14ac:dyDescent="0.2">
      <c r="A453">
        <f t="shared" si="176"/>
        <v>638</v>
      </c>
      <c r="B453">
        <f t="shared" si="169"/>
        <v>638000</v>
      </c>
      <c r="C453" s="1">
        <f t="shared" si="160"/>
        <v>20653974000</v>
      </c>
      <c r="D453">
        <f t="shared" si="164"/>
        <v>1792</v>
      </c>
      <c r="E453" s="2">
        <f t="shared" si="161"/>
        <v>540000</v>
      </c>
      <c r="F453" s="2">
        <f t="shared" si="165"/>
        <v>819155.63599999994</v>
      </c>
      <c r="G453" s="2">
        <f t="shared" si="166"/>
        <v>14899.404799999998</v>
      </c>
      <c r="H453" s="2">
        <f t="shared" si="167"/>
        <v>52147.916799999992</v>
      </c>
      <c r="I453" s="2">
        <f t="shared" si="170"/>
        <v>36.243058514659594</v>
      </c>
      <c r="J453" s="2">
        <f t="shared" si="171"/>
        <v>15.708309866751955</v>
      </c>
      <c r="K453">
        <f t="shared" si="172"/>
        <v>5497437748323420</v>
      </c>
      <c r="L453" s="13">
        <f t="shared" si="162"/>
        <v>555307464.35522103</v>
      </c>
      <c r="M453" s="2">
        <f t="shared" si="173"/>
        <v>6637924.297293623</v>
      </c>
      <c r="N453" s="2">
        <f t="shared" si="174"/>
        <v>3.5874853730176E+18</v>
      </c>
      <c r="O453" s="2">
        <f t="shared" si="175"/>
        <v>1.134462485127433E+16</v>
      </c>
      <c r="P453" s="2">
        <f t="shared" si="168"/>
        <v>1.2471540443070314E+22</v>
      </c>
      <c r="Q453" s="2">
        <f t="shared" si="163"/>
        <v>2.2489952306386452E+20</v>
      </c>
    </row>
    <row r="454" spans="1:17" x14ac:dyDescent="0.2">
      <c r="A454">
        <f t="shared" si="176"/>
        <v>637</v>
      </c>
      <c r="B454">
        <f t="shared" si="169"/>
        <v>637000</v>
      </c>
      <c r="C454" s="1">
        <f t="shared" si="160"/>
        <v>20621601000</v>
      </c>
      <c r="D454">
        <f t="shared" si="164"/>
        <v>1791.5</v>
      </c>
      <c r="E454" s="2">
        <f t="shared" si="161"/>
        <v>540000</v>
      </c>
      <c r="F454" s="2">
        <f t="shared" si="165"/>
        <v>818702.41399999999</v>
      </c>
      <c r="G454" s="2">
        <f t="shared" si="166"/>
        <v>14895.247599999999</v>
      </c>
      <c r="H454" s="2">
        <f t="shared" si="167"/>
        <v>52133.366599999994</v>
      </c>
      <c r="I454" s="2">
        <f t="shared" si="170"/>
        <v>36.253173797527211</v>
      </c>
      <c r="J454" s="2">
        <f t="shared" si="171"/>
        <v>15.704000477882049</v>
      </c>
      <c r="K454">
        <f t="shared" si="172"/>
        <v>5553328082914261</v>
      </c>
      <c r="L454" s="13">
        <f t="shared" si="162"/>
        <v>558436855.79765904</v>
      </c>
      <c r="M454" s="2">
        <f t="shared" si="173"/>
        <v>6609380.4476551274</v>
      </c>
      <c r="N454" s="2">
        <f t="shared" si="174"/>
        <v>3.6239579566132675E+18</v>
      </c>
      <c r="O454" s="2">
        <f t="shared" si="175"/>
        <v>1.1459961287587532E+16</v>
      </c>
      <c r="P454" s="2">
        <f t="shared" si="168"/>
        <v>1.2417911362769933E+22</v>
      </c>
      <c r="Q454" s="2">
        <f t="shared" si="163"/>
        <v>2.2616692659805192E+20</v>
      </c>
    </row>
    <row r="455" spans="1:17" x14ac:dyDescent="0.2">
      <c r="A455">
        <f t="shared" si="176"/>
        <v>636</v>
      </c>
      <c r="B455">
        <f t="shared" si="169"/>
        <v>636000</v>
      </c>
      <c r="C455" s="1">
        <f t="shared" si="160"/>
        <v>20589228000</v>
      </c>
      <c r="D455">
        <f t="shared" si="164"/>
        <v>1791</v>
      </c>
      <c r="E455" s="2">
        <f t="shared" si="161"/>
        <v>540000</v>
      </c>
      <c r="F455" s="2">
        <f t="shared" si="165"/>
        <v>818249.19200000004</v>
      </c>
      <c r="G455" s="2">
        <f t="shared" si="166"/>
        <v>14891.090399999999</v>
      </c>
      <c r="H455" s="2">
        <f t="shared" si="167"/>
        <v>52118.816399999996</v>
      </c>
      <c r="I455" s="2">
        <f t="shared" si="170"/>
        <v>36.263294728235621</v>
      </c>
      <c r="J455" s="2">
        <f t="shared" si="171"/>
        <v>15.699688682876538</v>
      </c>
      <c r="K455">
        <f t="shared" si="172"/>
        <v>5609818316305796</v>
      </c>
      <c r="L455" s="13">
        <f t="shared" si="162"/>
        <v>561585644.75741482</v>
      </c>
      <c r="M455" s="2">
        <f t="shared" si="173"/>
        <v>6580943.5052418215</v>
      </c>
      <c r="N455" s="2">
        <f t="shared" si="174"/>
        <v>3.6608220186160225E+18</v>
      </c>
      <c r="O455" s="2">
        <f t="shared" si="175"/>
        <v>1.1576535687321906E+16</v>
      </c>
      <c r="P455" s="2">
        <f t="shared" si="168"/>
        <v>1.2364483143118587E+22</v>
      </c>
      <c r="Q455" s="2">
        <f t="shared" si="163"/>
        <v>2.2744218612675301E+20</v>
      </c>
    </row>
    <row r="456" spans="1:17" x14ac:dyDescent="0.2">
      <c r="A456">
        <f t="shared" si="176"/>
        <v>635</v>
      </c>
      <c r="B456">
        <f t="shared" si="169"/>
        <v>635000</v>
      </c>
      <c r="C456" s="1">
        <f t="shared" si="160"/>
        <v>20556855000</v>
      </c>
      <c r="D456">
        <f t="shared" si="164"/>
        <v>1790.5</v>
      </c>
      <c r="E456" s="2">
        <f t="shared" si="161"/>
        <v>540000</v>
      </c>
      <c r="F456" s="2">
        <f t="shared" si="165"/>
        <v>817795.97</v>
      </c>
      <c r="G456" s="2">
        <f t="shared" si="166"/>
        <v>14886.933199999998</v>
      </c>
      <c r="H456" s="2">
        <f t="shared" si="167"/>
        <v>52104.266199999991</v>
      </c>
      <c r="I456" s="2">
        <f t="shared" si="170"/>
        <v>36.273421311516337</v>
      </c>
      <c r="J456" s="2">
        <f t="shared" si="171"/>
        <v>15.695374479719669</v>
      </c>
      <c r="K456">
        <f t="shared" si="172"/>
        <v>5666915219016955</v>
      </c>
      <c r="L456" s="13">
        <f t="shared" si="162"/>
        <v>564753961.90897751</v>
      </c>
      <c r="M456" s="2">
        <f t="shared" si="173"/>
        <v>6552613.1334273126</v>
      </c>
      <c r="N456" s="2">
        <f t="shared" si="174"/>
        <v>3.6980819772910182E+18</v>
      </c>
      <c r="O456" s="2">
        <f t="shared" si="175"/>
        <v>1.1694362022258642E+16</v>
      </c>
      <c r="P456" s="2">
        <f t="shared" si="168"/>
        <v>1.231125515165205E+22</v>
      </c>
      <c r="Q456" s="2">
        <f t="shared" si="163"/>
        <v>2.287253545731359E+20</v>
      </c>
    </row>
    <row r="457" spans="1:17" x14ac:dyDescent="0.2">
      <c r="A457">
        <f t="shared" si="176"/>
        <v>634</v>
      </c>
      <c r="B457">
        <f t="shared" si="169"/>
        <v>634000</v>
      </c>
      <c r="C457" s="1">
        <f t="shared" si="160"/>
        <v>20524482000</v>
      </c>
      <c r="D457">
        <f t="shared" si="164"/>
        <v>1790</v>
      </c>
      <c r="E457" s="2">
        <f t="shared" si="161"/>
        <v>540000</v>
      </c>
      <c r="F457" s="2">
        <f t="shared" si="165"/>
        <v>817342.74799999991</v>
      </c>
      <c r="G457" s="2">
        <f t="shared" si="166"/>
        <v>14882.775999999998</v>
      </c>
      <c r="H457" s="2">
        <f t="shared" si="167"/>
        <v>52089.715999999993</v>
      </c>
      <c r="I457" s="2">
        <f t="shared" si="170"/>
        <v>36.283553552106142</v>
      </c>
      <c r="J457" s="2">
        <f t="shared" si="171"/>
        <v>15.691057866393436</v>
      </c>
      <c r="K457">
        <f t="shared" si="172"/>
        <v>5724625641638451</v>
      </c>
      <c r="L457" s="13">
        <f t="shared" si="162"/>
        <v>567941938.87499917</v>
      </c>
      <c r="M457" s="2">
        <f t="shared" si="173"/>
        <v>6524388.9964222349</v>
      </c>
      <c r="N457" s="2">
        <f t="shared" si="174"/>
        <v>3.7357423031561764E+18</v>
      </c>
      <c r="O457" s="2">
        <f t="shared" si="175"/>
        <v>1.1813454429416692E+16</v>
      </c>
      <c r="P457" s="2">
        <f t="shared" si="168"/>
        <v>1.2258226757478723E+22</v>
      </c>
      <c r="Q457" s="2">
        <f t="shared" si="163"/>
        <v>2.3001648524437465E+20</v>
      </c>
    </row>
    <row r="458" spans="1:17" x14ac:dyDescent="0.2">
      <c r="A458">
        <f t="shared" si="176"/>
        <v>633</v>
      </c>
      <c r="B458">
        <f t="shared" si="169"/>
        <v>633000</v>
      </c>
      <c r="C458" s="1">
        <f t="shared" si="160"/>
        <v>20492109000</v>
      </c>
      <c r="D458">
        <f t="shared" si="164"/>
        <v>1789.5</v>
      </c>
      <c r="E458" s="2">
        <f t="shared" si="161"/>
        <v>540000</v>
      </c>
      <c r="F458" s="2">
        <f t="shared" si="165"/>
        <v>816889.52600000007</v>
      </c>
      <c r="G458" s="2">
        <f t="shared" si="166"/>
        <v>14878.618799999998</v>
      </c>
      <c r="H458" s="2">
        <f t="shared" si="167"/>
        <v>52075.165799999995</v>
      </c>
      <c r="I458" s="2">
        <f t="shared" si="170"/>
        <v>36.293691454747133</v>
      </c>
      <c r="J458" s="2">
        <f t="shared" si="171"/>
        <v>15.686738840877586</v>
      </c>
      <c r="K458">
        <f t="shared" si="172"/>
        <v>5782956515822387</v>
      </c>
      <c r="L458" s="13">
        <f t="shared" si="162"/>
        <v>571149708.23365605</v>
      </c>
      <c r="M458" s="2">
        <f t="shared" si="173"/>
        <v>6496270.7592729554</v>
      </c>
      <c r="N458" s="2">
        <f t="shared" si="174"/>
        <v>3.7738075196279808E+18</v>
      </c>
      <c r="O458" s="2">
        <f t="shared" si="175"/>
        <v>1.1933827213094952E+16</v>
      </c>
      <c r="P458" s="2">
        <f t="shared" si="168"/>
        <v>1.2205397331277215E+22</v>
      </c>
      <c r="Q458" s="2">
        <f t="shared" si="163"/>
        <v>2.3131563183463068E+20</v>
      </c>
    </row>
    <row r="459" spans="1:17" x14ac:dyDescent="0.2">
      <c r="A459">
        <f t="shared" si="176"/>
        <v>632</v>
      </c>
      <c r="B459">
        <f t="shared" si="169"/>
        <v>632000</v>
      </c>
      <c r="C459" s="1">
        <f t="shared" si="160"/>
        <v>20459736000</v>
      </c>
      <c r="D459">
        <f t="shared" si="164"/>
        <v>1789</v>
      </c>
      <c r="E459" s="2">
        <f t="shared" si="161"/>
        <v>540000</v>
      </c>
      <c r="F459" s="2">
        <f t="shared" si="165"/>
        <v>816436.304</v>
      </c>
      <c r="G459" s="2">
        <f t="shared" si="166"/>
        <v>14874.461599999999</v>
      </c>
      <c r="H459" s="2">
        <f t="shared" si="167"/>
        <v>52060.615599999997</v>
      </c>
      <c r="I459" s="2">
        <f t="shared" si="170"/>
        <v>36.303835024186697</v>
      </c>
      <c r="J459" s="2">
        <f t="shared" si="171"/>
        <v>15.682417401149594</v>
      </c>
      <c r="K459">
        <f t="shared" si="172"/>
        <v>5841914855284200</v>
      </c>
      <c r="L459" s="13">
        <f t="shared" si="162"/>
        <v>574377403.52606547</v>
      </c>
      <c r="M459" s="2">
        <f t="shared" si="173"/>
        <v>6468258.0878599435</v>
      </c>
      <c r="N459" s="2">
        <f t="shared" si="174"/>
        <v>3.8122822036753203E+18</v>
      </c>
      <c r="O459" s="2">
        <f t="shared" si="175"/>
        <v>1.205549484693989E+16</v>
      </c>
      <c r="P459" s="2">
        <f t="shared" si="168"/>
        <v>1.2152766245293263E+22</v>
      </c>
      <c r="Q459" s="2">
        <f t="shared" si="163"/>
        <v>2.3262284842805651E+20</v>
      </c>
    </row>
    <row r="460" spans="1:17" x14ac:dyDescent="0.2">
      <c r="A460">
        <f t="shared" si="176"/>
        <v>631</v>
      </c>
      <c r="B460">
        <f t="shared" si="169"/>
        <v>631000</v>
      </c>
      <c r="C460" s="1">
        <f t="shared" si="160"/>
        <v>20427363000</v>
      </c>
      <c r="D460">
        <f t="shared" si="164"/>
        <v>1788.5</v>
      </c>
      <c r="E460" s="2">
        <f t="shared" si="161"/>
        <v>540000</v>
      </c>
      <c r="F460" s="2">
        <f t="shared" si="165"/>
        <v>815983.08199999994</v>
      </c>
      <c r="G460" s="2">
        <f t="shared" si="166"/>
        <v>14870.304399999999</v>
      </c>
      <c r="H460" s="2">
        <f t="shared" si="167"/>
        <v>52046.065399999992</v>
      </c>
      <c r="I460" s="2">
        <f t="shared" si="170"/>
        <v>36.313984265177517</v>
      </c>
      <c r="J460" s="2">
        <f t="shared" si="171"/>
        <v>15.678093545184687</v>
      </c>
      <c r="K460">
        <f t="shared" si="172"/>
        <v>5901507756817753</v>
      </c>
      <c r="L460" s="13">
        <f t="shared" si="162"/>
        <v>577625159.26376712</v>
      </c>
      <c r="M460" s="2">
        <f t="shared" si="173"/>
        <v>6440350.6488965536</v>
      </c>
      <c r="N460" s="2">
        <f t="shared" si="174"/>
        <v>3.8511709864819103E+18</v>
      </c>
      <c r="O460" s="2">
        <f t="shared" si="175"/>
        <v>1.217847197604031E+16</v>
      </c>
      <c r="P460" s="2">
        <f t="shared" si="168"/>
        <v>1.2100332873337465E+22</v>
      </c>
      <c r="Q460" s="2">
        <f t="shared" si="163"/>
        <v>2.3393818950182568E+20</v>
      </c>
    </row>
    <row r="461" spans="1:17" x14ac:dyDescent="0.2">
      <c r="A461">
        <f t="shared" si="176"/>
        <v>630</v>
      </c>
      <c r="B461">
        <f t="shared" si="169"/>
        <v>630000</v>
      </c>
      <c r="C461" s="1">
        <f t="shared" si="160"/>
        <v>20394990000</v>
      </c>
      <c r="D461">
        <f t="shared" si="164"/>
        <v>1788</v>
      </c>
      <c r="E461" s="2">
        <f t="shared" si="161"/>
        <v>540000</v>
      </c>
      <c r="F461" s="2">
        <f t="shared" si="165"/>
        <v>815529.86</v>
      </c>
      <c r="G461" s="2">
        <f t="shared" si="166"/>
        <v>14866.147199999998</v>
      </c>
      <c r="H461" s="2">
        <f t="shared" si="167"/>
        <v>52031.515199999994</v>
      </c>
      <c r="I461" s="2">
        <f t="shared" si="170"/>
        <v>36.32413918247763</v>
      </c>
      <c r="J461" s="2">
        <f t="shared" si="171"/>
        <v>15.673767270955816</v>
      </c>
      <c r="K461">
        <f t="shared" si="172"/>
        <v>5961742401323732</v>
      </c>
      <c r="L461" s="13">
        <f t="shared" si="162"/>
        <v>580893110.93625605</v>
      </c>
      <c r="M461" s="2">
        <f t="shared" si="173"/>
        <v>6412548.1099274391</v>
      </c>
      <c r="N461" s="2">
        <f t="shared" si="174"/>
        <v>3.8904785541173996E+18</v>
      </c>
      <c r="O461" s="2">
        <f t="shared" si="175"/>
        <v>1.2302773419049574E+16</v>
      </c>
      <c r="P461" s="2">
        <f t="shared" si="168"/>
        <v>1.204809659078228E+22</v>
      </c>
      <c r="Q461" s="2">
        <f t="shared" si="163"/>
        <v>2.3526170992918371E+20</v>
      </c>
    </row>
    <row r="462" spans="1:17" x14ac:dyDescent="0.2">
      <c r="A462">
        <f t="shared" si="176"/>
        <v>629</v>
      </c>
      <c r="B462">
        <f t="shared" si="169"/>
        <v>629000</v>
      </c>
      <c r="C462" s="1">
        <f t="shared" si="160"/>
        <v>20362617000</v>
      </c>
      <c r="D462">
        <f t="shared" si="164"/>
        <v>1787.5</v>
      </c>
      <c r="E462" s="2">
        <f t="shared" si="161"/>
        <v>540000</v>
      </c>
      <c r="F462" s="2">
        <f t="shared" si="165"/>
        <v>815076.63800000004</v>
      </c>
      <c r="G462" s="2">
        <f t="shared" si="166"/>
        <v>14861.989999999998</v>
      </c>
      <c r="H462" s="2">
        <f t="shared" si="167"/>
        <v>52016.964999999997</v>
      </c>
      <c r="I462" s="2">
        <f t="shared" si="170"/>
        <v>36.334299780850351</v>
      </c>
      <c r="J462" s="2">
        <f t="shared" si="171"/>
        <v>15.669438576433672</v>
      </c>
      <c r="K462">
        <f t="shared" si="172"/>
        <v>6022626054850583</v>
      </c>
      <c r="L462" s="13">
        <f t="shared" si="162"/>
        <v>584181395.01860094</v>
      </c>
      <c r="M462" s="2">
        <f t="shared" si="173"/>
        <v>6384850.1393272532</v>
      </c>
      <c r="N462" s="2">
        <f t="shared" si="174"/>
        <v>3.9302096482166574E+18</v>
      </c>
      <c r="O462" s="2">
        <f t="shared" si="175"/>
        <v>1.2428414170333704E+16</v>
      </c>
      <c r="P462" s="2">
        <f t="shared" si="168"/>
        <v>1.1996056774559605E+22</v>
      </c>
      <c r="Q462" s="2">
        <f t="shared" si="163"/>
        <v>2.3659346498253337E+20</v>
      </c>
    </row>
    <row r="463" spans="1:17" x14ac:dyDescent="0.2">
      <c r="A463">
        <f t="shared" si="176"/>
        <v>628</v>
      </c>
      <c r="B463">
        <f t="shared" si="169"/>
        <v>628000</v>
      </c>
      <c r="C463" s="1">
        <f t="shared" si="160"/>
        <v>20330244000</v>
      </c>
      <c r="D463">
        <f t="shared" si="164"/>
        <v>1787</v>
      </c>
      <c r="E463" s="2">
        <f t="shared" si="161"/>
        <v>540000</v>
      </c>
      <c r="F463" s="2">
        <f t="shared" si="165"/>
        <v>814623.41599999997</v>
      </c>
      <c r="G463" s="2">
        <f t="shared" si="166"/>
        <v>14857.832799999998</v>
      </c>
      <c r="H463" s="2">
        <f t="shared" si="167"/>
        <v>52002.414799999991</v>
      </c>
      <c r="I463" s="2">
        <f t="shared" si="170"/>
        <v>36.344466065064353</v>
      </c>
      <c r="J463" s="2">
        <f t="shared" si="171"/>
        <v>15.665107459586666</v>
      </c>
      <c r="K463">
        <f t="shared" si="172"/>
        <v>6084166069649771</v>
      </c>
      <c r="L463" s="13">
        <f t="shared" si="162"/>
        <v>587490148.97910047</v>
      </c>
      <c r="M463" s="2">
        <f t="shared" si="173"/>
        <v>6357256.4062991114</v>
      </c>
      <c r="N463" s="2">
        <f t="shared" si="174"/>
        <v>3.9703690666684088E+18</v>
      </c>
      <c r="O463" s="2">
        <f t="shared" si="175"/>
        <v>1.255540940214903E+16</v>
      </c>
      <c r="P463" s="2">
        <f t="shared" si="168"/>
        <v>1.1944212803157873E+22</v>
      </c>
      <c r="Q463" s="2">
        <f t="shared" si="163"/>
        <v>2.3793351033653569E+20</v>
      </c>
    </row>
    <row r="464" spans="1:17" x14ac:dyDescent="0.2">
      <c r="A464">
        <f t="shared" si="176"/>
        <v>627</v>
      </c>
      <c r="B464">
        <f t="shared" si="169"/>
        <v>627000</v>
      </c>
      <c r="C464" s="1">
        <f t="shared" si="160"/>
        <v>20297871000</v>
      </c>
      <c r="D464">
        <f t="shared" si="164"/>
        <v>1786.5</v>
      </c>
      <c r="E464" s="2">
        <f t="shared" si="161"/>
        <v>540000</v>
      </c>
      <c r="F464" s="2">
        <f t="shared" si="165"/>
        <v>814170.1939999999</v>
      </c>
      <c r="G464" s="2">
        <f t="shared" si="166"/>
        <v>14853.675599999999</v>
      </c>
      <c r="H464" s="2">
        <f t="shared" si="167"/>
        <v>51987.864599999994</v>
      </c>
      <c r="I464" s="2">
        <f t="shared" si="170"/>
        <v>36.354638039893644</v>
      </c>
      <c r="J464" s="2">
        <f t="shared" si="171"/>
        <v>15.660773918380945</v>
      </c>
      <c r="K464">
        <f t="shared" si="172"/>
        <v>6146369885244064</v>
      </c>
      <c r="L464" s="13">
        <f t="shared" si="162"/>
        <v>590819511.28701913</v>
      </c>
      <c r="M464" s="2">
        <f t="shared" si="173"/>
        <v>6329766.5808732901</v>
      </c>
      <c r="N464" s="2">
        <f t="shared" si="174"/>
        <v>4.0109616643123686E+18</v>
      </c>
      <c r="O464" s="2">
        <f t="shared" si="175"/>
        <v>1.2683774466846728E+16</v>
      </c>
      <c r="P464" s="2">
        <f t="shared" si="168"/>
        <v>1.1892564056619614E+22</v>
      </c>
      <c r="Q464" s="2">
        <f t="shared" si="163"/>
        <v>2.3928190207124275E+20</v>
      </c>
    </row>
    <row r="465" spans="1:17" x14ac:dyDescent="0.2">
      <c r="A465">
        <f t="shared" si="176"/>
        <v>626</v>
      </c>
      <c r="B465">
        <f t="shared" si="169"/>
        <v>626000</v>
      </c>
      <c r="C465" s="1">
        <f t="shared" si="160"/>
        <v>20265498000</v>
      </c>
      <c r="D465">
        <f t="shared" si="164"/>
        <v>1786</v>
      </c>
      <c r="E465" s="2">
        <f t="shared" si="161"/>
        <v>540000</v>
      </c>
      <c r="F465" s="2">
        <f t="shared" si="165"/>
        <v>813716.97200000007</v>
      </c>
      <c r="G465" s="2">
        <f t="shared" si="166"/>
        <v>14849.518399999999</v>
      </c>
      <c r="H465" s="2">
        <f t="shared" si="167"/>
        <v>51973.314399999996</v>
      </c>
      <c r="I465" s="2">
        <f t="shared" si="170"/>
        <v>36.364815710117576</v>
      </c>
      <c r="J465" s="2">
        <f t="shared" si="171"/>
        <v>15.656437950780374</v>
      </c>
      <c r="K465">
        <f t="shared" si="172"/>
        <v>6209245029509798</v>
      </c>
      <c r="L465" s="13">
        <f t="shared" si="162"/>
        <v>594169621.42037296</v>
      </c>
      <c r="M465" s="2">
        <f t="shared" si="173"/>
        <v>6302380.3339057304</v>
      </c>
      <c r="N465" s="2">
        <f t="shared" si="174"/>
        <v>4.0519923536455009E+18</v>
      </c>
      <c r="O465" s="2">
        <f t="shared" si="175"/>
        <v>1.28135248991062E+16</v>
      </c>
      <c r="P465" s="2">
        <f t="shared" si="168"/>
        <v>1.1841109916538641E+22</v>
      </c>
      <c r="Q465" s="2">
        <f t="shared" si="163"/>
        <v>2.4063869667525106E+20</v>
      </c>
    </row>
    <row r="466" spans="1:17" x14ac:dyDescent="0.2">
      <c r="A466">
        <f t="shared" si="176"/>
        <v>625</v>
      </c>
      <c r="B466">
        <f t="shared" si="169"/>
        <v>625000</v>
      </c>
      <c r="C466" s="1">
        <f t="shared" si="160"/>
        <v>20233125000</v>
      </c>
      <c r="D466">
        <f t="shared" si="164"/>
        <v>1785.5</v>
      </c>
      <c r="E466" s="2">
        <f t="shared" si="161"/>
        <v>540000</v>
      </c>
      <c r="F466" s="2">
        <f t="shared" si="165"/>
        <v>813263.75</v>
      </c>
      <c r="G466" s="2">
        <f t="shared" si="166"/>
        <v>14845.361199999998</v>
      </c>
      <c r="H466" s="2">
        <f t="shared" si="167"/>
        <v>51958.764199999998</v>
      </c>
      <c r="I466" s="2">
        <f t="shared" si="170"/>
        <v>36.374999080520865</v>
      </c>
      <c r="J466" s="2">
        <f t="shared" si="171"/>
        <v>15.652099554746531</v>
      </c>
      <c r="K466">
        <f t="shared" si="172"/>
        <v>6272799119773197</v>
      </c>
      <c r="L466" s="13">
        <f t="shared" si="162"/>
        <v>597540619.87380481</v>
      </c>
      <c r="M466" s="2">
        <f t="shared" si="173"/>
        <v>6275097.3370766025</v>
      </c>
      <c r="N466" s="2">
        <f t="shared" si="174"/>
        <v>4.0934661055374469E+18</v>
      </c>
      <c r="O466" s="2">
        <f t="shared" si="175"/>
        <v>1.2944676418197468E+16</v>
      </c>
      <c r="P466" s="2">
        <f t="shared" si="168"/>
        <v>1.1789849766057361E+22</v>
      </c>
      <c r="Q466" s="2">
        <f t="shared" si="163"/>
        <v>2.4200395104889094E+20</v>
      </c>
    </row>
    <row r="467" spans="1:17" x14ac:dyDescent="0.2">
      <c r="A467">
        <f t="shared" si="176"/>
        <v>624</v>
      </c>
      <c r="B467">
        <f t="shared" si="169"/>
        <v>624000</v>
      </c>
      <c r="C467" s="1">
        <f t="shared" si="160"/>
        <v>20200752000</v>
      </c>
      <c r="D467">
        <f t="shared" si="164"/>
        <v>1785</v>
      </c>
      <c r="E467" s="2">
        <f t="shared" si="161"/>
        <v>540000</v>
      </c>
      <c r="F467" s="2">
        <f t="shared" si="165"/>
        <v>812810.52799999993</v>
      </c>
      <c r="G467" s="2">
        <f t="shared" si="166"/>
        <v>14841.203999999998</v>
      </c>
      <c r="H467" s="2">
        <f t="shared" si="167"/>
        <v>51944.213999999993</v>
      </c>
      <c r="I467" s="2">
        <f t="shared" si="170"/>
        <v>36.385188155893559</v>
      </c>
      <c r="J467" s="2">
        <f t="shared" si="171"/>
        <v>15.647758728238722</v>
      </c>
      <c r="K467">
        <f t="shared" si="172"/>
        <v>6337039863920530</v>
      </c>
      <c r="L467" s="13">
        <f t="shared" si="162"/>
        <v>600932648.16648889</v>
      </c>
      <c r="M467" s="2">
        <f t="shared" si="173"/>
        <v>6247917.2628889857</v>
      </c>
      <c r="N467" s="2">
        <f t="shared" si="174"/>
        <v>4.1353879499549865E+18</v>
      </c>
      <c r="O467" s="2">
        <f t="shared" si="175"/>
        <v>1.3077244930272106E+16</v>
      </c>
      <c r="P467" s="2">
        <f t="shared" si="168"/>
        <v>1.1738782989864277E+22</v>
      </c>
      <c r="Q467" s="2">
        <f t="shared" si="163"/>
        <v>2.43377722507428E+20</v>
      </c>
    </row>
    <row r="468" spans="1:17" x14ac:dyDescent="0.2">
      <c r="A468">
        <f t="shared" si="176"/>
        <v>623</v>
      </c>
      <c r="B468">
        <f t="shared" si="169"/>
        <v>623000</v>
      </c>
      <c r="C468" s="1">
        <f t="shared" si="160"/>
        <v>20168379000</v>
      </c>
      <c r="D468">
        <f t="shared" si="164"/>
        <v>1784.5</v>
      </c>
      <c r="E468" s="2">
        <f t="shared" si="161"/>
        <v>540000</v>
      </c>
      <c r="F468" s="2">
        <f t="shared" si="165"/>
        <v>812357.30599999998</v>
      </c>
      <c r="G468" s="2">
        <f t="shared" si="166"/>
        <v>14837.046799999998</v>
      </c>
      <c r="H468" s="2">
        <f t="shared" si="167"/>
        <v>51929.663799999995</v>
      </c>
      <c r="I468" s="2">
        <f t="shared" si="170"/>
        <v>36.395382941031102</v>
      </c>
      <c r="J468" s="2">
        <f t="shared" si="171"/>
        <v>15.643415469213958</v>
      </c>
      <c r="K468">
        <f t="shared" si="172"/>
        <v>6401975061523287</v>
      </c>
      <c r="L468" s="13">
        <f t="shared" si="162"/>
        <v>604345848.85013032</v>
      </c>
      <c r="M468" s="2">
        <f t="shared" si="173"/>
        <v>6220839.784667342</v>
      </c>
      <c r="N468" s="2">
        <f t="shared" si="174"/>
        <v>4.1777629766962975E+18</v>
      </c>
      <c r="O468" s="2">
        <f t="shared" si="175"/>
        <v>1.3211246530685192E+16</v>
      </c>
      <c r="P468" s="2">
        <f t="shared" si="168"/>
        <v>1.1687908974191144E+22</v>
      </c>
      <c r="Q468" s="2">
        <f t="shared" si="163"/>
        <v>2.4476006878430278E+20</v>
      </c>
    </row>
    <row r="469" spans="1:17" x14ac:dyDescent="0.2">
      <c r="A469">
        <f t="shared" si="176"/>
        <v>622</v>
      </c>
      <c r="B469">
        <f t="shared" si="169"/>
        <v>622000</v>
      </c>
      <c r="C469" s="1">
        <f t="shared" si="160"/>
        <v>20136006000</v>
      </c>
      <c r="D469">
        <f t="shared" si="164"/>
        <v>1784</v>
      </c>
      <c r="E469" s="2">
        <f t="shared" si="161"/>
        <v>540000</v>
      </c>
      <c r="F469" s="2">
        <f t="shared" si="165"/>
        <v>811904.08400000003</v>
      </c>
      <c r="G469" s="2">
        <f t="shared" si="166"/>
        <v>14832.889599999999</v>
      </c>
      <c r="H469" s="2">
        <f t="shared" si="167"/>
        <v>51915.113599999997</v>
      </c>
      <c r="I469" s="2">
        <f t="shared" si="170"/>
        <v>36.405583440734304</v>
      </c>
      <c r="J469" s="2">
        <f t="shared" si="171"/>
        <v>15.639069775626959</v>
      </c>
      <c r="K469">
        <f t="shared" si="172"/>
        <v>6467612604977251</v>
      </c>
      <c r="L469" s="13">
        <f t="shared" si="162"/>
        <v>607780365.51702726</v>
      </c>
      <c r="M469" s="2">
        <f t="shared" si="173"/>
        <v>6193864.5765561564</v>
      </c>
      <c r="N469" s="2">
        <f t="shared" si="174"/>
        <v>4.2205963361342858E+18</v>
      </c>
      <c r="O469" s="2">
        <f t="shared" si="175"/>
        <v>1.3346697506345904E+16</v>
      </c>
      <c r="P469" s="2">
        <f t="shared" si="168"/>
        <v>1.1637227106810395E+22</v>
      </c>
      <c r="Q469" s="2">
        <f t="shared" si="163"/>
        <v>2.4615104803439605E+20</v>
      </c>
    </row>
    <row r="470" spans="1:17" x14ac:dyDescent="0.2">
      <c r="A470">
        <f t="shared" si="176"/>
        <v>621</v>
      </c>
      <c r="B470">
        <f t="shared" si="169"/>
        <v>621000</v>
      </c>
      <c r="C470" s="1">
        <f t="shared" si="160"/>
        <v>20103633000</v>
      </c>
      <c r="D470">
        <f t="shared" si="164"/>
        <v>1783.5</v>
      </c>
      <c r="E470" s="2">
        <f t="shared" si="161"/>
        <v>540000</v>
      </c>
      <c r="F470" s="2">
        <f t="shared" si="165"/>
        <v>811450.86199999996</v>
      </c>
      <c r="G470" s="2">
        <f t="shared" si="166"/>
        <v>14828.732399999999</v>
      </c>
      <c r="H470" s="2">
        <f t="shared" si="167"/>
        <v>51900.563399999992</v>
      </c>
      <c r="I470" s="2">
        <f t="shared" si="170"/>
        <v>36.415789659809363</v>
      </c>
      <c r="J470" s="2">
        <f t="shared" si="171"/>
        <v>15.634721645430155</v>
      </c>
      <c r="K470">
        <f t="shared" si="172"/>
        <v>6533960480656680</v>
      </c>
      <c r="L470" s="13">
        <f t="shared" si="162"/>
        <v>611236342.80818033</v>
      </c>
      <c r="M470" s="2">
        <f t="shared" si="173"/>
        <v>6166991.3135185055</v>
      </c>
      <c r="N470" s="2">
        <f t="shared" si="174"/>
        <v>4.2638932399697741E+18</v>
      </c>
      <c r="O470" s="2">
        <f t="shared" si="175"/>
        <v>1.3483614338099326E+16</v>
      </c>
      <c r="P470" s="2">
        <f t="shared" si="168"/>
        <v>1.158673677703246E+22</v>
      </c>
      <c r="Q470" s="2">
        <f t="shared" si="163"/>
        <v>2.4755071883731304E+20</v>
      </c>
    </row>
    <row r="471" spans="1:17" x14ac:dyDescent="0.2">
      <c r="A471">
        <f t="shared" si="176"/>
        <v>620</v>
      </c>
      <c r="B471">
        <f t="shared" si="169"/>
        <v>620000</v>
      </c>
      <c r="C471" s="1">
        <f t="shared" si="160"/>
        <v>20071260000</v>
      </c>
      <c r="D471">
        <f t="shared" si="164"/>
        <v>1783</v>
      </c>
      <c r="E471" s="2">
        <f t="shared" si="161"/>
        <v>540000</v>
      </c>
      <c r="F471" s="2">
        <f t="shared" si="165"/>
        <v>810997.64</v>
      </c>
      <c r="G471" s="2">
        <f t="shared" si="166"/>
        <v>14824.575199999999</v>
      </c>
      <c r="H471" s="2">
        <f t="shared" si="167"/>
        <v>51886.013199999994</v>
      </c>
      <c r="I471" s="2">
        <f t="shared" si="170"/>
        <v>36.42600160306786</v>
      </c>
      <c r="J471" s="2">
        <f t="shared" si="171"/>
        <v>15.630371076573679</v>
      </c>
      <c r="K471">
        <f t="shared" si="172"/>
        <v>6601026770083303</v>
      </c>
      <c r="L471" s="13">
        <f t="shared" si="162"/>
        <v>614713926.42148864</v>
      </c>
      <c r="M471" s="2">
        <f t="shared" si="173"/>
        <v>6140219.6713346802</v>
      </c>
      <c r="N471" s="2">
        <f t="shared" si="174"/>
        <v>4.3076589619943578E+18</v>
      </c>
      <c r="O471" s="2">
        <f t="shared" si="175"/>
        <v>1.3622013703138806E+16</v>
      </c>
      <c r="P471" s="2">
        <f t="shared" si="168"/>
        <v>1.1536437375703175E+22</v>
      </c>
      <c r="Q471" s="2">
        <f t="shared" si="163"/>
        <v>2.489591402007029E+20</v>
      </c>
    </row>
    <row r="472" spans="1:17" x14ac:dyDescent="0.2">
      <c r="A472">
        <f t="shared" si="176"/>
        <v>619</v>
      </c>
      <c r="B472">
        <f t="shared" si="169"/>
        <v>619000</v>
      </c>
      <c r="C472" s="1">
        <f t="shared" si="160"/>
        <v>20038887000</v>
      </c>
      <c r="D472">
        <f t="shared" si="164"/>
        <v>1782.5</v>
      </c>
      <c r="E472" s="2">
        <f t="shared" si="161"/>
        <v>540000</v>
      </c>
      <c r="F472" s="2">
        <f t="shared" si="165"/>
        <v>810544.41800000006</v>
      </c>
      <c r="G472" s="2">
        <f t="shared" si="166"/>
        <v>14820.417999999998</v>
      </c>
      <c r="H472" s="2">
        <f t="shared" si="167"/>
        <v>51871.462999999996</v>
      </c>
      <c r="I472" s="2">
        <f t="shared" si="170"/>
        <v>36.436219275326785</v>
      </c>
      <c r="J472" s="2">
        <f t="shared" si="171"/>
        <v>15.626018067005361</v>
      </c>
      <c r="K472">
        <f t="shared" si="172"/>
        <v>6668819651110609</v>
      </c>
      <c r="L472" s="13">
        <f t="shared" si="162"/>
        <v>618213263.12001395</v>
      </c>
      <c r="M472" s="2">
        <f t="shared" si="173"/>
        <v>6113549.326600696</v>
      </c>
      <c r="N472" s="2">
        <f t="shared" si="174"/>
        <v>4.3518988388632417E+18</v>
      </c>
      <c r="O472" s="2">
        <f t="shared" si="175"/>
        <v>1.3761912477449876E+16</v>
      </c>
      <c r="P472" s="2">
        <f t="shared" si="168"/>
        <v>1.1486328295200987E+22</v>
      </c>
      <c r="Q472" s="2">
        <f t="shared" si="163"/>
        <v>2.5037637156360566E+20</v>
      </c>
    </row>
    <row r="473" spans="1:17" x14ac:dyDescent="0.2">
      <c r="A473">
        <f t="shared" si="176"/>
        <v>618</v>
      </c>
      <c r="B473">
        <f t="shared" si="169"/>
        <v>618000</v>
      </c>
      <c r="C473" s="1">
        <f t="shared" si="160"/>
        <v>20006514000</v>
      </c>
      <c r="D473">
        <f t="shared" si="164"/>
        <v>1782</v>
      </c>
      <c r="E473" s="2">
        <f t="shared" si="161"/>
        <v>540000</v>
      </c>
      <c r="F473" s="2">
        <f t="shared" si="165"/>
        <v>810091.196</v>
      </c>
      <c r="G473" s="2">
        <f t="shared" si="166"/>
        <v>14816.260799999998</v>
      </c>
      <c r="H473" s="2">
        <f t="shared" si="167"/>
        <v>51856.912799999991</v>
      </c>
      <c r="I473" s="2">
        <f t="shared" si="170"/>
        <v>36.446442681408527</v>
      </c>
      <c r="J473" s="2">
        <f t="shared" si="171"/>
        <v>15.621662614670731</v>
      </c>
      <c r="K473">
        <f t="shared" si="172"/>
        <v>6737347399123310</v>
      </c>
      <c r="L473" s="13">
        <f t="shared" si="162"/>
        <v>621734500.74028945</v>
      </c>
      <c r="M473" s="2">
        <f t="shared" si="173"/>
        <v>6086979.9567269525</v>
      </c>
      <c r="N473" s="2">
        <f t="shared" si="174"/>
        <v>4.3966182708779791E+18</v>
      </c>
      <c r="O473" s="2">
        <f t="shared" si="175"/>
        <v>1.3903327738285498E+16</v>
      </c>
      <c r="P473" s="2">
        <f t="shared" si="168"/>
        <v>1.1436408929434435E+22</v>
      </c>
      <c r="Q473" s="2">
        <f t="shared" si="163"/>
        <v>2.5180247279981724E+20</v>
      </c>
    </row>
    <row r="474" spans="1:17" x14ac:dyDescent="0.2">
      <c r="A474">
        <f t="shared" si="176"/>
        <v>617</v>
      </c>
      <c r="B474">
        <f t="shared" si="169"/>
        <v>617000</v>
      </c>
      <c r="C474" s="1">
        <f t="shared" si="160"/>
        <v>19974141000</v>
      </c>
      <c r="D474">
        <f t="shared" si="164"/>
        <v>1781.5</v>
      </c>
      <c r="E474" s="2">
        <f t="shared" si="161"/>
        <v>540000</v>
      </c>
      <c r="F474" s="2">
        <f t="shared" si="165"/>
        <v>809637.97399999993</v>
      </c>
      <c r="G474" s="2">
        <f t="shared" si="166"/>
        <v>14812.103599999999</v>
      </c>
      <c r="H474" s="2">
        <f t="shared" si="167"/>
        <v>51842.362599999993</v>
      </c>
      <c r="I474" s="2">
        <f t="shared" si="170"/>
        <v>36.456671826140891</v>
      </c>
      <c r="J474" s="2">
        <f t="shared" si="171"/>
        <v>15.61730471751301</v>
      </c>
      <c r="K474">
        <f t="shared" si="172"/>
        <v>6806618388252506</v>
      </c>
      <c r="L474" s="13">
        <f t="shared" si="162"/>
        <v>625277788.20073938</v>
      </c>
      <c r="M474" s="2">
        <f t="shared" si="173"/>
        <v>6060511.2399367876</v>
      </c>
      <c r="N474" s="2">
        <f t="shared" si="174"/>
        <v>4.4418227227794565E+18</v>
      </c>
      <c r="O474" s="2">
        <f t="shared" si="175"/>
        <v>1.4046276766673696E+16</v>
      </c>
      <c r="P474" s="2">
        <f t="shared" si="168"/>
        <v>1.1386678673839428E+22</v>
      </c>
      <c r="Q474" s="2">
        <f t="shared" si="163"/>
        <v>2.5323750422129944E+20</v>
      </c>
    </row>
    <row r="475" spans="1:17" x14ac:dyDescent="0.2">
      <c r="A475">
        <f t="shared" si="176"/>
        <v>616</v>
      </c>
      <c r="B475">
        <f t="shared" si="169"/>
        <v>616000</v>
      </c>
      <c r="C475" s="1">
        <f t="shared" si="160"/>
        <v>19941768000</v>
      </c>
      <c r="D475">
        <f t="shared" si="164"/>
        <v>1781</v>
      </c>
      <c r="E475" s="2">
        <f t="shared" si="161"/>
        <v>540000</v>
      </c>
      <c r="F475" s="2">
        <f t="shared" si="165"/>
        <v>809184.75199999998</v>
      </c>
      <c r="G475" s="2">
        <f t="shared" si="166"/>
        <v>14807.946399999999</v>
      </c>
      <c r="H475" s="2">
        <f t="shared" si="167"/>
        <v>51827.812399999995</v>
      </c>
      <c r="I475" s="2">
        <f t="shared" si="170"/>
        <v>36.466906714357101</v>
      </c>
      <c r="J475" s="2">
        <f t="shared" si="171"/>
        <v>15.612944373473113</v>
      </c>
      <c r="K475">
        <f t="shared" si="172"/>
        <v>6876641092606576</v>
      </c>
      <c r="L475" s="13">
        <f t="shared" si="162"/>
        <v>628843275.51012683</v>
      </c>
      <c r="M475" s="2">
        <f t="shared" si="173"/>
        <v>6034142.8552650884</v>
      </c>
      <c r="N475" s="2">
        <f t="shared" si="174"/>
        <v>4.4875177245511404E+18</v>
      </c>
      <c r="O475" s="2">
        <f t="shared" si="175"/>
        <v>1.4190777049957646E+16</v>
      </c>
      <c r="P475" s="2">
        <f t="shared" si="168"/>
        <v>1.1337136925376642E+22</v>
      </c>
      <c r="Q475" s="2">
        <f t="shared" si="163"/>
        <v>2.5468152658160137E+20</v>
      </c>
    </row>
    <row r="476" spans="1:17" x14ac:dyDescent="0.2">
      <c r="A476">
        <f t="shared" si="176"/>
        <v>615</v>
      </c>
      <c r="B476">
        <f t="shared" si="169"/>
        <v>615000</v>
      </c>
      <c r="C476" s="1">
        <f t="shared" si="160"/>
        <v>19909395000</v>
      </c>
      <c r="D476">
        <f t="shared" si="164"/>
        <v>1780.5</v>
      </c>
      <c r="E476" s="2">
        <f t="shared" si="161"/>
        <v>540000</v>
      </c>
      <c r="F476" s="2">
        <f t="shared" si="165"/>
        <v>808731.53</v>
      </c>
      <c r="G476" s="2">
        <f t="shared" si="166"/>
        <v>14803.789199999999</v>
      </c>
      <c r="H476" s="2">
        <f t="shared" si="167"/>
        <v>51813.262199999997</v>
      </c>
      <c r="I476" s="2">
        <f t="shared" si="170"/>
        <v>36.477147350895812</v>
      </c>
      <c r="J476" s="2">
        <f t="shared" si="171"/>
        <v>15.60858158048964</v>
      </c>
      <c r="K476">
        <f t="shared" si="172"/>
        <v>6947424087518066</v>
      </c>
      <c r="L476" s="13">
        <f t="shared" si="162"/>
        <v>632431113.7761004</v>
      </c>
      <c r="M476" s="2">
        <f t="shared" si="173"/>
        <v>6007874.4825568544</v>
      </c>
      <c r="N476" s="2">
        <f t="shared" si="174"/>
        <v>4.533708872232766E+18</v>
      </c>
      <c r="O476" s="2">
        <f t="shared" si="175"/>
        <v>1.4336846284368788E+16</v>
      </c>
      <c r="P476" s="2">
        <f t="shared" si="168"/>
        <v>1.1287783082528818E+22</v>
      </c>
      <c r="Q476" s="2">
        <f t="shared" si="163"/>
        <v>2.5613460107932067E+20</v>
      </c>
    </row>
    <row r="477" spans="1:17" x14ac:dyDescent="0.2">
      <c r="A477">
        <f t="shared" si="176"/>
        <v>614</v>
      </c>
      <c r="B477">
        <f t="shared" si="169"/>
        <v>614000</v>
      </c>
      <c r="C477" s="1">
        <f t="shared" si="160"/>
        <v>19877022000</v>
      </c>
      <c r="D477">
        <f t="shared" si="164"/>
        <v>1780</v>
      </c>
      <c r="E477" s="2">
        <f t="shared" si="161"/>
        <v>540000</v>
      </c>
      <c r="F477" s="2">
        <f t="shared" si="165"/>
        <v>808278.30799999996</v>
      </c>
      <c r="G477" s="2">
        <f t="shared" si="166"/>
        <v>14799.631999999998</v>
      </c>
      <c r="H477" s="2">
        <f t="shared" si="167"/>
        <v>51798.711999999992</v>
      </c>
      <c r="I477" s="2">
        <f t="shared" si="170"/>
        <v>36.487393740601121</v>
      </c>
      <c r="J477" s="2">
        <f t="shared" si="171"/>
        <v>15.604216336498871</v>
      </c>
      <c r="K477">
        <f t="shared" si="172"/>
        <v>7018976050806817</v>
      </c>
      <c r="L477" s="13">
        <f t="shared" si="162"/>
        <v>636041455.21379185</v>
      </c>
      <c r="M477" s="2">
        <f t="shared" si="173"/>
        <v>5981705.8024657816</v>
      </c>
      <c r="N477" s="2">
        <f t="shared" si="174"/>
        <v>4.5804018287446195E+18</v>
      </c>
      <c r="O477" s="2">
        <f t="shared" si="175"/>
        <v>1.4484502377633436E+16</v>
      </c>
      <c r="P477" s="2">
        <f t="shared" si="168"/>
        <v>1.1238616545298099E+22</v>
      </c>
      <c r="Q477" s="2">
        <f t="shared" si="163"/>
        <v>2.5759678936158568E+20</v>
      </c>
    </row>
    <row r="478" spans="1:17" x14ac:dyDescent="0.2">
      <c r="A478">
        <f t="shared" si="176"/>
        <v>613</v>
      </c>
      <c r="B478">
        <f t="shared" si="169"/>
        <v>613000</v>
      </c>
      <c r="C478" s="1">
        <f t="shared" si="160"/>
        <v>19844649000</v>
      </c>
      <c r="D478">
        <f t="shared" si="164"/>
        <v>1779.5</v>
      </c>
      <c r="E478" s="2">
        <f t="shared" si="161"/>
        <v>540000</v>
      </c>
      <c r="F478" s="2">
        <f t="shared" si="165"/>
        <v>807825.08600000001</v>
      </c>
      <c r="G478" s="2">
        <f t="shared" si="166"/>
        <v>14795.474799999998</v>
      </c>
      <c r="H478" s="2">
        <f t="shared" si="167"/>
        <v>51784.161799999994</v>
      </c>
      <c r="I478" s="2">
        <f t="shared" si="170"/>
        <v>36.497645888322559</v>
      </c>
      <c r="J478" s="2">
        <f t="shared" si="171"/>
        <v>15.599848639434772</v>
      </c>
      <c r="K478">
        <f t="shared" si="172"/>
        <v>7091305764059376</v>
      </c>
      <c r="L478" s="13">
        <f t="shared" si="162"/>
        <v>639674453.15449965</v>
      </c>
      <c r="M478" s="2">
        <f t="shared" si="173"/>
        <v>5955636.4964528978</v>
      </c>
      <c r="N478" s="2">
        <f t="shared" si="174"/>
        <v>4.6276023247224494E+18</v>
      </c>
      <c r="O478" s="2">
        <f t="shared" si="175"/>
        <v>1.4633763451612996E+16</v>
      </c>
      <c r="P478" s="2">
        <f t="shared" si="168"/>
        <v>1.118963671520347E+22</v>
      </c>
      <c r="Q478" s="2">
        <f t="shared" si="163"/>
        <v>2.5906815352757237E+20</v>
      </c>
    </row>
    <row r="479" spans="1:17" x14ac:dyDescent="0.2">
      <c r="A479">
        <f t="shared" si="176"/>
        <v>612</v>
      </c>
      <c r="B479">
        <f t="shared" si="169"/>
        <v>612000</v>
      </c>
      <c r="C479" s="1">
        <f t="shared" si="160"/>
        <v>19812276000</v>
      </c>
      <c r="D479">
        <f t="shared" si="164"/>
        <v>1779</v>
      </c>
      <c r="E479" s="2">
        <f t="shared" si="161"/>
        <v>540000</v>
      </c>
      <c r="F479" s="2">
        <f t="shared" si="165"/>
        <v>807371.86400000006</v>
      </c>
      <c r="G479" s="2">
        <f t="shared" si="166"/>
        <v>14791.317599999998</v>
      </c>
      <c r="H479" s="2">
        <f t="shared" si="167"/>
        <v>51769.611599999997</v>
      </c>
      <c r="I479" s="2">
        <f t="shared" si="170"/>
        <v>36.507903798915116</v>
      </c>
      <c r="J479" s="2">
        <f t="shared" si="171"/>
        <v>15.595478487228984</v>
      </c>
      <c r="K479">
        <f t="shared" si="172"/>
        <v>7164422113925250</v>
      </c>
      <c r="L479" s="13">
        <f t="shared" si="162"/>
        <v>643330262.05444551</v>
      </c>
      <c r="M479" s="2">
        <f t="shared" si="173"/>
        <v>5929666.2467851294</v>
      </c>
      <c r="N479" s="2">
        <f t="shared" si="174"/>
        <v>4.675316159363371E+18</v>
      </c>
      <c r="O479" s="2">
        <f t="shared" si="175"/>
        <v>1.4784647844978946E+16</v>
      </c>
      <c r="P479" s="2">
        <f t="shared" si="168"/>
        <v>1.1140842995278062E+22</v>
      </c>
      <c r="Q479" s="2">
        <f t="shared" si="163"/>
        <v>2.6054875613205044E+20</v>
      </c>
    </row>
    <row r="480" spans="1:17" x14ac:dyDescent="0.2">
      <c r="A480">
        <f t="shared" si="176"/>
        <v>611</v>
      </c>
      <c r="B480">
        <f t="shared" si="169"/>
        <v>611000</v>
      </c>
      <c r="C480" s="1">
        <f t="shared" ref="C480:C543" si="177">$B$3*$B$1*B480</f>
        <v>19779903000</v>
      </c>
      <c r="D480">
        <f t="shared" si="164"/>
        <v>1778.5</v>
      </c>
      <c r="E480" s="2">
        <f t="shared" ref="E480:E543" si="178">+$B$19+$B$16*0</f>
        <v>540000</v>
      </c>
      <c r="F480" s="2">
        <f t="shared" si="165"/>
        <v>806918.64199999999</v>
      </c>
      <c r="G480" s="2">
        <f t="shared" si="166"/>
        <v>14787.160399999999</v>
      </c>
      <c r="H480" s="2">
        <f t="shared" si="167"/>
        <v>51755.061399999991</v>
      </c>
      <c r="I480" s="2">
        <f t="shared" si="170"/>
        <v>36.518167477239245</v>
      </c>
      <c r="J480" s="2">
        <f t="shared" si="171"/>
        <v>15.591105877810824</v>
      </c>
      <c r="K480">
        <f t="shared" si="172"/>
        <v>7238334093429922</v>
      </c>
      <c r="L480" s="13">
        <f t="shared" ref="L480:L543" si="179">EXP((300*1000)/($B$17*D480))</f>
        <v>647009037.50358963</v>
      </c>
      <c r="M480" s="2">
        <f t="shared" si="173"/>
        <v>5903794.7365338905</v>
      </c>
      <c r="N480" s="2">
        <f t="shared" si="174"/>
        <v>4.7235492012827003E+18</v>
      </c>
      <c r="O480" s="2">
        <f t="shared" si="175"/>
        <v>1.4937174115922406E+16</v>
      </c>
      <c r="P480" s="2">
        <f t="shared" si="168"/>
        <v>1.1092234790066503E+22</v>
      </c>
      <c r="Q480" s="2">
        <f t="shared" ref="Q480:Q543" si="180">$B$12*L480</f>
        <v>2.620386601889538E+20</v>
      </c>
    </row>
    <row r="481" spans="1:17" x14ac:dyDescent="0.2">
      <c r="A481">
        <f t="shared" si="176"/>
        <v>610</v>
      </c>
      <c r="B481">
        <f t="shared" si="169"/>
        <v>610000</v>
      </c>
      <c r="C481" s="1">
        <f t="shared" si="177"/>
        <v>19747530000</v>
      </c>
      <c r="D481">
        <f t="shared" si="164"/>
        <v>1778</v>
      </c>
      <c r="E481" s="2">
        <f t="shared" si="178"/>
        <v>540000</v>
      </c>
      <c r="F481" s="2">
        <f t="shared" si="165"/>
        <v>806465.41999999993</v>
      </c>
      <c r="G481" s="2">
        <f t="shared" si="166"/>
        <v>14783.003199999999</v>
      </c>
      <c r="H481" s="2">
        <f t="shared" si="167"/>
        <v>51740.511199999994</v>
      </c>
      <c r="I481" s="2">
        <f t="shared" si="170"/>
        <v>36.528436928160851</v>
      </c>
      <c r="J481" s="2">
        <f t="shared" si="171"/>
        <v>15.586730809107275</v>
      </c>
      <c r="K481">
        <f t="shared" si="172"/>
        <v>7313050803304825</v>
      </c>
      <c r="L481" s="13">
        <f t="shared" si="179"/>
        <v>650710936.23453486</v>
      </c>
      <c r="M481" s="2">
        <f t="shared" si="173"/>
        <v>5878021.6495736735</v>
      </c>
      <c r="N481" s="2">
        <f t="shared" si="174"/>
        <v>4.7723073893818675E+18</v>
      </c>
      <c r="O481" s="2">
        <f t="shared" si="175"/>
        <v>1.509136104489869E+16</v>
      </c>
      <c r="P481" s="2">
        <f t="shared" si="168"/>
        <v>1.1043811505622273E+22</v>
      </c>
      <c r="Q481" s="2">
        <f t="shared" si="180"/>
        <v>2.6353792917498662E+20</v>
      </c>
    </row>
    <row r="482" spans="1:17" x14ac:dyDescent="0.2">
      <c r="A482">
        <f t="shared" si="176"/>
        <v>609</v>
      </c>
      <c r="B482">
        <f t="shared" si="169"/>
        <v>609000</v>
      </c>
      <c r="C482" s="1">
        <f t="shared" si="177"/>
        <v>19715157000</v>
      </c>
      <c r="D482">
        <f t="shared" si="164"/>
        <v>1777.5</v>
      </c>
      <c r="E482" s="2">
        <f t="shared" si="178"/>
        <v>540000</v>
      </c>
      <c r="F482" s="2">
        <f t="shared" si="165"/>
        <v>806012.19799999997</v>
      </c>
      <c r="G482" s="2">
        <f t="shared" si="166"/>
        <v>14778.845999999998</v>
      </c>
      <c r="H482" s="2">
        <f t="shared" si="167"/>
        <v>51725.960999999996</v>
      </c>
      <c r="I482" s="2">
        <f t="shared" si="170"/>
        <v>36.538712156551334</v>
      </c>
      <c r="J482" s="2">
        <f t="shared" si="171"/>
        <v>15.582353279042994</v>
      </c>
      <c r="K482">
        <f t="shared" si="172"/>
        <v>7388581453335091</v>
      </c>
      <c r="L482" s="13">
        <f t="shared" si="179"/>
        <v>654436116.13149548</v>
      </c>
      <c r="M482" s="2">
        <f t="shared" si="173"/>
        <v>5852346.6705806907</v>
      </c>
      <c r="N482" s="2">
        <f t="shared" si="174"/>
        <v>4.8215967337279181E+18</v>
      </c>
      <c r="O482" s="2">
        <f t="shared" si="175"/>
        <v>1.5247227637408552E+16</v>
      </c>
      <c r="P482" s="2">
        <f t="shared" si="168"/>
        <v>1.0995572549505144E+22</v>
      </c>
      <c r="Q482" s="2">
        <f t="shared" si="180"/>
        <v>2.6504662703325567E+20</v>
      </c>
    </row>
    <row r="483" spans="1:17" x14ac:dyDescent="0.2">
      <c r="A483">
        <f t="shared" si="176"/>
        <v>608</v>
      </c>
      <c r="B483">
        <f t="shared" si="169"/>
        <v>608000</v>
      </c>
      <c r="C483" s="1">
        <f t="shared" si="177"/>
        <v>19682784000</v>
      </c>
      <c r="D483">
        <f t="shared" si="164"/>
        <v>1777</v>
      </c>
      <c r="E483" s="2">
        <f t="shared" si="178"/>
        <v>540000</v>
      </c>
      <c r="F483" s="2">
        <f t="shared" si="165"/>
        <v>805558.97600000002</v>
      </c>
      <c r="G483" s="2">
        <f t="shared" si="166"/>
        <v>14774.688799999998</v>
      </c>
      <c r="H483" s="2">
        <f t="shared" si="167"/>
        <v>51711.410799999998</v>
      </c>
      <c r="I483" s="2">
        <f t="shared" si="170"/>
        <v>36.548993167287563</v>
      </c>
      <c r="J483" s="2">
        <f t="shared" si="171"/>
        <v>15.577973285540299</v>
      </c>
      <c r="K483">
        <f t="shared" si="172"/>
        <v>7464935363724259</v>
      </c>
      <c r="L483" s="13">
        <f t="shared" si="179"/>
        <v>658184736.23933911</v>
      </c>
      <c r="M483" s="2">
        <f t="shared" si="173"/>
        <v>5826769.4850313999</v>
      </c>
      <c r="N483" s="2">
        <f t="shared" si="174"/>
        <v>4.8714233164440883E+18</v>
      </c>
      <c r="O483" s="2">
        <f t="shared" si="175"/>
        <v>1.540479312681443E+16</v>
      </c>
      <c r="P483" s="2">
        <f t="shared" si="168"/>
        <v>1.094751733077842E+22</v>
      </c>
      <c r="Q483" s="2">
        <f t="shared" si="180"/>
        <v>2.6656481817693235E+20</v>
      </c>
    </row>
    <row r="484" spans="1:17" x14ac:dyDescent="0.2">
      <c r="A484">
        <f t="shared" si="176"/>
        <v>607</v>
      </c>
      <c r="B484">
        <f t="shared" si="169"/>
        <v>607000</v>
      </c>
      <c r="C484" s="1">
        <f t="shared" si="177"/>
        <v>19650411000</v>
      </c>
      <c r="D484">
        <f t="shared" si="164"/>
        <v>1776.5</v>
      </c>
      <c r="E484" s="2">
        <f t="shared" si="178"/>
        <v>540000</v>
      </c>
      <c r="F484" s="2">
        <f t="shared" si="165"/>
        <v>805105.75399999996</v>
      </c>
      <c r="G484" s="2">
        <f t="shared" si="166"/>
        <v>14770.531599999998</v>
      </c>
      <c r="H484" s="2">
        <f t="shared" si="167"/>
        <v>51696.860599999993</v>
      </c>
      <c r="I484" s="2">
        <f t="shared" si="170"/>
        <v>36.559279965251896</v>
      </c>
      <c r="J484" s="2">
        <f t="shared" si="171"/>
        <v>15.573590826519165</v>
      </c>
      <c r="K484">
        <f t="shared" si="172"/>
        <v>7542121966477242</v>
      </c>
      <c r="L484" s="13">
        <f t="shared" si="179"/>
        <v>661956956.77272236</v>
      </c>
      <c r="M484" s="2">
        <f t="shared" si="173"/>
        <v>5801289.7792011378</v>
      </c>
      <c r="N484" s="2">
        <f t="shared" si="174"/>
        <v>4.9217932926122947E+18</v>
      </c>
      <c r="O484" s="2">
        <f t="shared" si="175"/>
        <v>1.556407697719436E+16</v>
      </c>
      <c r="P484" s="2">
        <f t="shared" si="168"/>
        <v>1.0899645260006355E+22</v>
      </c>
      <c r="Q484" s="2">
        <f t="shared" si="180"/>
        <v>2.6809256749295256E+20</v>
      </c>
    </row>
    <row r="485" spans="1:17" x14ac:dyDescent="0.2">
      <c r="A485">
        <f t="shared" si="176"/>
        <v>606</v>
      </c>
      <c r="B485">
        <f t="shared" si="169"/>
        <v>606000</v>
      </c>
      <c r="C485" s="1">
        <f t="shared" si="177"/>
        <v>19618038000</v>
      </c>
      <c r="D485">
        <f t="shared" si="164"/>
        <v>1776</v>
      </c>
      <c r="E485" s="2">
        <f t="shared" si="178"/>
        <v>540000</v>
      </c>
      <c r="F485" s="2">
        <f t="shared" si="165"/>
        <v>804652.53200000001</v>
      </c>
      <c r="G485" s="2">
        <f t="shared" si="166"/>
        <v>14766.374399999999</v>
      </c>
      <c r="H485" s="2">
        <f t="shared" si="167"/>
        <v>51682.310399999995</v>
      </c>
      <c r="I485" s="2">
        <f t="shared" si="170"/>
        <v>36.569572555332208</v>
      </c>
      <c r="J485" s="2">
        <f t="shared" si="171"/>
        <v>15.569205899897232</v>
      </c>
      <c r="K485">
        <f t="shared" si="172"/>
        <v>7620150806801296</v>
      </c>
      <c r="L485" s="13">
        <f t="shared" si="179"/>
        <v>665752939.12527788</v>
      </c>
      <c r="M485" s="2">
        <f t="shared" si="173"/>
        <v>5775907.2401627423</v>
      </c>
      <c r="N485" s="2">
        <f t="shared" si="174"/>
        <v>4.9727128911873659E+18</v>
      </c>
      <c r="O485" s="2">
        <f t="shared" si="175"/>
        <v>1.5725098886233048E+16</v>
      </c>
      <c r="P485" s="2">
        <f t="shared" si="168"/>
        <v>1.0851955749251581E+22</v>
      </c>
      <c r="Q485" s="2">
        <f t="shared" si="180"/>
        <v>2.6962994034573754E+20</v>
      </c>
    </row>
    <row r="486" spans="1:17" x14ac:dyDescent="0.2">
      <c r="A486">
        <f t="shared" si="176"/>
        <v>605</v>
      </c>
      <c r="B486">
        <f t="shared" si="169"/>
        <v>605000</v>
      </c>
      <c r="C486" s="1">
        <f t="shared" si="177"/>
        <v>19585665000</v>
      </c>
      <c r="D486">
        <f t="shared" si="164"/>
        <v>1775.5</v>
      </c>
      <c r="E486" s="2">
        <f t="shared" si="178"/>
        <v>540000</v>
      </c>
      <c r="F486" s="2">
        <f t="shared" si="165"/>
        <v>804199.31</v>
      </c>
      <c r="G486" s="2">
        <f t="shared" si="166"/>
        <v>14762.217199999999</v>
      </c>
      <c r="H486" s="2">
        <f t="shared" si="167"/>
        <v>51667.760199999997</v>
      </c>
      <c r="I486" s="2">
        <f t="shared" si="170"/>
        <v>36.579870942421849</v>
      </c>
      <c r="J486" s="2">
        <f t="shared" si="171"/>
        <v>15.564818503589789</v>
      </c>
      <c r="K486">
        <f t="shared" si="172"/>
        <v>7699031544524839</v>
      </c>
      <c r="L486" s="13">
        <f t="shared" si="179"/>
        <v>669572845.87889349</v>
      </c>
      <c r="M486" s="2">
        <f t="shared" si="173"/>
        <v>5750621.5557851037</v>
      </c>
      <c r="N486" s="2">
        <f t="shared" si="174"/>
        <v>5.0241884159229297E+18</v>
      </c>
      <c r="O486" s="2">
        <f t="shared" si="175"/>
        <v>1.5887878788149768E+16</v>
      </c>
      <c r="P486" s="2">
        <f t="shared" si="168"/>
        <v>1.0804448212072375E+22</v>
      </c>
      <c r="Q486" s="2">
        <f t="shared" si="180"/>
        <v>2.7117700258095186E+20</v>
      </c>
    </row>
    <row r="487" spans="1:17" x14ac:dyDescent="0.2">
      <c r="A487">
        <f t="shared" si="176"/>
        <v>604</v>
      </c>
      <c r="B487">
        <f t="shared" si="169"/>
        <v>604000</v>
      </c>
      <c r="C487" s="1">
        <f t="shared" si="177"/>
        <v>19553292000</v>
      </c>
      <c r="D487">
        <f t="shared" si="164"/>
        <v>1775</v>
      </c>
      <c r="E487" s="2">
        <f t="shared" si="178"/>
        <v>540000</v>
      </c>
      <c r="F487" s="2">
        <f t="shared" si="165"/>
        <v>803746.08799999999</v>
      </c>
      <c r="G487" s="2">
        <f t="shared" si="166"/>
        <v>14758.059999999998</v>
      </c>
      <c r="H487" s="2">
        <f t="shared" si="167"/>
        <v>51653.209999999992</v>
      </c>
      <c r="I487" s="2">
        <f t="shared" si="170"/>
        <v>36.59017513141972</v>
      </c>
      <c r="J487" s="2">
        <f t="shared" si="171"/>
        <v>15.56042863550978</v>
      </c>
      <c r="K487">
        <f t="shared" si="172"/>
        <v>7778773955535626</v>
      </c>
      <c r="L487" s="13">
        <f t="shared" si="179"/>
        <v>673416840.81306946</v>
      </c>
      <c r="M487" s="2">
        <f t="shared" si="173"/>
        <v>5725432.4147318108</v>
      </c>
      <c r="N487" s="2">
        <f t="shared" si="174"/>
        <v>5.076226246309932E+18</v>
      </c>
      <c r="O487" s="2">
        <f t="shared" si="175"/>
        <v>1.6052436856666214E+16</v>
      </c>
      <c r="P487" s="2">
        <f t="shared" si="168"/>
        <v>1.0757122063520118E+22</v>
      </c>
      <c r="Q487" s="2">
        <f t="shared" si="180"/>
        <v>2.7273382052929313E+20</v>
      </c>
    </row>
    <row r="488" spans="1:17" x14ac:dyDescent="0.2">
      <c r="A488">
        <f t="shared" si="176"/>
        <v>603</v>
      </c>
      <c r="B488">
        <f t="shared" si="169"/>
        <v>603000</v>
      </c>
      <c r="C488" s="1">
        <f t="shared" si="177"/>
        <v>19520919000</v>
      </c>
      <c r="D488">
        <f t="shared" si="164"/>
        <v>1774.5</v>
      </c>
      <c r="E488" s="2">
        <f t="shared" si="178"/>
        <v>540000</v>
      </c>
      <c r="F488" s="2">
        <f t="shared" si="165"/>
        <v>803292.86599999992</v>
      </c>
      <c r="G488" s="2">
        <f t="shared" si="166"/>
        <v>14753.902799999998</v>
      </c>
      <c r="H488" s="2">
        <f t="shared" si="167"/>
        <v>51638.659799999994</v>
      </c>
      <c r="I488" s="2">
        <f t="shared" si="170"/>
        <v>36.600485127230208</v>
      </c>
      <c r="J488" s="2">
        <f t="shared" si="171"/>
        <v>15.556036293567789</v>
      </c>
      <c r="K488">
        <f t="shared" si="172"/>
        <v>7859387933236671</v>
      </c>
      <c r="L488" s="13">
        <f t="shared" si="179"/>
        <v>677285088.91433799</v>
      </c>
      <c r="M488" s="2">
        <f t="shared" si="173"/>
        <v>5700339.5064596934</v>
      </c>
      <c r="N488" s="2">
        <f t="shared" si="174"/>
        <v>5.1288328385267272E+18</v>
      </c>
      <c r="O488" s="2">
        <f t="shared" si="175"/>
        <v>1.6218793508010972E+16</v>
      </c>
      <c r="P488" s="2">
        <f t="shared" si="168"/>
        <v>1.0709976720136561E+22</v>
      </c>
      <c r="Q488" s="2">
        <f t="shared" si="180"/>
        <v>2.7430046101030689E+20</v>
      </c>
    </row>
    <row r="489" spans="1:17" x14ac:dyDescent="0.2">
      <c r="A489">
        <f t="shared" si="176"/>
        <v>602</v>
      </c>
      <c r="B489">
        <f t="shared" si="169"/>
        <v>602000</v>
      </c>
      <c r="C489" s="1">
        <f t="shared" si="177"/>
        <v>19488546000</v>
      </c>
      <c r="D489">
        <f t="shared" si="164"/>
        <v>1774</v>
      </c>
      <c r="E489" s="2">
        <f t="shared" si="178"/>
        <v>540000</v>
      </c>
      <c r="F489" s="2">
        <f t="shared" si="165"/>
        <v>802839.64399999997</v>
      </c>
      <c r="G489" s="2">
        <f t="shared" si="166"/>
        <v>14749.745599999998</v>
      </c>
      <c r="H489" s="2">
        <f t="shared" si="167"/>
        <v>51624.109599999996</v>
      </c>
      <c r="I489" s="2">
        <f t="shared" si="170"/>
        <v>36.610800934763247</v>
      </c>
      <c r="J489" s="2">
        <f t="shared" si="171"/>
        <v>15.551641475672058</v>
      </c>
      <c r="K489">
        <f t="shared" si="172"/>
        <v>7940883490022200</v>
      </c>
      <c r="L489" s="13">
        <f t="shared" si="179"/>
        <v>681177756.38578689</v>
      </c>
      <c r="M489" s="2">
        <f t="shared" si="173"/>
        <v>5675342.5212175203</v>
      </c>
      <c r="N489" s="2">
        <f t="shared" si="174"/>
        <v>5.1820147264022508E+18</v>
      </c>
      <c r="O489" s="2">
        <f t="shared" si="175"/>
        <v>1.638696940396532E+16</v>
      </c>
      <c r="P489" s="2">
        <f t="shared" si="168"/>
        <v>1.0663011599951371E+22</v>
      </c>
      <c r="Q489" s="2">
        <f t="shared" si="180"/>
        <v>2.7587699133624369E+20</v>
      </c>
    </row>
    <row r="490" spans="1:17" x14ac:dyDescent="0.2">
      <c r="A490">
        <f t="shared" si="176"/>
        <v>601</v>
      </c>
      <c r="B490">
        <f t="shared" si="169"/>
        <v>601000</v>
      </c>
      <c r="C490" s="1">
        <f t="shared" si="177"/>
        <v>19456173000</v>
      </c>
      <c r="D490">
        <f t="shared" si="164"/>
        <v>1773.5</v>
      </c>
      <c r="E490" s="2">
        <f t="shared" si="178"/>
        <v>540000</v>
      </c>
      <c r="F490" s="2">
        <f t="shared" si="165"/>
        <v>802386.42200000002</v>
      </c>
      <c r="G490" s="2">
        <f t="shared" si="166"/>
        <v>14745.588399999999</v>
      </c>
      <c r="H490" s="2">
        <f t="shared" si="167"/>
        <v>51609.559399999991</v>
      </c>
      <c r="I490" s="2">
        <f t="shared" si="170"/>
        <v>36.62112255893431</v>
      </c>
      <c r="J490" s="2">
        <f t="shared" si="171"/>
        <v>15.547244179728459</v>
      </c>
      <c r="K490">
        <f t="shared" si="172"/>
        <v>8023270758772302</v>
      </c>
      <c r="L490" s="13">
        <f t="shared" si="179"/>
        <v>685095010.65664184</v>
      </c>
      <c r="M490" s="2">
        <f t="shared" si="173"/>
        <v>5650441.1500444934</v>
      </c>
      <c r="N490" s="2">
        <f t="shared" si="174"/>
        <v>5.2357785223913912E+18</v>
      </c>
      <c r="O490" s="2">
        <f t="shared" si="175"/>
        <v>1.655698545494763E+16</v>
      </c>
      <c r="P490" s="2">
        <f t="shared" si="168"/>
        <v>1.0616226122479304E+22</v>
      </c>
      <c r="Q490" s="2">
        <f t="shared" si="180"/>
        <v>2.7746347931593995E+20</v>
      </c>
    </row>
    <row r="491" spans="1:17" x14ac:dyDescent="0.2">
      <c r="A491">
        <f t="shared" si="176"/>
        <v>600</v>
      </c>
      <c r="B491">
        <f t="shared" si="169"/>
        <v>600000</v>
      </c>
      <c r="C491" s="1">
        <f t="shared" si="177"/>
        <v>19423800000</v>
      </c>
      <c r="D491">
        <f t="shared" si="164"/>
        <v>1773</v>
      </c>
      <c r="E491" s="2">
        <f t="shared" si="178"/>
        <v>540000</v>
      </c>
      <c r="F491" s="2">
        <f t="shared" si="165"/>
        <v>801933.2</v>
      </c>
      <c r="G491" s="2">
        <f t="shared" si="166"/>
        <v>14741.431199999999</v>
      </c>
      <c r="H491" s="2">
        <f t="shared" si="167"/>
        <v>51595.009199999993</v>
      </c>
      <c r="I491" s="2">
        <f t="shared" si="170"/>
        <v>36.631450004664408</v>
      </c>
      <c r="J491" s="2">
        <f t="shared" si="171"/>
        <v>15.542844403640499</v>
      </c>
      <c r="K491">
        <f t="shared" si="172"/>
        <v>8106559994367314</v>
      </c>
      <c r="L491" s="13">
        <f t="shared" si="179"/>
        <v>689037020.39194131</v>
      </c>
      <c r="M491" s="2">
        <f t="shared" si="173"/>
        <v>5625635.0847688895</v>
      </c>
      <c r="N491" s="2">
        <f t="shared" si="174"/>
        <v>5.2901309185632348E+18</v>
      </c>
      <c r="O491" s="2">
        <f t="shared" si="175"/>
        <v>1.6728862823138472E+16</v>
      </c>
      <c r="P491" s="2">
        <f t="shared" si="168"/>
        <v>1.056961970871766E+22</v>
      </c>
      <c r="Q491" s="2">
        <f t="shared" si="180"/>
        <v>2.7905999325873622E+20</v>
      </c>
    </row>
    <row r="492" spans="1:17" x14ac:dyDescent="0.2">
      <c r="A492">
        <f t="shared" si="176"/>
        <v>599</v>
      </c>
      <c r="B492">
        <f t="shared" si="169"/>
        <v>599000</v>
      </c>
      <c r="C492" s="1">
        <f t="shared" si="177"/>
        <v>19391427000</v>
      </c>
      <c r="D492">
        <f t="shared" si="164"/>
        <v>1772.5</v>
      </c>
      <c r="E492" s="2">
        <f t="shared" si="178"/>
        <v>540000</v>
      </c>
      <c r="F492" s="2">
        <f t="shared" si="165"/>
        <v>801479.978</v>
      </c>
      <c r="G492" s="2">
        <f t="shared" si="166"/>
        <v>14737.273999999998</v>
      </c>
      <c r="H492" s="2">
        <f t="shared" si="167"/>
        <v>51580.458999999995</v>
      </c>
      <c r="I492" s="2">
        <f t="shared" si="170"/>
        <v>36.641783276880112</v>
      </c>
      <c r="J492" s="2">
        <f t="shared" si="171"/>
        <v>15.538442145309332</v>
      </c>
      <c r="K492">
        <f t="shared" si="172"/>
        <v>8190761575222081</v>
      </c>
      <c r="L492" s="13">
        <f t="shared" si="179"/>
        <v>693003955.50228703</v>
      </c>
      <c r="M492" s="2">
        <f t="shared" si="173"/>
        <v>5600924.0180067327</v>
      </c>
      <c r="N492" s="2">
        <f t="shared" si="174"/>
        <v>5.3450786876022866E+18</v>
      </c>
      <c r="O492" s="2">
        <f t="shared" si="175"/>
        <v>1.6902622925646752E+16</v>
      </c>
      <c r="P492" s="2">
        <f t="shared" si="168"/>
        <v>1.0523191781143779E+22</v>
      </c>
      <c r="Q492" s="2">
        <f t="shared" si="180"/>
        <v>2.8066660197842626E+20</v>
      </c>
    </row>
    <row r="493" spans="1:17" x14ac:dyDescent="0.2">
      <c r="A493">
        <f t="shared" si="176"/>
        <v>598</v>
      </c>
      <c r="B493">
        <f t="shared" si="169"/>
        <v>598000</v>
      </c>
      <c r="C493" s="1">
        <f t="shared" si="177"/>
        <v>19359054000</v>
      </c>
      <c r="D493">
        <f t="shared" si="164"/>
        <v>1772</v>
      </c>
      <c r="E493" s="2">
        <f t="shared" si="178"/>
        <v>540000</v>
      </c>
      <c r="F493" s="2">
        <f t="shared" si="165"/>
        <v>801026.75600000005</v>
      </c>
      <c r="G493" s="2">
        <f t="shared" si="166"/>
        <v>14733.116799999998</v>
      </c>
      <c r="H493" s="2">
        <f t="shared" si="167"/>
        <v>51565.908799999997</v>
      </c>
      <c r="I493" s="2">
        <f t="shared" si="170"/>
        <v>36.652122380513546</v>
      </c>
      <c r="J493" s="2">
        <f t="shared" si="171"/>
        <v>15.534037402633736</v>
      </c>
      <c r="K493">
        <f t="shared" si="172"/>
        <v>8275886004840218</v>
      </c>
      <c r="L493" s="13">
        <f t="shared" si="179"/>
        <v>696995987.15366733</v>
      </c>
      <c r="M493" s="2">
        <f t="shared" si="173"/>
        <v>5576307.6431603134</v>
      </c>
      <c r="N493" s="2">
        <f t="shared" si="174"/>
        <v>5.4006286838227374E+18</v>
      </c>
      <c r="O493" s="2">
        <f t="shared" si="175"/>
        <v>1.7078287437717124E+16</v>
      </c>
      <c r="P493" s="2">
        <f t="shared" si="168"/>
        <v>1.0476941763712268E+22</v>
      </c>
      <c r="Q493" s="2">
        <f t="shared" si="180"/>
        <v>2.8228337479723526E+20</v>
      </c>
    </row>
    <row r="494" spans="1:17" x14ac:dyDescent="0.2">
      <c r="A494">
        <f t="shared" si="176"/>
        <v>597</v>
      </c>
      <c r="B494">
        <f t="shared" si="169"/>
        <v>597000</v>
      </c>
      <c r="C494" s="1">
        <f t="shared" si="177"/>
        <v>19326681000</v>
      </c>
      <c r="D494">
        <f t="shared" si="164"/>
        <v>1771.5</v>
      </c>
      <c r="E494" s="2">
        <f t="shared" si="178"/>
        <v>540000</v>
      </c>
      <c r="F494" s="2">
        <f t="shared" si="165"/>
        <v>800573.53399999999</v>
      </c>
      <c r="G494" s="2">
        <f t="shared" si="166"/>
        <v>14728.959599999998</v>
      </c>
      <c r="H494" s="2">
        <f t="shared" si="167"/>
        <v>51551.358599999992</v>
      </c>
      <c r="I494" s="2">
        <f t="shared" si="170"/>
        <v>36.662467320502394</v>
      </c>
      <c r="J494" s="2">
        <f t="shared" si="171"/>
        <v>15.529630173510114</v>
      </c>
      <c r="K494">
        <f t="shared" si="172"/>
        <v>8361943913388734</v>
      </c>
      <c r="L494" s="13">
        <f t="shared" si="179"/>
        <v>701013287.77738905</v>
      </c>
      <c r="M494" s="2">
        <f t="shared" si="173"/>
        <v>5551785.6544168172</v>
      </c>
      <c r="N494" s="2">
        <f t="shared" si="174"/>
        <v>5.4567878441960305E+18</v>
      </c>
      <c r="O494" s="2">
        <f t="shared" si="175"/>
        <v>1.72558782959794E+16</v>
      </c>
      <c r="P494" s="2">
        <f t="shared" si="168"/>
        <v>1.0430869081852408E+22</v>
      </c>
      <c r="Q494" s="2">
        <f t="shared" si="180"/>
        <v>2.8391038154984256E+20</v>
      </c>
    </row>
    <row r="495" spans="1:17" x14ac:dyDescent="0.2">
      <c r="A495">
        <f t="shared" si="176"/>
        <v>596</v>
      </c>
      <c r="B495">
        <f t="shared" si="169"/>
        <v>596000</v>
      </c>
      <c r="C495" s="1">
        <f t="shared" si="177"/>
        <v>19294308000</v>
      </c>
      <c r="D495">
        <f t="shared" si="164"/>
        <v>1771</v>
      </c>
      <c r="E495" s="2">
        <f t="shared" si="178"/>
        <v>540000</v>
      </c>
      <c r="F495" s="2">
        <f t="shared" si="165"/>
        <v>800120.31199999992</v>
      </c>
      <c r="G495" s="2">
        <f t="shared" si="166"/>
        <v>14724.802399999999</v>
      </c>
      <c r="H495" s="2">
        <f t="shared" si="167"/>
        <v>51536.808399999994</v>
      </c>
      <c r="I495" s="2">
        <f t="shared" si="170"/>
        <v>36.672818101789943</v>
      </c>
      <c r="J495" s="2">
        <f t="shared" si="171"/>
        <v>15.525220455832496</v>
      </c>
      <c r="K495">
        <f t="shared" si="172"/>
        <v>8448946059293726</v>
      </c>
      <c r="L495" s="13">
        <f t="shared" si="179"/>
        <v>705056031.08006358</v>
      </c>
      <c r="M495" s="2">
        <f t="shared" si="173"/>
        <v>5527357.746746948</v>
      </c>
      <c r="N495" s="2">
        <f t="shared" si="174"/>
        <v>5.5135631893921608E+18</v>
      </c>
      <c r="O495" s="2">
        <f t="shared" si="175"/>
        <v>1.743541770174147E+16</v>
      </c>
      <c r="P495" s="2">
        <f t="shared" si="168"/>
        <v>1.0384973162465594E+22</v>
      </c>
      <c r="Q495" s="2">
        <f t="shared" si="180"/>
        <v>2.8554769258742576E+20</v>
      </c>
    </row>
    <row r="496" spans="1:17" x14ac:dyDescent="0.2">
      <c r="A496">
        <f t="shared" si="176"/>
        <v>595</v>
      </c>
      <c r="B496">
        <f t="shared" si="169"/>
        <v>595000</v>
      </c>
      <c r="C496" s="1">
        <f t="shared" si="177"/>
        <v>19261935000</v>
      </c>
      <c r="D496">
        <f t="shared" si="164"/>
        <v>1770.5</v>
      </c>
      <c r="E496" s="2">
        <f t="shared" si="178"/>
        <v>540000</v>
      </c>
      <c r="F496" s="2">
        <f t="shared" si="165"/>
        <v>799667.09</v>
      </c>
      <c r="G496" s="2">
        <f t="shared" si="166"/>
        <v>14720.645199999999</v>
      </c>
      <c r="H496" s="2">
        <f t="shared" si="167"/>
        <v>51522.258199999997</v>
      </c>
      <c r="I496" s="2">
        <f t="shared" si="170"/>
        <v>36.683174729325046</v>
      </c>
      <c r="J496" s="2">
        <f t="shared" si="171"/>
        <v>15.520808247492537</v>
      </c>
      <c r="K496">
        <f t="shared" si="172"/>
        <v>8536903330856238</v>
      </c>
      <c r="L496" s="13">
        <f t="shared" si="179"/>
        <v>709124392.05370235</v>
      </c>
      <c r="M496" s="2">
        <f t="shared" si="173"/>
        <v>5503023.6159035526</v>
      </c>
      <c r="N496" s="2">
        <f t="shared" si="174"/>
        <v>5.5709618248341504E+18</v>
      </c>
      <c r="O496" s="2">
        <f t="shared" si="175"/>
        <v>1.7616928124323822E+16</v>
      </c>
      <c r="P496" s="2">
        <f t="shared" si="168"/>
        <v>1.0339253433922727E+22</v>
      </c>
      <c r="Q496" s="2">
        <f t="shared" si="180"/>
        <v>2.8719537878174944E+20</v>
      </c>
    </row>
    <row r="497" spans="1:17" x14ac:dyDescent="0.2">
      <c r="A497">
        <f t="shared" si="176"/>
        <v>594</v>
      </c>
      <c r="B497">
        <f t="shared" si="169"/>
        <v>594000</v>
      </c>
      <c r="C497" s="1">
        <f t="shared" si="177"/>
        <v>19229562000</v>
      </c>
      <c r="D497">
        <f t="shared" si="164"/>
        <v>1770</v>
      </c>
      <c r="E497" s="2">
        <f t="shared" si="178"/>
        <v>540000</v>
      </c>
      <c r="F497" s="2">
        <f t="shared" si="165"/>
        <v>799213.86800000002</v>
      </c>
      <c r="G497" s="2">
        <f t="shared" si="166"/>
        <v>14716.487999999998</v>
      </c>
      <c r="H497" s="2">
        <f t="shared" si="167"/>
        <v>51507.707999999991</v>
      </c>
      <c r="I497" s="2">
        <f t="shared" si="170"/>
        <v>36.693537208062146</v>
      </c>
      <c r="J497" s="2">
        <f t="shared" si="171"/>
        <v>15.516393546379508</v>
      </c>
      <c r="K497">
        <f t="shared" si="172"/>
        <v>8625826747889930</v>
      </c>
      <c r="L497" s="13">
        <f t="shared" si="179"/>
        <v>713218546.98587048</v>
      </c>
      <c r="M497" s="2">
        <f t="shared" si="173"/>
        <v>5478782.9584202003</v>
      </c>
      <c r="N497" s="2">
        <f t="shared" si="174"/>
        <v>5.6289909417667441E+18</v>
      </c>
      <c r="O497" s="2">
        <f t="shared" si="175"/>
        <v>1.7800432304439062E+16</v>
      </c>
      <c r="P497" s="2">
        <f t="shared" si="168"/>
        <v>1.0293709326061555E+22</v>
      </c>
      <c r="Q497" s="2">
        <f t="shared" si="180"/>
        <v>2.8885351152927755E+20</v>
      </c>
    </row>
    <row r="498" spans="1:17" x14ac:dyDescent="0.2">
      <c r="A498">
        <f t="shared" si="176"/>
        <v>593</v>
      </c>
      <c r="B498">
        <f t="shared" si="169"/>
        <v>593000</v>
      </c>
      <c r="C498" s="1">
        <f t="shared" si="177"/>
        <v>19197189000</v>
      </c>
      <c r="D498">
        <f t="shared" si="164"/>
        <v>1769.5</v>
      </c>
      <c r="E498" s="2">
        <f t="shared" si="178"/>
        <v>540000</v>
      </c>
      <c r="F498" s="2">
        <f t="shared" si="165"/>
        <v>798760.64599999995</v>
      </c>
      <c r="G498" s="2">
        <f t="shared" si="166"/>
        <v>14712.330799999998</v>
      </c>
      <c r="H498" s="2">
        <f t="shared" si="167"/>
        <v>51493.157799999994</v>
      </c>
      <c r="I498" s="2">
        <f t="shared" si="170"/>
        <v>36.703905542961287</v>
      </c>
      <c r="J498" s="2">
        <f t="shared" si="171"/>
        <v>15.511976350380284</v>
      </c>
      <c r="K498">
        <f t="shared" si="172"/>
        <v>8715727463380080</v>
      </c>
      <c r="L498" s="13">
        <f t="shared" si="179"/>
        <v>717338673.46994519</v>
      </c>
      <c r="M498" s="2">
        <f t="shared" si="173"/>
        <v>5454635.4716097517</v>
      </c>
      <c r="N498" s="2">
        <f t="shared" si="174"/>
        <v>5.6876578183390331E+18</v>
      </c>
      <c r="O498" s="2">
        <f t="shared" si="175"/>
        <v>1.7985953257615464E+16</v>
      </c>
      <c r="P498" s="2">
        <f t="shared" si="168"/>
        <v>1.0248340270183982E+22</v>
      </c>
      <c r="Q498" s="2">
        <f t="shared" si="180"/>
        <v>2.9052216275532779E+20</v>
      </c>
    </row>
    <row r="499" spans="1:17" x14ac:dyDescent="0.2">
      <c r="A499">
        <f t="shared" si="176"/>
        <v>592</v>
      </c>
      <c r="B499">
        <f t="shared" si="169"/>
        <v>592000</v>
      </c>
      <c r="C499" s="1">
        <f t="shared" si="177"/>
        <v>19164816000</v>
      </c>
      <c r="D499">
        <f t="shared" ref="D499:D562" si="181">IF(A499&gt;$B$4,$B$2+(A499-$B$4)*$B$5,$B$6+(($B$2-$B$6)/$B$4)*(A499))</f>
        <v>1769</v>
      </c>
      <c r="E499" s="2">
        <f t="shared" si="178"/>
        <v>540000</v>
      </c>
      <c r="F499" s="2">
        <f t="shared" ref="F499:F562" si="182">+$F$20+$H$15*C499*(0.000001)</f>
        <v>798307.424</v>
      </c>
      <c r="G499" s="2">
        <f t="shared" ref="G499:G562" si="183">+$B$17*D499</f>
        <v>14708.173599999998</v>
      </c>
      <c r="H499" s="2">
        <f t="shared" ref="H499:H562" si="184">+$B$23*$B$17*D499</f>
        <v>51478.607599999996</v>
      </c>
      <c r="I499" s="2">
        <f t="shared" si="170"/>
        <v>36.714279738988125</v>
      </c>
      <c r="J499" s="2">
        <f t="shared" si="171"/>
        <v>15.507556657379366</v>
      </c>
      <c r="K499">
        <f t="shared" si="172"/>
        <v>8806616765164449</v>
      </c>
      <c r="L499" s="13">
        <f t="shared" si="179"/>
        <v>721484950.4154644</v>
      </c>
      <c r="M499" s="2">
        <f t="shared" si="173"/>
        <v>5430580.8535631001</v>
      </c>
      <c r="N499" s="2">
        <f t="shared" si="174"/>
        <v>5.7469698207013417E+18</v>
      </c>
      <c r="O499" s="2">
        <f t="shared" si="175"/>
        <v>1.8173514277665648E+16</v>
      </c>
      <c r="P499" s="2">
        <f t="shared" ref="P499:P562" si="185">(1000000)*($F$18^(-1/$B$23))*($F$19^((1/$B$23)-1))*M499</f>
        <v>1.0203145699053705E+22</v>
      </c>
      <c r="Q499" s="2">
        <f t="shared" si="180"/>
        <v>2.9220140491826309E+20</v>
      </c>
    </row>
    <row r="500" spans="1:17" x14ac:dyDescent="0.2">
      <c r="A500">
        <f t="shared" si="176"/>
        <v>591</v>
      </c>
      <c r="B500">
        <f t="shared" ref="B500:B563" si="186">A500*1000</f>
        <v>591000</v>
      </c>
      <c r="C500" s="1">
        <f t="shared" si="177"/>
        <v>19132443000</v>
      </c>
      <c r="D500">
        <f t="shared" si="181"/>
        <v>1768.5</v>
      </c>
      <c r="E500" s="2">
        <f t="shared" si="178"/>
        <v>540000</v>
      </c>
      <c r="F500" s="2">
        <f t="shared" si="182"/>
        <v>797854.20200000005</v>
      </c>
      <c r="G500" s="2">
        <f t="shared" si="183"/>
        <v>14704.016399999999</v>
      </c>
      <c r="H500" s="2">
        <f t="shared" si="184"/>
        <v>51464.057399999998</v>
      </c>
      <c r="I500" s="2">
        <f t="shared" ref="I500:I563" si="187">+E500/G500</f>
        <v>36.724659801113937</v>
      </c>
      <c r="J500" s="2">
        <f t="shared" ref="J500:J563" si="188">+F500/H500</f>
        <v>15.503134465258857</v>
      </c>
      <c r="K500">
        <f t="shared" ref="K500:K563" si="189">+EXP(I500)</f>
        <v>8898506077636183</v>
      </c>
      <c r="L500" s="13">
        <f t="shared" si="179"/>
        <v>725657558.05853462</v>
      </c>
      <c r="M500" s="2">
        <f t="shared" ref="M500:M563" si="190">+EXP(J500)</f>
        <v>5406618.8031476606</v>
      </c>
      <c r="N500" s="2">
        <f t="shared" ref="N500:N563" si="191">+$B$13*(($B$15/$B$21)^($B$23-1))*K500</f>
        <v>5.8069344041165025E+18</v>
      </c>
      <c r="O500" s="2">
        <f t="shared" ref="O500:O563" si="192">+$B$13*(($B$15/$B$22)^($B$23-1))*K500</f>
        <v>1.8363138940200712E+16</v>
      </c>
      <c r="P500" s="2">
        <f t="shared" si="185"/>
        <v>1.0158125046893377E+22</v>
      </c>
      <c r="Q500" s="2">
        <f t="shared" si="180"/>
        <v>2.9389131101370653E+20</v>
      </c>
    </row>
    <row r="501" spans="1:17" x14ac:dyDescent="0.2">
      <c r="A501">
        <f t="shared" si="176"/>
        <v>590</v>
      </c>
      <c r="B501">
        <f t="shared" si="186"/>
        <v>590000</v>
      </c>
      <c r="C501" s="1">
        <f t="shared" si="177"/>
        <v>19100070000</v>
      </c>
      <c r="D501">
        <f t="shared" si="181"/>
        <v>1768</v>
      </c>
      <c r="E501" s="2">
        <f t="shared" si="178"/>
        <v>540000</v>
      </c>
      <c r="F501" s="2">
        <f t="shared" si="182"/>
        <v>797400.98</v>
      </c>
      <c r="G501" s="2">
        <f t="shared" si="183"/>
        <v>14699.859199999999</v>
      </c>
      <c r="H501" s="2">
        <f t="shared" si="184"/>
        <v>51449.507199999993</v>
      </c>
      <c r="I501" s="2">
        <f t="shared" si="187"/>
        <v>36.735045734315605</v>
      </c>
      <c r="J501" s="2">
        <f t="shared" si="188"/>
        <v>15.498709771898458</v>
      </c>
      <c r="K501">
        <f t="shared" si="189"/>
        <v>8991406963468939</v>
      </c>
      <c r="L501" s="13">
        <f t="shared" si="179"/>
        <v>729856677.972368</v>
      </c>
      <c r="M501" s="2">
        <f t="shared" si="190"/>
        <v>5382749.0200060196</v>
      </c>
      <c r="N501" s="2">
        <f t="shared" si="191"/>
        <v>5.8675591140856207E+18</v>
      </c>
      <c r="O501" s="2">
        <f t="shared" si="192"/>
        <v>1.855485110619024E+16</v>
      </c>
      <c r="P501" s="2">
        <f t="shared" si="185"/>
        <v>1.0113277749382066E+22</v>
      </c>
      <c r="Q501" s="2">
        <f t="shared" si="180"/>
        <v>2.9559195457880903E+20</v>
      </c>
    </row>
    <row r="502" spans="1:17" x14ac:dyDescent="0.2">
      <c r="A502">
        <f t="shared" si="176"/>
        <v>589</v>
      </c>
      <c r="B502">
        <f t="shared" si="186"/>
        <v>589000</v>
      </c>
      <c r="C502" s="1">
        <f t="shared" si="177"/>
        <v>19067697000</v>
      </c>
      <c r="D502">
        <f t="shared" si="181"/>
        <v>1767.5</v>
      </c>
      <c r="E502" s="2">
        <f t="shared" si="178"/>
        <v>540000</v>
      </c>
      <c r="F502" s="2">
        <f t="shared" si="182"/>
        <v>796947.75799999991</v>
      </c>
      <c r="G502" s="2">
        <f t="shared" si="183"/>
        <v>14695.701999999999</v>
      </c>
      <c r="H502" s="2">
        <f t="shared" si="184"/>
        <v>51434.956999999995</v>
      </c>
      <c r="I502" s="2">
        <f t="shared" si="187"/>
        <v>36.745437543575669</v>
      </c>
      <c r="J502" s="2">
        <f t="shared" si="188"/>
        <v>15.494282575175479</v>
      </c>
      <c r="K502">
        <f t="shared" si="189"/>
        <v>9085331125365270</v>
      </c>
      <c r="L502" s="13">
        <f t="shared" si="179"/>
        <v>734082493.07786393</v>
      </c>
      <c r="M502" s="2">
        <f t="shared" si="190"/>
        <v>5358971.2045545802</v>
      </c>
      <c r="N502" s="2">
        <f t="shared" si="191"/>
        <v>5.9288515874890322E+18</v>
      </c>
      <c r="O502" s="2">
        <f t="shared" si="192"/>
        <v>1.8748674925570312E+16</v>
      </c>
      <c r="P502" s="2">
        <f t="shared" si="185"/>
        <v>1.0068603243652706E+22</v>
      </c>
      <c r="Q502" s="2">
        <f t="shared" si="180"/>
        <v>2.9730340969653489E+20</v>
      </c>
    </row>
    <row r="503" spans="1:17" x14ac:dyDescent="0.2">
      <c r="A503">
        <f t="shared" si="176"/>
        <v>588</v>
      </c>
      <c r="B503">
        <f t="shared" si="186"/>
        <v>588000</v>
      </c>
      <c r="C503" s="1">
        <f t="shared" si="177"/>
        <v>19035324000</v>
      </c>
      <c r="D503">
        <f t="shared" si="181"/>
        <v>1767</v>
      </c>
      <c r="E503" s="2">
        <f t="shared" si="178"/>
        <v>540000</v>
      </c>
      <c r="F503" s="2">
        <f t="shared" si="182"/>
        <v>796494.53599999996</v>
      </c>
      <c r="G503" s="2">
        <f t="shared" si="183"/>
        <v>14691.544799999998</v>
      </c>
      <c r="H503" s="2">
        <f t="shared" si="184"/>
        <v>51420.406799999997</v>
      </c>
      <c r="I503" s="2">
        <f t="shared" si="187"/>
        <v>36.755835233882287</v>
      </c>
      <c r="J503" s="2">
        <f t="shared" si="188"/>
        <v>15.489852872964825</v>
      </c>
      <c r="K503">
        <f t="shared" si="189"/>
        <v>9180290407827288</v>
      </c>
      <c r="L503" s="13">
        <f t="shared" si="179"/>
        <v>738335187.65431833</v>
      </c>
      <c r="M503" s="2">
        <f t="shared" si="190"/>
        <v>5335285.0579821505</v>
      </c>
      <c r="N503" s="2">
        <f t="shared" si="191"/>
        <v>5.9908195537417892E+18</v>
      </c>
      <c r="O503" s="2">
        <f t="shared" si="192"/>
        <v>1.8944634840897472E+16</v>
      </c>
      <c r="P503" s="2">
        <f t="shared" si="185"/>
        <v>1.0024100968289461E+22</v>
      </c>
      <c r="Q503" s="2">
        <f t="shared" si="180"/>
        <v>2.9902575099999892E+20</v>
      </c>
    </row>
    <row r="504" spans="1:17" x14ac:dyDescent="0.2">
      <c r="A504">
        <f t="shared" si="176"/>
        <v>587</v>
      </c>
      <c r="B504">
        <f t="shared" si="186"/>
        <v>587000</v>
      </c>
      <c r="C504" s="1">
        <f t="shared" si="177"/>
        <v>19002951000</v>
      </c>
      <c r="D504">
        <f t="shared" si="181"/>
        <v>1766.5</v>
      </c>
      <c r="E504" s="2">
        <f t="shared" si="178"/>
        <v>540000</v>
      </c>
      <c r="F504" s="2">
        <f t="shared" si="182"/>
        <v>796041.31400000001</v>
      </c>
      <c r="G504" s="2">
        <f t="shared" si="183"/>
        <v>14687.387599999998</v>
      </c>
      <c r="H504" s="2">
        <f t="shared" si="184"/>
        <v>51405.856599999992</v>
      </c>
      <c r="I504" s="2">
        <f t="shared" si="187"/>
        <v>36.766238810229268</v>
      </c>
      <c r="J504" s="2">
        <f t="shared" si="188"/>
        <v>15.485420663138996</v>
      </c>
      <c r="K504">
        <f t="shared" si="189"/>
        <v>9276296798951214</v>
      </c>
      <c r="L504" s="13">
        <f t="shared" si="179"/>
        <v>742614947.35018742</v>
      </c>
      <c r="M504" s="2">
        <f t="shared" si="190"/>
        <v>5311690.2822485724</v>
      </c>
      <c r="N504" s="2">
        <f t="shared" si="191"/>
        <v>6.0534708359647355E+18</v>
      </c>
      <c r="O504" s="2">
        <f t="shared" si="192"/>
        <v>1.9142755591052E+16</v>
      </c>
      <c r="P504" s="2">
        <f t="shared" si="185"/>
        <v>9.9797703633251231E+21</v>
      </c>
      <c r="Q504" s="2">
        <f t="shared" si="180"/>
        <v>3.0075905367682594E+20</v>
      </c>
    </row>
    <row r="505" spans="1:17" x14ac:dyDescent="0.2">
      <c r="A505">
        <f t="shared" si="176"/>
        <v>586</v>
      </c>
      <c r="B505">
        <f t="shared" si="186"/>
        <v>586000</v>
      </c>
      <c r="C505" s="1">
        <f t="shared" si="177"/>
        <v>18970578000</v>
      </c>
      <c r="D505">
        <f t="shared" si="181"/>
        <v>1766</v>
      </c>
      <c r="E505" s="2">
        <f t="shared" si="178"/>
        <v>540000</v>
      </c>
      <c r="F505" s="2">
        <f t="shared" si="182"/>
        <v>795588.09199999995</v>
      </c>
      <c r="G505" s="2">
        <f t="shared" si="183"/>
        <v>14683.230399999999</v>
      </c>
      <c r="H505" s="2">
        <f t="shared" si="184"/>
        <v>51391.306399999994</v>
      </c>
      <c r="I505" s="2">
        <f t="shared" si="187"/>
        <v>36.776648277616076</v>
      </c>
      <c r="J505" s="2">
        <f t="shared" si="188"/>
        <v>15.480985943568074</v>
      </c>
      <c r="K505">
        <f t="shared" si="189"/>
        <v>9373362432245412</v>
      </c>
      <c r="L505" s="13">
        <f t="shared" si="179"/>
        <v>746921959.19398153</v>
      </c>
      <c r="M505" s="2">
        <f t="shared" si="190"/>
        <v>5288186.5800832827</v>
      </c>
      <c r="N505" s="2">
        <f t="shared" si="191"/>
        <v>6.1168133521709128E+18</v>
      </c>
      <c r="O505" s="2">
        <f t="shared" si="192"/>
        <v>1.9343062214989648E+16</v>
      </c>
      <c r="P505" s="2">
        <f t="shared" si="185"/>
        <v>9.9356108702384369E+21</v>
      </c>
      <c r="Q505" s="2">
        <f t="shared" si="180"/>
        <v>3.0250339347356254E+20</v>
      </c>
    </row>
    <row r="506" spans="1:17" x14ac:dyDescent="0.2">
      <c r="A506">
        <f t="shared" si="176"/>
        <v>585</v>
      </c>
      <c r="B506">
        <f t="shared" si="186"/>
        <v>585000</v>
      </c>
      <c r="C506" s="1">
        <f t="shared" si="177"/>
        <v>18938205000</v>
      </c>
      <c r="D506">
        <f t="shared" si="181"/>
        <v>1765.5</v>
      </c>
      <c r="E506" s="2">
        <f t="shared" si="178"/>
        <v>540000</v>
      </c>
      <c r="F506" s="2">
        <f t="shared" si="182"/>
        <v>795134.87</v>
      </c>
      <c r="G506" s="2">
        <f t="shared" si="183"/>
        <v>14679.073199999999</v>
      </c>
      <c r="H506" s="2">
        <f t="shared" si="184"/>
        <v>51376.756199999996</v>
      </c>
      <c r="I506" s="2">
        <f t="shared" si="187"/>
        <v>36.787063641047858</v>
      </c>
      <c r="J506" s="2">
        <f t="shared" si="188"/>
        <v>15.476548712119744</v>
      </c>
      <c r="K506">
        <f t="shared" si="189"/>
        <v>9471499588472582</v>
      </c>
      <c r="L506" s="13">
        <f t="shared" si="179"/>
        <v>751256411.60521603</v>
      </c>
      <c r="M506" s="2">
        <f t="shared" si="190"/>
        <v>5264773.6549840625</v>
      </c>
      <c r="N506" s="2">
        <f t="shared" si="191"/>
        <v>6.1808551164677222E+18</v>
      </c>
      <c r="O506" s="2">
        <f t="shared" si="192"/>
        <v>1.9545580055543216E+16</v>
      </c>
      <c r="P506" s="2">
        <f t="shared" si="185"/>
        <v>9.8916219319517278E+21</v>
      </c>
      <c r="Q506" s="2">
        <f t="shared" si="180"/>
        <v>3.0425884670011251E+20</v>
      </c>
    </row>
    <row r="507" spans="1:17" x14ac:dyDescent="0.2">
      <c r="A507">
        <f t="shared" si="176"/>
        <v>584</v>
      </c>
      <c r="B507">
        <f t="shared" si="186"/>
        <v>584000</v>
      </c>
      <c r="C507" s="1">
        <f t="shared" si="177"/>
        <v>18905832000</v>
      </c>
      <c r="D507">
        <f t="shared" si="181"/>
        <v>1765</v>
      </c>
      <c r="E507" s="2">
        <f t="shared" si="178"/>
        <v>540000</v>
      </c>
      <c r="F507" s="2">
        <f t="shared" si="182"/>
        <v>794681.64800000004</v>
      </c>
      <c r="G507" s="2">
        <f t="shared" si="183"/>
        <v>14674.915999999999</v>
      </c>
      <c r="H507" s="2">
        <f t="shared" si="184"/>
        <v>51362.205999999991</v>
      </c>
      <c r="I507" s="2">
        <f t="shared" si="187"/>
        <v>36.797484905535406</v>
      </c>
      <c r="J507" s="2">
        <f t="shared" si="188"/>
        <v>15.472108966659263</v>
      </c>
      <c r="K507">
        <f t="shared" si="189"/>
        <v>9570720697515616</v>
      </c>
      <c r="L507" s="13">
        <f t="shared" si="179"/>
        <v>755618494.40547371</v>
      </c>
      <c r="M507" s="2">
        <f t="shared" si="190"/>
        <v>5241451.2112155193</v>
      </c>
      <c r="N507" s="2">
        <f t="shared" si="191"/>
        <v>6.2456042402745405E+18</v>
      </c>
      <c r="O507" s="2">
        <f t="shared" si="192"/>
        <v>1.9750334763272992E+16</v>
      </c>
      <c r="P507" s="2">
        <f t="shared" si="185"/>
        <v>9.8478029928280611E+21</v>
      </c>
      <c r="Q507" s="2">
        <f t="shared" si="180"/>
        <v>3.0602549023421687E+20</v>
      </c>
    </row>
    <row r="508" spans="1:17" x14ac:dyDescent="0.2">
      <c r="A508">
        <f t="shared" si="176"/>
        <v>583</v>
      </c>
      <c r="B508">
        <f t="shared" si="186"/>
        <v>583000</v>
      </c>
      <c r="C508" s="1">
        <f t="shared" si="177"/>
        <v>18873459000</v>
      </c>
      <c r="D508">
        <f t="shared" si="181"/>
        <v>1764.5</v>
      </c>
      <c r="E508" s="2">
        <f t="shared" si="178"/>
        <v>540000</v>
      </c>
      <c r="F508" s="2">
        <f t="shared" si="182"/>
        <v>794228.42599999998</v>
      </c>
      <c r="G508" s="2">
        <f t="shared" si="183"/>
        <v>14670.758799999998</v>
      </c>
      <c r="H508" s="2">
        <f t="shared" si="184"/>
        <v>51347.655799999993</v>
      </c>
      <c r="I508" s="2">
        <f t="shared" si="187"/>
        <v>36.807912076095214</v>
      </c>
      <c r="J508" s="2">
        <f t="shared" si="188"/>
        <v>15.467666705049465</v>
      </c>
      <c r="K508">
        <f t="shared" si="189"/>
        <v>9671038340269070</v>
      </c>
      <c r="L508" s="13">
        <f t="shared" si="179"/>
        <v>760008398.82956088</v>
      </c>
      <c r="M508" s="2">
        <f t="shared" si="190"/>
        <v>5218218.9538077349</v>
      </c>
      <c r="N508" s="2">
        <f t="shared" si="191"/>
        <v>6.3110689335570391E+18</v>
      </c>
      <c r="O508" s="2">
        <f t="shared" si="192"/>
        <v>1.9957352300370012E+16</v>
      </c>
      <c r="P508" s="2">
        <f t="shared" si="185"/>
        <v>9.8041534986686992E+21</v>
      </c>
      <c r="Q508" s="2">
        <f t="shared" si="180"/>
        <v>3.0780340152597217E+20</v>
      </c>
    </row>
    <row r="509" spans="1:17" x14ac:dyDescent="0.2">
      <c r="A509">
        <f t="shared" si="176"/>
        <v>582</v>
      </c>
      <c r="B509">
        <f t="shared" si="186"/>
        <v>582000</v>
      </c>
      <c r="C509" s="1">
        <f t="shared" si="177"/>
        <v>18841086000</v>
      </c>
      <c r="D509">
        <f t="shared" si="181"/>
        <v>1764</v>
      </c>
      <c r="E509" s="2">
        <f t="shared" si="178"/>
        <v>540000</v>
      </c>
      <c r="F509" s="2">
        <f t="shared" si="182"/>
        <v>793775.20399999991</v>
      </c>
      <c r="G509" s="2">
        <f t="shared" si="183"/>
        <v>14666.601599999998</v>
      </c>
      <c r="H509" s="2">
        <f t="shared" si="184"/>
        <v>51333.105599999995</v>
      </c>
      <c r="I509" s="2">
        <f t="shared" si="187"/>
        <v>36.818345157749434</v>
      </c>
      <c r="J509" s="2">
        <f t="shared" si="188"/>
        <v>15.463221925150775</v>
      </c>
      <c r="K509">
        <f t="shared" si="189"/>
        <v>9772465250554556</v>
      </c>
      <c r="L509" s="13">
        <f t="shared" si="179"/>
        <v>764426317.53674114</v>
      </c>
      <c r="M509" s="2">
        <f t="shared" si="190"/>
        <v>5195076.5885549914</v>
      </c>
      <c r="N509" s="2">
        <f t="shared" si="191"/>
        <v>6.3772575060771226E+18</v>
      </c>
      <c r="O509" s="2">
        <f t="shared" si="192"/>
        <v>2.0166658944608708E+16</v>
      </c>
      <c r="P509" s="2">
        <f t="shared" si="185"/>
        <v>9.7606728967107075E+21</v>
      </c>
      <c r="Q509" s="2">
        <f t="shared" si="180"/>
        <v>3.0959265860238017E+20</v>
      </c>
    </row>
    <row r="510" spans="1:17" x14ac:dyDescent="0.2">
      <c r="A510">
        <f t="shared" si="176"/>
        <v>581</v>
      </c>
      <c r="B510">
        <f t="shared" si="186"/>
        <v>581000</v>
      </c>
      <c r="C510" s="1">
        <f t="shared" si="177"/>
        <v>18808713000</v>
      </c>
      <c r="D510">
        <f t="shared" si="181"/>
        <v>1763.5</v>
      </c>
      <c r="E510" s="2">
        <f t="shared" si="178"/>
        <v>540000</v>
      </c>
      <c r="F510" s="2">
        <f t="shared" si="182"/>
        <v>793321.98199999996</v>
      </c>
      <c r="G510" s="2">
        <f t="shared" si="183"/>
        <v>14662.444399999998</v>
      </c>
      <c r="H510" s="2">
        <f t="shared" si="184"/>
        <v>51318.555399999997</v>
      </c>
      <c r="I510" s="2">
        <f t="shared" si="187"/>
        <v>36.828784155525938</v>
      </c>
      <c r="J510" s="2">
        <f t="shared" si="188"/>
        <v>15.458774624821181</v>
      </c>
      <c r="K510">
        <f t="shared" si="189"/>
        <v>9875014317062538</v>
      </c>
      <c r="L510" s="13">
        <f t="shared" si="179"/>
        <v>768872444.62208045</v>
      </c>
      <c r="M510" s="2">
        <f t="shared" si="190"/>
        <v>5172023.8220142778</v>
      </c>
      <c r="N510" s="2">
        <f t="shared" si="191"/>
        <v>6.444178368660095E+18</v>
      </c>
      <c r="O510" s="2">
        <f t="shared" si="192"/>
        <v>2.0378281293354036E+16</v>
      </c>
      <c r="P510" s="2">
        <f t="shared" si="185"/>
        <v>9.7173606356241539E+21</v>
      </c>
      <c r="Q510" s="2">
        <f t="shared" si="180"/>
        <v>3.1139334007194255E+20</v>
      </c>
    </row>
    <row r="511" spans="1:17" x14ac:dyDescent="0.2">
      <c r="A511">
        <f t="shared" si="176"/>
        <v>580</v>
      </c>
      <c r="B511">
        <f t="shared" si="186"/>
        <v>580000</v>
      </c>
      <c r="C511" s="1">
        <f t="shared" si="177"/>
        <v>18776340000</v>
      </c>
      <c r="D511">
        <f t="shared" si="181"/>
        <v>1763</v>
      </c>
      <c r="E511" s="2">
        <f t="shared" si="178"/>
        <v>540000</v>
      </c>
      <c r="F511" s="2">
        <f t="shared" si="182"/>
        <v>792868.76</v>
      </c>
      <c r="G511" s="2">
        <f t="shared" si="183"/>
        <v>14658.287199999999</v>
      </c>
      <c r="H511" s="2">
        <f t="shared" si="184"/>
        <v>51304.005199999992</v>
      </c>
      <c r="I511" s="2">
        <f t="shared" si="187"/>
        <v>36.839229074458309</v>
      </c>
      <c r="J511" s="2">
        <f t="shared" si="188"/>
        <v>15.454324801916247</v>
      </c>
      <c r="K511">
        <f t="shared" si="189"/>
        <v>9978698585319122</v>
      </c>
      <c r="L511" s="13">
        <f t="shared" si="179"/>
        <v>773346975.62789392</v>
      </c>
      <c r="M511" s="2">
        <f t="shared" si="190"/>
        <v>5149060.361503955</v>
      </c>
      <c r="N511" s="2">
        <f t="shared" si="191"/>
        <v>6.5118400344781332E+18</v>
      </c>
      <c r="O511" s="2">
        <f t="shared" si="192"/>
        <v>2.0592246267620196E+16</v>
      </c>
      <c r="P511" s="2">
        <f t="shared" si="185"/>
        <v>9.6742161655095865E+21</v>
      </c>
      <c r="Q511" s="2">
        <f t="shared" si="180"/>
        <v>3.1320552512929707E+20</v>
      </c>
    </row>
    <row r="512" spans="1:17" x14ac:dyDescent="0.2">
      <c r="A512">
        <f t="shared" si="176"/>
        <v>579</v>
      </c>
      <c r="B512">
        <f t="shared" si="186"/>
        <v>579000</v>
      </c>
      <c r="C512" s="1">
        <f t="shared" si="177"/>
        <v>18743967000</v>
      </c>
      <c r="D512">
        <f t="shared" si="181"/>
        <v>1762.5</v>
      </c>
      <c r="E512" s="2">
        <f t="shared" si="178"/>
        <v>540000</v>
      </c>
      <c r="F512" s="2">
        <f t="shared" si="182"/>
        <v>792415.53799999994</v>
      </c>
      <c r="G512" s="2">
        <f t="shared" si="183"/>
        <v>14654.13</v>
      </c>
      <c r="H512" s="2">
        <f t="shared" si="184"/>
        <v>51289.454999999994</v>
      </c>
      <c r="I512" s="2">
        <f t="shared" si="187"/>
        <v>36.84967991958581</v>
      </c>
      <c r="J512" s="2">
        <f t="shared" si="188"/>
        <v>15.449872454289094</v>
      </c>
      <c r="K512">
        <f t="shared" si="189"/>
        <v>1.008353125967857E+16</v>
      </c>
      <c r="L512" s="13">
        <f t="shared" si="179"/>
        <v>777850107.55526471</v>
      </c>
      <c r="M512" s="2">
        <f t="shared" si="190"/>
        <v>5126185.9151023552</v>
      </c>
      <c r="N512" s="2">
        <f t="shared" si="191"/>
        <v>6.5802511203505531E+18</v>
      </c>
      <c r="O512" s="2">
        <f t="shared" si="192"/>
        <v>2.0808581116182408E+16</v>
      </c>
      <c r="P512" s="2">
        <f t="shared" si="185"/>
        <v>9.63123893789542E+21</v>
      </c>
      <c r="Q512" s="2">
        <f t="shared" si="180"/>
        <v>3.1502929355988219E+20</v>
      </c>
    </row>
    <row r="513" spans="1:17" x14ac:dyDescent="0.2">
      <c r="A513">
        <f t="shared" ref="A513:A576" si="193">+A512-1</f>
        <v>578</v>
      </c>
      <c r="B513">
        <f t="shared" si="186"/>
        <v>578000</v>
      </c>
      <c r="C513" s="1">
        <f t="shared" si="177"/>
        <v>18711594000</v>
      </c>
      <c r="D513">
        <f t="shared" si="181"/>
        <v>1762</v>
      </c>
      <c r="E513" s="2">
        <f t="shared" si="178"/>
        <v>540000</v>
      </c>
      <c r="F513" s="2">
        <f t="shared" si="182"/>
        <v>791962.31599999999</v>
      </c>
      <c r="G513" s="2">
        <f t="shared" si="183"/>
        <v>14649.972799999998</v>
      </c>
      <c r="H513" s="2">
        <f t="shared" si="184"/>
        <v>51274.904799999997</v>
      </c>
      <c r="I513" s="2">
        <f t="shared" si="187"/>
        <v>36.860136695953464</v>
      </c>
      <c r="J513" s="2">
        <f t="shared" si="188"/>
        <v>15.445417579790417</v>
      </c>
      <c r="K513">
        <f t="shared" si="189"/>
        <v>1.0189525705343396E+16</v>
      </c>
      <c r="L513" s="13">
        <f t="shared" si="179"/>
        <v>782382038.8756851</v>
      </c>
      <c r="M513" s="2">
        <f t="shared" si="190"/>
        <v>5103400.191646467</v>
      </c>
      <c r="N513" s="2">
        <f t="shared" si="191"/>
        <v>6.6494203480620698E+18</v>
      </c>
      <c r="O513" s="2">
        <f t="shared" si="192"/>
        <v>2.102731341974564E+16</v>
      </c>
      <c r="P513" s="2">
        <f t="shared" si="185"/>
        <v>9.5884284057354513E+21</v>
      </c>
      <c r="Q513" s="2">
        <f t="shared" si="180"/>
        <v>3.1686472574465245E+20</v>
      </c>
    </row>
    <row r="514" spans="1:17" x14ac:dyDescent="0.2">
      <c r="A514">
        <f t="shared" si="193"/>
        <v>577</v>
      </c>
      <c r="B514">
        <f t="shared" si="186"/>
        <v>577000</v>
      </c>
      <c r="C514" s="1">
        <f t="shared" si="177"/>
        <v>18679221000</v>
      </c>
      <c r="D514">
        <f t="shared" si="181"/>
        <v>1761.5</v>
      </c>
      <c r="E514" s="2">
        <f t="shared" si="178"/>
        <v>540000</v>
      </c>
      <c r="F514" s="2">
        <f t="shared" si="182"/>
        <v>791509.09400000004</v>
      </c>
      <c r="G514" s="2">
        <f t="shared" si="183"/>
        <v>14645.815599999998</v>
      </c>
      <c r="H514" s="2">
        <f t="shared" si="184"/>
        <v>51260.354599999991</v>
      </c>
      <c r="I514" s="2">
        <f t="shared" si="187"/>
        <v>36.87059940861198</v>
      </c>
      <c r="J514" s="2">
        <f t="shared" si="188"/>
        <v>15.440960176268469</v>
      </c>
      <c r="K514">
        <f t="shared" si="189"/>
        <v>1.0296695450409586E+16</v>
      </c>
      <c r="L514" s="13">
        <f t="shared" si="179"/>
        <v>786942969.54277456</v>
      </c>
      <c r="M514" s="2">
        <f t="shared" si="190"/>
        <v>5080702.9007305214</v>
      </c>
      <c r="N514" s="2">
        <f t="shared" si="191"/>
        <v>6.7193565456974572E+18</v>
      </c>
      <c r="O514" s="2">
        <f t="shared" si="192"/>
        <v>2.124847109516514E+16</v>
      </c>
      <c r="P514" s="2">
        <f t="shared" si="185"/>
        <v>9.5457840234062099E+21</v>
      </c>
      <c r="Q514" s="2">
        <f t="shared" si="180"/>
        <v>3.1871190266482367E+20</v>
      </c>
    </row>
    <row r="515" spans="1:17" x14ac:dyDescent="0.2">
      <c r="A515">
        <f t="shared" si="193"/>
        <v>576</v>
      </c>
      <c r="B515">
        <f t="shared" si="186"/>
        <v>576000</v>
      </c>
      <c r="C515" s="1">
        <f t="shared" si="177"/>
        <v>18646848000</v>
      </c>
      <c r="D515">
        <f t="shared" si="181"/>
        <v>1761</v>
      </c>
      <c r="E515" s="2">
        <f t="shared" si="178"/>
        <v>540000</v>
      </c>
      <c r="F515" s="2">
        <f t="shared" si="182"/>
        <v>791055.87199999997</v>
      </c>
      <c r="G515" s="2">
        <f t="shared" si="183"/>
        <v>14641.658399999998</v>
      </c>
      <c r="H515" s="2">
        <f t="shared" si="184"/>
        <v>51245.804399999994</v>
      </c>
      <c r="I515" s="2">
        <f t="shared" si="187"/>
        <v>36.881068062617828</v>
      </c>
      <c r="J515" s="2">
        <f t="shared" si="188"/>
        <v>15.436500241569046</v>
      </c>
      <c r="K515">
        <f t="shared" si="189"/>
        <v>1.040505418794048E+16</v>
      </c>
      <c r="L515" s="13">
        <f t="shared" si="179"/>
        <v>791533101.00412405</v>
      </c>
      <c r="M515" s="2">
        <f t="shared" si="190"/>
        <v>5058093.7527045663</v>
      </c>
      <c r="N515" s="2">
        <f t="shared" si="191"/>
        <v>6.7900686489949051E+18</v>
      </c>
      <c r="O515" s="2">
        <f t="shared" si="192"/>
        <v>2.147208239972618E+16</v>
      </c>
      <c r="P515" s="2">
        <f t="shared" si="185"/>
        <v>9.5033052467042787E+21</v>
      </c>
      <c r="Q515" s="2">
        <f t="shared" si="180"/>
        <v>3.2057090590667021E+20</v>
      </c>
    </row>
    <row r="516" spans="1:17" x14ac:dyDescent="0.2">
      <c r="A516">
        <f t="shared" si="193"/>
        <v>575</v>
      </c>
      <c r="B516">
        <f t="shared" si="186"/>
        <v>575000</v>
      </c>
      <c r="C516" s="1">
        <f t="shared" si="177"/>
        <v>18614475000</v>
      </c>
      <c r="D516">
        <f t="shared" si="181"/>
        <v>1760.5</v>
      </c>
      <c r="E516" s="2">
        <f t="shared" si="178"/>
        <v>540000</v>
      </c>
      <c r="F516" s="2">
        <f t="shared" si="182"/>
        <v>790602.65</v>
      </c>
      <c r="G516" s="2">
        <f t="shared" si="183"/>
        <v>14637.501199999999</v>
      </c>
      <c r="H516" s="2">
        <f t="shared" si="184"/>
        <v>51231.254199999996</v>
      </c>
      <c r="I516" s="2">
        <f t="shared" si="187"/>
        <v>36.891542663033228</v>
      </c>
      <c r="J516" s="2">
        <f t="shared" si="188"/>
        <v>15.432037773535516</v>
      </c>
      <c r="K516">
        <f t="shared" si="189"/>
        <v>1.0514615778067228E+16</v>
      </c>
      <c r="L516" s="13">
        <f t="shared" si="179"/>
        <v>796152636.21321404</v>
      </c>
      <c r="M516" s="2">
        <f t="shared" si="190"/>
        <v>5035572.4586732313</v>
      </c>
      <c r="N516" s="2">
        <f t="shared" si="191"/>
        <v>6.8615657027167283E+18</v>
      </c>
      <c r="O516" s="2">
        <f t="shared" si="192"/>
        <v>2.1698175935478556E+16</v>
      </c>
      <c r="P516" s="2">
        <f t="shared" si="185"/>
        <v>9.4609915328439695E+21</v>
      </c>
      <c r="Q516" s="2">
        <f t="shared" si="180"/>
        <v>3.2244181766635166E+20</v>
      </c>
    </row>
    <row r="517" spans="1:17" x14ac:dyDescent="0.2">
      <c r="A517">
        <f t="shared" si="193"/>
        <v>574</v>
      </c>
      <c r="B517">
        <f t="shared" si="186"/>
        <v>574000</v>
      </c>
      <c r="C517" s="1">
        <f t="shared" si="177"/>
        <v>18582102000</v>
      </c>
      <c r="D517">
        <f t="shared" si="181"/>
        <v>1760</v>
      </c>
      <c r="E517" s="2">
        <f t="shared" si="178"/>
        <v>540000</v>
      </c>
      <c r="F517" s="2">
        <f t="shared" si="182"/>
        <v>790149.42799999996</v>
      </c>
      <c r="G517" s="2">
        <f t="shared" si="183"/>
        <v>14633.343999999999</v>
      </c>
      <c r="H517" s="2">
        <f t="shared" si="184"/>
        <v>51216.703999999998</v>
      </c>
      <c r="I517" s="2">
        <f t="shared" si="187"/>
        <v>36.902023214926132</v>
      </c>
      <c r="J517" s="2">
        <f t="shared" si="188"/>
        <v>15.427572770008785</v>
      </c>
      <c r="K517">
        <f t="shared" si="189"/>
        <v>1.0625394250117084E+16</v>
      </c>
      <c r="L517" s="13">
        <f t="shared" si="179"/>
        <v>800801779.64144909</v>
      </c>
      <c r="M517" s="2">
        <f t="shared" si="190"/>
        <v>5013138.7304942338</v>
      </c>
      <c r="N517" s="2">
        <f t="shared" si="191"/>
        <v>6.9338568620382321E+18</v>
      </c>
      <c r="O517" s="2">
        <f t="shared" si="192"/>
        <v>2.192678065362862E+16</v>
      </c>
      <c r="P517" s="2">
        <f t="shared" si="185"/>
        <v>9.4188423404545229E+21</v>
      </c>
      <c r="Q517" s="2">
        <f t="shared" si="180"/>
        <v>3.2432472075478689E+20</v>
      </c>
    </row>
    <row r="518" spans="1:17" x14ac:dyDescent="0.2">
      <c r="A518">
        <f t="shared" si="193"/>
        <v>573</v>
      </c>
      <c r="B518">
        <f t="shared" si="186"/>
        <v>573000</v>
      </c>
      <c r="C518" s="1">
        <f t="shared" si="177"/>
        <v>18549729000</v>
      </c>
      <c r="D518">
        <f t="shared" si="181"/>
        <v>1759.5</v>
      </c>
      <c r="E518" s="2">
        <f t="shared" si="178"/>
        <v>540000</v>
      </c>
      <c r="F518" s="2">
        <f t="shared" si="182"/>
        <v>789696.20600000001</v>
      </c>
      <c r="G518" s="2">
        <f t="shared" si="183"/>
        <v>14629.186799999998</v>
      </c>
      <c r="H518" s="2">
        <f t="shared" si="184"/>
        <v>51202.153799999993</v>
      </c>
      <c r="I518" s="2">
        <f t="shared" si="187"/>
        <v>36.912509723370277</v>
      </c>
      <c r="J518" s="2">
        <f t="shared" si="188"/>
        <v>15.42310522882731</v>
      </c>
      <c r="K518">
        <f t="shared" si="189"/>
        <v>1.0737403804770634E+16</v>
      </c>
      <c r="L518" s="13">
        <f t="shared" si="179"/>
        <v>805480737.29028487</v>
      </c>
      <c r="M518" s="2">
        <f t="shared" si="190"/>
        <v>4990792.2807770688</v>
      </c>
      <c r="N518" s="2">
        <f t="shared" si="191"/>
        <v>7.0069513939554642E+18</v>
      </c>
      <c r="O518" s="2">
        <f t="shared" si="192"/>
        <v>2.2157925858990948E+16</v>
      </c>
      <c r="P518" s="2">
        <f t="shared" si="185"/>
        <v>9.3768571295776396E+21</v>
      </c>
      <c r="Q518" s="2">
        <f t="shared" si="180"/>
        <v>3.2621969860256537E+20</v>
      </c>
    </row>
    <row r="519" spans="1:17" x14ac:dyDescent="0.2">
      <c r="A519">
        <f t="shared" si="193"/>
        <v>572</v>
      </c>
      <c r="B519">
        <f t="shared" si="186"/>
        <v>572000</v>
      </c>
      <c r="C519" s="1">
        <f t="shared" si="177"/>
        <v>18517356000</v>
      </c>
      <c r="D519">
        <f t="shared" si="181"/>
        <v>1759</v>
      </c>
      <c r="E519" s="2">
        <f t="shared" si="178"/>
        <v>540000</v>
      </c>
      <c r="F519" s="2">
        <f t="shared" si="182"/>
        <v>789242.98399999994</v>
      </c>
      <c r="G519" s="2">
        <f t="shared" si="183"/>
        <v>14625.029599999998</v>
      </c>
      <c r="H519" s="2">
        <f t="shared" si="184"/>
        <v>51187.603599999995</v>
      </c>
      <c r="I519" s="2">
        <f t="shared" si="187"/>
        <v>36.923002193445136</v>
      </c>
      <c r="J519" s="2">
        <f t="shared" si="188"/>
        <v>15.41863514782708</v>
      </c>
      <c r="K519">
        <f t="shared" si="189"/>
        <v>1.0850658816246584E+16</v>
      </c>
      <c r="L519" s="13">
        <f t="shared" si="179"/>
        <v>810189716.70347691</v>
      </c>
      <c r="M519" s="2">
        <f t="shared" si="190"/>
        <v>4968532.8228815775</v>
      </c>
      <c r="N519" s="2">
        <f t="shared" si="191"/>
        <v>7.080858678710953E+18</v>
      </c>
      <c r="O519" s="2">
        <f t="shared" si="192"/>
        <v>2.2391641214496932E+16</v>
      </c>
      <c r="P519" s="2">
        <f t="shared" si="185"/>
        <v>9.3350353616647959E+21</v>
      </c>
      <c r="Q519" s="2">
        <f t="shared" si="180"/>
        <v>3.2812683526490817E+20</v>
      </c>
    </row>
    <row r="520" spans="1:17" x14ac:dyDescent="0.2">
      <c r="A520">
        <f t="shared" si="193"/>
        <v>571</v>
      </c>
      <c r="B520">
        <f t="shared" si="186"/>
        <v>571000</v>
      </c>
      <c r="C520" s="1">
        <f t="shared" si="177"/>
        <v>18484983000</v>
      </c>
      <c r="D520">
        <f t="shared" si="181"/>
        <v>1758.5</v>
      </c>
      <c r="E520" s="2">
        <f t="shared" si="178"/>
        <v>540000</v>
      </c>
      <c r="F520" s="2">
        <f t="shared" si="182"/>
        <v>788789.76199999999</v>
      </c>
      <c r="G520" s="2">
        <f t="shared" si="183"/>
        <v>14620.872399999998</v>
      </c>
      <c r="H520" s="2">
        <f t="shared" si="184"/>
        <v>51173.053399999997</v>
      </c>
      <c r="I520" s="2">
        <f t="shared" si="187"/>
        <v>36.933500630235997</v>
      </c>
      <c r="J520" s="2">
        <f t="shared" si="188"/>
        <v>15.41416252484164</v>
      </c>
      <c r="K520">
        <f t="shared" si="189"/>
        <v>1.0965173834517058E+16</v>
      </c>
      <c r="L520" s="13">
        <f t="shared" si="179"/>
        <v>814928926.97940516</v>
      </c>
      <c r="M520" s="2">
        <f t="shared" si="190"/>
        <v>4946360.0709167076</v>
      </c>
      <c r="N520" s="2">
        <f t="shared" si="191"/>
        <v>7.1555882112393492E+18</v>
      </c>
      <c r="O520" s="2">
        <f t="shared" si="192"/>
        <v>2.2627956745766304E+16</v>
      </c>
      <c r="P520" s="2">
        <f t="shared" si="185"/>
        <v>9.2933764995749123E+21</v>
      </c>
      <c r="Q520" s="2">
        <f t="shared" si="180"/>
        <v>3.3004621542665912E+20</v>
      </c>
    </row>
    <row r="521" spans="1:17" x14ac:dyDescent="0.2">
      <c r="A521">
        <f t="shared" si="193"/>
        <v>570</v>
      </c>
      <c r="B521">
        <f t="shared" si="186"/>
        <v>570000</v>
      </c>
      <c r="C521" s="1">
        <f t="shared" si="177"/>
        <v>18452610000</v>
      </c>
      <c r="D521">
        <f t="shared" si="181"/>
        <v>1758</v>
      </c>
      <c r="E521" s="2">
        <f t="shared" si="178"/>
        <v>540000</v>
      </c>
      <c r="F521" s="2">
        <f t="shared" si="182"/>
        <v>788336.54</v>
      </c>
      <c r="G521" s="2">
        <f t="shared" si="183"/>
        <v>14616.715199999999</v>
      </c>
      <c r="H521" s="2">
        <f t="shared" si="184"/>
        <v>51158.503199999992</v>
      </c>
      <c r="I521" s="2">
        <f t="shared" si="187"/>
        <v>36.9440050388339</v>
      </c>
      <c r="J521" s="2">
        <f t="shared" si="188"/>
        <v>15.409687357702056</v>
      </c>
      <c r="K521">
        <f t="shared" si="189"/>
        <v>1.108096358755061E+16</v>
      </c>
      <c r="L521" s="13">
        <f t="shared" si="179"/>
        <v>819698578.78352916</v>
      </c>
      <c r="M521" s="2">
        <f t="shared" si="190"/>
        <v>4924273.739739011</v>
      </c>
      <c r="N521" s="2">
        <f t="shared" si="191"/>
        <v>7.2311496026311608E+18</v>
      </c>
      <c r="O521" s="2">
        <f t="shared" si="192"/>
        <v>2.2866902845735872E+16</v>
      </c>
      <c r="P521" s="2">
        <f t="shared" si="185"/>
        <v>9.2518800075715322E+21</v>
      </c>
      <c r="Q521" s="2">
        <f t="shared" si="180"/>
        <v>3.3197792440732929E+20</v>
      </c>
    </row>
    <row r="522" spans="1:17" x14ac:dyDescent="0.2">
      <c r="A522">
        <f t="shared" si="193"/>
        <v>569</v>
      </c>
      <c r="B522">
        <f t="shared" si="186"/>
        <v>569000</v>
      </c>
      <c r="C522" s="1">
        <f t="shared" si="177"/>
        <v>18420237000</v>
      </c>
      <c r="D522">
        <f t="shared" si="181"/>
        <v>1757.5</v>
      </c>
      <c r="E522" s="2">
        <f t="shared" si="178"/>
        <v>540000</v>
      </c>
      <c r="F522" s="2">
        <f t="shared" si="182"/>
        <v>787883.31799999997</v>
      </c>
      <c r="G522" s="2">
        <f t="shared" si="183"/>
        <v>14612.557999999999</v>
      </c>
      <c r="H522" s="2">
        <f t="shared" si="184"/>
        <v>51143.952999999994</v>
      </c>
      <c r="I522" s="2">
        <f t="shared" si="187"/>
        <v>36.954515424335703</v>
      </c>
      <c r="J522" s="2">
        <f t="shared" si="188"/>
        <v>15.405209644236926</v>
      </c>
      <c r="K522">
        <f t="shared" si="189"/>
        <v>1.1198042983586644E+16</v>
      </c>
      <c r="L522" s="13">
        <f t="shared" si="179"/>
        <v>824498884.36093247</v>
      </c>
      <c r="M522" s="2">
        <f t="shared" si="190"/>
        <v>4902273.5449513094</v>
      </c>
      <c r="N522" s="2">
        <f t="shared" si="191"/>
        <v>7.307552581616981E+18</v>
      </c>
      <c r="O522" s="2">
        <f t="shared" si="192"/>
        <v>2.3108510279353044E+16</v>
      </c>
      <c r="P522" s="2">
        <f t="shared" si="185"/>
        <v>9.2105453513203138E+21</v>
      </c>
      <c r="Q522" s="2">
        <f t="shared" si="180"/>
        <v>3.3392204816617767E+20</v>
      </c>
    </row>
    <row r="523" spans="1:17" x14ac:dyDescent="0.2">
      <c r="A523">
        <f t="shared" si="193"/>
        <v>568</v>
      </c>
      <c r="B523">
        <f t="shared" si="186"/>
        <v>568000</v>
      </c>
      <c r="C523" s="1">
        <f t="shared" si="177"/>
        <v>18387864000</v>
      </c>
      <c r="D523">
        <f t="shared" si="181"/>
        <v>1757</v>
      </c>
      <c r="E523" s="2">
        <f t="shared" si="178"/>
        <v>540000</v>
      </c>
      <c r="F523" s="2">
        <f t="shared" si="182"/>
        <v>787430.09600000002</v>
      </c>
      <c r="G523" s="2">
        <f t="shared" si="183"/>
        <v>14608.400799999998</v>
      </c>
      <c r="H523" s="2">
        <f t="shared" si="184"/>
        <v>51129.402799999996</v>
      </c>
      <c r="I523" s="2">
        <f t="shared" si="187"/>
        <v>36.965031791844055</v>
      </c>
      <c r="J523" s="2">
        <f t="shared" si="188"/>
        <v>15.400729382272388</v>
      </c>
      <c r="K523">
        <f t="shared" si="189"/>
        <v>1.1316427113438984E+16</v>
      </c>
      <c r="L523" s="13">
        <f t="shared" si="179"/>
        <v>829330057.54898727</v>
      </c>
      <c r="M523" s="2">
        <f t="shared" si="190"/>
        <v>4880359.2029014267</v>
      </c>
      <c r="N523" s="2">
        <f t="shared" si="191"/>
        <v>7.3848069960707348E+18</v>
      </c>
      <c r="O523" s="2">
        <f t="shared" si="192"/>
        <v>2.3352810188329536E+16</v>
      </c>
      <c r="P523" s="2">
        <f t="shared" si="185"/>
        <v>9.1693719978866471E+21</v>
      </c>
      <c r="Q523" s="2">
        <f t="shared" si="180"/>
        <v>3.3587867330733985E+20</v>
      </c>
    </row>
    <row r="524" spans="1:17" x14ac:dyDescent="0.2">
      <c r="A524">
        <f t="shared" si="193"/>
        <v>567</v>
      </c>
      <c r="B524">
        <f t="shared" si="186"/>
        <v>567000</v>
      </c>
      <c r="C524" s="1">
        <f t="shared" si="177"/>
        <v>18355491000</v>
      </c>
      <c r="D524">
        <f t="shared" si="181"/>
        <v>1756.5</v>
      </c>
      <c r="E524" s="2">
        <f t="shared" si="178"/>
        <v>540000</v>
      </c>
      <c r="F524" s="2">
        <f t="shared" si="182"/>
        <v>786976.87399999995</v>
      </c>
      <c r="G524" s="2">
        <f t="shared" si="183"/>
        <v>14604.243599999998</v>
      </c>
      <c r="H524" s="2">
        <f t="shared" si="184"/>
        <v>51114.852599999991</v>
      </c>
      <c r="I524" s="2">
        <f t="shared" si="187"/>
        <v>36.975554146467402</v>
      </c>
      <c r="J524" s="2">
        <f t="shared" si="188"/>
        <v>15.396246569632094</v>
      </c>
      <c r="K524">
        <f t="shared" si="189"/>
        <v>1.143613125283051E+16</v>
      </c>
      <c r="L524" s="13">
        <f t="shared" si="179"/>
        <v>834192313.79010725</v>
      </c>
      <c r="M524" s="2">
        <f t="shared" si="190"/>
        <v>4858530.430680695</v>
      </c>
      <c r="N524" s="2">
        <f t="shared" si="191"/>
        <v>7.462922814533204E+18</v>
      </c>
      <c r="O524" s="2">
        <f t="shared" si="192"/>
        <v>2.3599834095959168E+16</v>
      </c>
      <c r="P524" s="2">
        <f t="shared" si="185"/>
        <v>9.1283594157328528E+21</v>
      </c>
      <c r="Q524" s="2">
        <f t="shared" si="180"/>
        <v>3.3784788708499345E+20</v>
      </c>
    </row>
    <row r="525" spans="1:17" x14ac:dyDescent="0.2">
      <c r="A525">
        <f t="shared" si="193"/>
        <v>566</v>
      </c>
      <c r="B525">
        <f t="shared" si="186"/>
        <v>566000</v>
      </c>
      <c r="C525" s="1">
        <f t="shared" si="177"/>
        <v>18323118000</v>
      </c>
      <c r="D525">
        <f t="shared" si="181"/>
        <v>1756</v>
      </c>
      <c r="E525" s="2">
        <f t="shared" si="178"/>
        <v>540000</v>
      </c>
      <c r="F525" s="2">
        <f t="shared" si="182"/>
        <v>786523.652</v>
      </c>
      <c r="G525" s="2">
        <f t="shared" si="183"/>
        <v>14600.086399999998</v>
      </c>
      <c r="H525" s="2">
        <f t="shared" si="184"/>
        <v>51100.302399999993</v>
      </c>
      <c r="I525" s="2">
        <f t="shared" si="187"/>
        <v>36.98608249332004</v>
      </c>
      <c r="J525" s="2">
        <f t="shared" si="188"/>
        <v>15.39176120413722</v>
      </c>
      <c r="K525">
        <f t="shared" si="189"/>
        <v>1.1557170864759366E+16</v>
      </c>
      <c r="L525" s="13">
        <f t="shared" si="179"/>
        <v>839085870.14463508</v>
      </c>
      <c r="M525" s="2">
        <f t="shared" si="190"/>
        <v>4836786.9461226631</v>
      </c>
      <c r="N525" s="2">
        <f t="shared" si="191"/>
        <v>7.5419101277561549E+18</v>
      </c>
      <c r="O525" s="2">
        <f t="shared" si="192"/>
        <v>2.3849613912000828E+16</v>
      </c>
      <c r="P525" s="2">
        <f t="shared" si="185"/>
        <v>9.0875070747157474E+21</v>
      </c>
      <c r="Q525" s="2">
        <f t="shared" si="180"/>
        <v>3.3982977740857718E+20</v>
      </c>
    </row>
    <row r="526" spans="1:17" x14ac:dyDescent="0.2">
      <c r="A526">
        <f t="shared" si="193"/>
        <v>565</v>
      </c>
      <c r="B526">
        <f t="shared" si="186"/>
        <v>565000</v>
      </c>
      <c r="C526" s="1">
        <f t="shared" si="177"/>
        <v>18290745000</v>
      </c>
      <c r="D526">
        <f t="shared" si="181"/>
        <v>1755.5</v>
      </c>
      <c r="E526" s="2">
        <f t="shared" si="178"/>
        <v>540000</v>
      </c>
      <c r="F526" s="2">
        <f t="shared" si="182"/>
        <v>786070.42999999993</v>
      </c>
      <c r="G526" s="2">
        <f t="shared" si="183"/>
        <v>14595.929199999999</v>
      </c>
      <c r="H526" s="2">
        <f t="shared" si="184"/>
        <v>51085.752199999995</v>
      </c>
      <c r="I526" s="2">
        <f t="shared" si="187"/>
        <v>36.996616837522069</v>
      </c>
      <c r="J526" s="2">
        <f t="shared" si="188"/>
        <v>15.387273283606461</v>
      </c>
      <c r="K526">
        <f t="shared" si="189"/>
        <v>1.1679561601895658E+16</v>
      </c>
      <c r="L526" s="13">
        <f t="shared" si="179"/>
        <v>844010945.30381918</v>
      </c>
      <c r="M526" s="2">
        <f t="shared" si="190"/>
        <v>4815128.467801732</v>
      </c>
      <c r="N526" s="2">
        <f t="shared" si="191"/>
        <v>7.6217791502663598E+18</v>
      </c>
      <c r="O526" s="2">
        <f t="shared" si="192"/>
        <v>2.4102181937624332E+16</v>
      </c>
      <c r="P526" s="2">
        <f t="shared" si="185"/>
        <v>9.046814446084085E+21</v>
      </c>
      <c r="Q526" s="2">
        <f t="shared" si="180"/>
        <v>3.4182443284804678E+20</v>
      </c>
    </row>
    <row r="527" spans="1:17" x14ac:dyDescent="0.2">
      <c r="A527">
        <f t="shared" si="193"/>
        <v>564</v>
      </c>
      <c r="B527">
        <f t="shared" si="186"/>
        <v>564000</v>
      </c>
      <c r="C527" s="1">
        <f t="shared" si="177"/>
        <v>18258372000</v>
      </c>
      <c r="D527">
        <f t="shared" si="181"/>
        <v>1755</v>
      </c>
      <c r="E527" s="2">
        <f t="shared" si="178"/>
        <v>540000</v>
      </c>
      <c r="F527" s="2">
        <f t="shared" si="182"/>
        <v>785617.20799999998</v>
      </c>
      <c r="G527" s="2">
        <f t="shared" si="183"/>
        <v>14591.771999999999</v>
      </c>
      <c r="H527" s="2">
        <f t="shared" si="184"/>
        <v>51071.201999999997</v>
      </c>
      <c r="I527" s="2">
        <f t="shared" si="187"/>
        <v>37.007157184199428</v>
      </c>
      <c r="J527" s="2">
        <f t="shared" si="188"/>
        <v>15.382782805856028</v>
      </c>
      <c r="K527">
        <f t="shared" si="189"/>
        <v>1.1803319309010986E+16</v>
      </c>
      <c r="L527" s="13">
        <f t="shared" si="179"/>
        <v>848967759.60289836</v>
      </c>
      <c r="M527" s="2">
        <f t="shared" si="190"/>
        <v>4793554.7150317784</v>
      </c>
      <c r="N527" s="2">
        <f t="shared" si="191"/>
        <v>7.7025402219510436E+18</v>
      </c>
      <c r="O527" s="2">
        <f t="shared" si="192"/>
        <v>2.4357570870424064E+16</v>
      </c>
      <c r="P527" s="2">
        <f t="shared" si="185"/>
        <v>9.0062810024759725E+21</v>
      </c>
      <c r="Q527" s="2">
        <f t="shared" si="180"/>
        <v>3.4383194263917383E+20</v>
      </c>
    </row>
    <row r="528" spans="1:17" x14ac:dyDescent="0.2">
      <c r="A528">
        <f t="shared" si="193"/>
        <v>563</v>
      </c>
      <c r="B528">
        <f t="shared" si="186"/>
        <v>563000</v>
      </c>
      <c r="C528" s="1">
        <f t="shared" si="177"/>
        <v>18225999000</v>
      </c>
      <c r="D528">
        <f t="shared" si="181"/>
        <v>1754.5</v>
      </c>
      <c r="E528" s="2">
        <f t="shared" si="178"/>
        <v>540000</v>
      </c>
      <c r="F528" s="2">
        <f t="shared" si="182"/>
        <v>785163.98600000003</v>
      </c>
      <c r="G528" s="2">
        <f t="shared" si="183"/>
        <v>14587.614799999998</v>
      </c>
      <c r="H528" s="2">
        <f t="shared" si="184"/>
        <v>51056.651799999992</v>
      </c>
      <c r="I528" s="2">
        <f t="shared" si="187"/>
        <v>37.0177035384839</v>
      </c>
      <c r="J528" s="2">
        <f t="shared" si="188"/>
        <v>15.378289768699641</v>
      </c>
      <c r="K528">
        <f t="shared" si="189"/>
        <v>1.1928460025439994E+16</v>
      </c>
      <c r="L528" s="13">
        <f t="shared" si="179"/>
        <v>853956535.03433967</v>
      </c>
      <c r="M528" s="2">
        <f t="shared" si="190"/>
        <v>4772065.4078648128</v>
      </c>
      <c r="N528" s="2">
        <f t="shared" si="191"/>
        <v>7.7842038096642335E+18</v>
      </c>
      <c r="O528" s="2">
        <f t="shared" si="192"/>
        <v>2.4615813809498684E+16</v>
      </c>
      <c r="P528" s="2">
        <f t="shared" si="185"/>
        <v>8.9659062179163412E+21</v>
      </c>
      <c r="Q528" s="2">
        <f t="shared" si="180"/>
        <v>3.4585239668890757E+20</v>
      </c>
    </row>
    <row r="529" spans="1:17" x14ac:dyDescent="0.2">
      <c r="A529">
        <f t="shared" si="193"/>
        <v>562</v>
      </c>
      <c r="B529">
        <f t="shared" si="186"/>
        <v>562000</v>
      </c>
      <c r="C529" s="1">
        <f t="shared" si="177"/>
        <v>18193626000</v>
      </c>
      <c r="D529">
        <f t="shared" si="181"/>
        <v>1754</v>
      </c>
      <c r="E529" s="2">
        <f t="shared" si="178"/>
        <v>540000</v>
      </c>
      <c r="F529" s="2">
        <f t="shared" si="182"/>
        <v>784710.76399999997</v>
      </c>
      <c r="G529" s="2">
        <f t="shared" si="183"/>
        <v>14583.457599999998</v>
      </c>
      <c r="H529" s="2">
        <f t="shared" si="184"/>
        <v>51042.101599999995</v>
      </c>
      <c r="I529" s="2">
        <f t="shared" si="187"/>
        <v>37.028255905513113</v>
      </c>
      <c r="J529" s="2">
        <f t="shared" si="188"/>
        <v>15.373794169948521</v>
      </c>
      <c r="K529">
        <f t="shared" si="189"/>
        <v>1.2054999987574832E+16</v>
      </c>
      <c r="L529" s="13">
        <f t="shared" si="179"/>
        <v>858977495.26110804</v>
      </c>
      <c r="M529" s="2">
        <f t="shared" si="190"/>
        <v>4750660.2670895606</v>
      </c>
      <c r="N529" s="2">
        <f t="shared" si="191"/>
        <v>7.8667805088545751E+18</v>
      </c>
      <c r="O529" s="2">
        <f t="shared" si="192"/>
        <v>2.4876944260598744E+16</v>
      </c>
      <c r="P529" s="2">
        <f t="shared" si="185"/>
        <v>8.9256895678142879E+21</v>
      </c>
      <c r="Q529" s="2">
        <f t="shared" si="180"/>
        <v>3.4788588558074878E+20</v>
      </c>
    </row>
    <row r="530" spans="1:17" x14ac:dyDescent="0.2">
      <c r="A530">
        <f t="shared" si="193"/>
        <v>561</v>
      </c>
      <c r="B530">
        <f t="shared" si="186"/>
        <v>561000</v>
      </c>
      <c r="C530" s="1">
        <f t="shared" si="177"/>
        <v>18161253000</v>
      </c>
      <c r="D530">
        <f t="shared" si="181"/>
        <v>1753.5</v>
      </c>
      <c r="E530" s="2">
        <f t="shared" si="178"/>
        <v>540000</v>
      </c>
      <c r="F530" s="2">
        <f t="shared" si="182"/>
        <v>784257.54200000002</v>
      </c>
      <c r="G530" s="2">
        <f t="shared" si="183"/>
        <v>14579.300399999998</v>
      </c>
      <c r="H530" s="2">
        <f t="shared" si="184"/>
        <v>51027.551399999997</v>
      </c>
      <c r="I530" s="2">
        <f t="shared" si="187"/>
        <v>37.038814290430565</v>
      </c>
      <c r="J530" s="2">
        <f t="shared" si="188"/>
        <v>15.369296007411402</v>
      </c>
      <c r="K530">
        <f t="shared" si="189"/>
        <v>1.218295563139312E+16</v>
      </c>
      <c r="L530" s="13">
        <f t="shared" si="179"/>
        <v>864030865.63014627</v>
      </c>
      <c r="M530" s="2">
        <f t="shared" si="190"/>
        <v>4729339.0142302085</v>
      </c>
      <c r="N530" s="2">
        <f t="shared" si="191"/>
        <v>7.950281045215019E+18</v>
      </c>
      <c r="O530" s="2">
        <f t="shared" si="192"/>
        <v>2.5140996141343452E+16</v>
      </c>
      <c r="P530" s="2">
        <f t="shared" si="185"/>
        <v>8.8856305289607187E+21</v>
      </c>
      <c r="Q530" s="2">
        <f t="shared" si="180"/>
        <v>3.4993250058020926E+20</v>
      </c>
    </row>
    <row r="531" spans="1:17" x14ac:dyDescent="0.2">
      <c r="A531">
        <f t="shared" si="193"/>
        <v>560</v>
      </c>
      <c r="B531">
        <f t="shared" si="186"/>
        <v>560000</v>
      </c>
      <c r="C531" s="1">
        <f t="shared" si="177"/>
        <v>18128880000</v>
      </c>
      <c r="D531">
        <f t="shared" si="181"/>
        <v>1753</v>
      </c>
      <c r="E531" s="2">
        <f t="shared" si="178"/>
        <v>540000</v>
      </c>
      <c r="F531" s="2">
        <f t="shared" si="182"/>
        <v>783804.32</v>
      </c>
      <c r="G531" s="2">
        <f t="shared" si="183"/>
        <v>14575.143199999999</v>
      </c>
      <c r="H531" s="2">
        <f t="shared" si="184"/>
        <v>51013.001199999992</v>
      </c>
      <c r="I531" s="2">
        <f t="shared" si="187"/>
        <v>37.049378698385624</v>
      </c>
      <c r="J531" s="2">
        <f t="shared" si="188"/>
        <v>15.364795278894512</v>
      </c>
      <c r="K531">
        <f t="shared" si="189"/>
        <v>1.2312343595019416E+16</v>
      </c>
      <c r="L531" s="13">
        <f t="shared" si="179"/>
        <v>869116873.18589389</v>
      </c>
      <c r="M531" s="2">
        <f t="shared" si="190"/>
        <v>4708101.3715449711</v>
      </c>
      <c r="N531" s="2">
        <f t="shared" si="191"/>
        <v>8.0347162763543675E+18</v>
      </c>
      <c r="O531" s="2">
        <f t="shared" si="192"/>
        <v>2.5408003786506568E+16</v>
      </c>
      <c r="P531" s="2">
        <f t="shared" si="185"/>
        <v>8.8457285795256509E+21</v>
      </c>
      <c r="Q531" s="2">
        <f t="shared" si="180"/>
        <v>3.5199233364028699E+20</v>
      </c>
    </row>
    <row r="532" spans="1:17" x14ac:dyDescent="0.2">
      <c r="A532">
        <f t="shared" si="193"/>
        <v>559</v>
      </c>
      <c r="B532">
        <f t="shared" si="186"/>
        <v>559000</v>
      </c>
      <c r="C532" s="1">
        <f t="shared" si="177"/>
        <v>18096507000</v>
      </c>
      <c r="D532">
        <f t="shared" si="181"/>
        <v>1752.5</v>
      </c>
      <c r="E532" s="2">
        <f t="shared" si="178"/>
        <v>540000</v>
      </c>
      <c r="F532" s="2">
        <f t="shared" si="182"/>
        <v>783351.098</v>
      </c>
      <c r="G532" s="2">
        <f t="shared" si="183"/>
        <v>14570.985999999999</v>
      </c>
      <c r="H532" s="2">
        <f t="shared" si="184"/>
        <v>50998.450999999994</v>
      </c>
      <c r="I532" s="2">
        <f t="shared" si="187"/>
        <v>37.059949134533518</v>
      </c>
      <c r="J532" s="2">
        <f t="shared" si="188"/>
        <v>15.360291982201579</v>
      </c>
      <c r="K532">
        <f t="shared" si="189"/>
        <v>1.2443180721320842E+16</v>
      </c>
      <c r="L532" s="13">
        <f t="shared" si="179"/>
        <v>874235746.68395841</v>
      </c>
      <c r="M532" s="2">
        <f t="shared" si="190"/>
        <v>4686947.0620247601</v>
      </c>
      <c r="N532" s="2">
        <f t="shared" si="191"/>
        <v>8.120097193491114E+18</v>
      </c>
      <c r="O532" s="2">
        <f t="shared" si="192"/>
        <v>2.5678001953372788E+16</v>
      </c>
      <c r="P532" s="2">
        <f t="shared" si="185"/>
        <v>8.8059831990557197E+21</v>
      </c>
      <c r="Q532" s="2">
        <f t="shared" si="180"/>
        <v>3.5406547740700318E+20</v>
      </c>
    </row>
    <row r="533" spans="1:17" x14ac:dyDescent="0.2">
      <c r="A533">
        <f t="shared" si="193"/>
        <v>558</v>
      </c>
      <c r="B533">
        <f t="shared" si="186"/>
        <v>558000</v>
      </c>
      <c r="C533" s="1">
        <f t="shared" si="177"/>
        <v>18064134000</v>
      </c>
      <c r="D533">
        <f t="shared" si="181"/>
        <v>1752</v>
      </c>
      <c r="E533" s="2">
        <f t="shared" si="178"/>
        <v>540000</v>
      </c>
      <c r="F533" s="2">
        <f t="shared" si="182"/>
        <v>782897.87599999993</v>
      </c>
      <c r="G533" s="2">
        <f t="shared" si="183"/>
        <v>14566.828799999999</v>
      </c>
      <c r="H533" s="2">
        <f t="shared" si="184"/>
        <v>50983.900799999996</v>
      </c>
      <c r="I533" s="2">
        <f t="shared" si="187"/>
        <v>37.070525604035382</v>
      </c>
      <c r="J533" s="2">
        <f t="shared" si="188"/>
        <v>15.355786115133819</v>
      </c>
      <c r="K533">
        <f t="shared" si="189"/>
        <v>1.257548406053803E+16</v>
      </c>
      <c r="L533" s="13">
        <f t="shared" si="179"/>
        <v>879387716.6049006</v>
      </c>
      <c r="M533" s="2">
        <f t="shared" si="190"/>
        <v>4665875.8093918143</v>
      </c>
      <c r="N533" s="2">
        <f t="shared" si="191"/>
        <v>8.2064349231703265E+18</v>
      </c>
      <c r="O533" s="2">
        <f t="shared" si="192"/>
        <v>2.5951025827167016E+16</v>
      </c>
      <c r="P533" s="2">
        <f t="shared" si="185"/>
        <v>8.7663938684715973E+21</v>
      </c>
      <c r="Q533" s="2">
        <f t="shared" si="180"/>
        <v>3.5615202522498472E+20</v>
      </c>
    </row>
    <row r="534" spans="1:17" x14ac:dyDescent="0.2">
      <c r="A534">
        <f t="shared" si="193"/>
        <v>557</v>
      </c>
      <c r="B534">
        <f t="shared" si="186"/>
        <v>557000</v>
      </c>
      <c r="C534" s="1">
        <f t="shared" si="177"/>
        <v>18031761000</v>
      </c>
      <c r="D534">
        <f t="shared" si="181"/>
        <v>1751.5</v>
      </c>
      <c r="E534" s="2">
        <f t="shared" si="178"/>
        <v>540000</v>
      </c>
      <c r="F534" s="2">
        <f t="shared" si="182"/>
        <v>782444.65399999998</v>
      </c>
      <c r="G534" s="2">
        <f t="shared" si="183"/>
        <v>14562.671599999998</v>
      </c>
      <c r="H534" s="2">
        <f t="shared" si="184"/>
        <v>50969.350599999998</v>
      </c>
      <c r="I534" s="2">
        <f t="shared" si="187"/>
        <v>37.081108112058239</v>
      </c>
      <c r="J534" s="2">
        <f t="shared" si="188"/>
        <v>15.351277675489944</v>
      </c>
      <c r="K534">
        <f t="shared" si="189"/>
        <v>1.2709270872950584E+16</v>
      </c>
      <c r="L534" s="13">
        <f t="shared" si="179"/>
        <v>884573015.16812491</v>
      </c>
      <c r="M534" s="2">
        <f t="shared" si="190"/>
        <v>4644887.3380983872</v>
      </c>
      <c r="N534" s="2">
        <f t="shared" si="191"/>
        <v>8.2937407290030643E+18</v>
      </c>
      <c r="O534" s="2">
        <f t="shared" si="192"/>
        <v>2.622711102655488E+16</v>
      </c>
      <c r="P534" s="2">
        <f t="shared" si="185"/>
        <v>8.7269600700655322E+21</v>
      </c>
      <c r="Q534" s="2">
        <f t="shared" si="180"/>
        <v>3.5825207114309062E+20</v>
      </c>
    </row>
    <row r="535" spans="1:17" x14ac:dyDescent="0.2">
      <c r="A535">
        <f t="shared" si="193"/>
        <v>556</v>
      </c>
      <c r="B535">
        <f t="shared" si="186"/>
        <v>556000</v>
      </c>
      <c r="C535" s="1">
        <f t="shared" si="177"/>
        <v>17999388000</v>
      </c>
      <c r="D535">
        <f t="shared" si="181"/>
        <v>1751</v>
      </c>
      <c r="E535" s="2">
        <f t="shared" si="178"/>
        <v>540000</v>
      </c>
      <c r="F535" s="2">
        <f t="shared" si="182"/>
        <v>781991.43200000003</v>
      </c>
      <c r="G535" s="2">
        <f t="shared" si="183"/>
        <v>14558.514399999998</v>
      </c>
      <c r="H535" s="2">
        <f t="shared" si="184"/>
        <v>50954.800399999993</v>
      </c>
      <c r="I535" s="2">
        <f t="shared" si="187"/>
        <v>37.091696663774982</v>
      </c>
      <c r="J535" s="2">
        <f t="shared" si="188"/>
        <v>15.34676666106615</v>
      </c>
      <c r="K535">
        <f t="shared" si="189"/>
        <v>1.28445586315781E+16</v>
      </c>
      <c r="L535" s="13">
        <f t="shared" si="179"/>
        <v>889791876.34588575</v>
      </c>
      <c r="M535" s="2">
        <f t="shared" si="190"/>
        <v>4623981.3733253572</v>
      </c>
      <c r="N535" s="2">
        <f t="shared" si="191"/>
        <v>8.3820260134289889E+18</v>
      </c>
      <c r="O535" s="2">
        <f t="shared" si="192"/>
        <v>2.6506293609216592E+16</v>
      </c>
      <c r="P535" s="2">
        <f t="shared" si="185"/>
        <v>8.6876812874987371E+21</v>
      </c>
      <c r="Q535" s="2">
        <f t="shared" si="180"/>
        <v>3.6036570992008371E+20</v>
      </c>
    </row>
    <row r="536" spans="1:17" x14ac:dyDescent="0.2">
      <c r="A536">
        <f t="shared" si="193"/>
        <v>555</v>
      </c>
      <c r="B536">
        <f t="shared" si="186"/>
        <v>555000</v>
      </c>
      <c r="C536" s="1">
        <f t="shared" si="177"/>
        <v>17967015000</v>
      </c>
      <c r="D536">
        <f t="shared" si="181"/>
        <v>1750.5</v>
      </c>
      <c r="E536" s="2">
        <f t="shared" si="178"/>
        <v>540000</v>
      </c>
      <c r="F536" s="2">
        <f t="shared" si="182"/>
        <v>781538.21</v>
      </c>
      <c r="G536" s="2">
        <f t="shared" si="183"/>
        <v>14554.357199999999</v>
      </c>
      <c r="H536" s="2">
        <f t="shared" si="184"/>
        <v>50940.250199999995</v>
      </c>
      <c r="I536" s="2">
        <f t="shared" si="187"/>
        <v>37.102291264364467</v>
      </c>
      <c r="J536" s="2">
        <f t="shared" si="188"/>
        <v>15.342253069656106</v>
      </c>
      <c r="K536">
        <f t="shared" si="189"/>
        <v>1.2981365024918848E+16</v>
      </c>
      <c r="L536" s="13">
        <f t="shared" si="179"/>
        <v>895044535.877455</v>
      </c>
      <c r="M536" s="2">
        <f t="shared" si="190"/>
        <v>4603157.6409808556</v>
      </c>
      <c r="N536" s="2">
        <f t="shared" si="191"/>
        <v>8.4713023195035607E+18</v>
      </c>
      <c r="O536" s="2">
        <f t="shared" si="192"/>
        <v>2.6788610077498564E+16</v>
      </c>
      <c r="P536" s="2">
        <f t="shared" si="185"/>
        <v>8.6485570057988074E+21</v>
      </c>
      <c r="Q536" s="2">
        <f t="shared" si="180"/>
        <v>3.6249303703036926E+20</v>
      </c>
    </row>
    <row r="537" spans="1:17" x14ac:dyDescent="0.2">
      <c r="A537">
        <f t="shared" si="193"/>
        <v>554</v>
      </c>
      <c r="B537">
        <f t="shared" si="186"/>
        <v>554000</v>
      </c>
      <c r="C537" s="1">
        <f t="shared" si="177"/>
        <v>17934642000</v>
      </c>
      <c r="D537">
        <f t="shared" si="181"/>
        <v>1750</v>
      </c>
      <c r="E537" s="2">
        <f t="shared" si="178"/>
        <v>540000</v>
      </c>
      <c r="F537" s="2">
        <f t="shared" si="182"/>
        <v>781084.98800000001</v>
      </c>
      <c r="G537" s="2">
        <f t="shared" si="183"/>
        <v>14550.199999999999</v>
      </c>
      <c r="H537" s="2">
        <f t="shared" si="184"/>
        <v>50925.7</v>
      </c>
      <c r="I537" s="2">
        <f t="shared" si="187"/>
        <v>37.112891919011425</v>
      </c>
      <c r="J537" s="2">
        <f t="shared" si="188"/>
        <v>15.337736899050972</v>
      </c>
      <c r="K537">
        <f t="shared" si="189"/>
        <v>1.3119707959722864E+16</v>
      </c>
      <c r="L537" s="13">
        <f t="shared" si="179"/>
        <v>900331231.28334713</v>
      </c>
      <c r="M537" s="2">
        <f t="shared" si="190"/>
        <v>4582415.8676989935</v>
      </c>
      <c r="N537" s="2">
        <f t="shared" si="191"/>
        <v>8.5615813327076844E+18</v>
      </c>
      <c r="O537" s="2">
        <f t="shared" si="192"/>
        <v>2.7074097384136008E+16</v>
      </c>
      <c r="P537" s="2">
        <f t="shared" si="185"/>
        <v>8.6095867113573345E+21</v>
      </c>
      <c r="Q537" s="2">
        <f t="shared" si="180"/>
        <v>3.6463414866975556E+20</v>
      </c>
    </row>
    <row r="538" spans="1:17" x14ac:dyDescent="0.2">
      <c r="A538">
        <f t="shared" si="193"/>
        <v>553</v>
      </c>
      <c r="B538">
        <f t="shared" si="186"/>
        <v>553000</v>
      </c>
      <c r="C538" s="1">
        <f t="shared" si="177"/>
        <v>17902269000</v>
      </c>
      <c r="D538">
        <f t="shared" si="181"/>
        <v>1749.5</v>
      </c>
      <c r="E538" s="2">
        <f t="shared" si="178"/>
        <v>540000</v>
      </c>
      <c r="F538" s="2">
        <f t="shared" si="182"/>
        <v>780631.76599999995</v>
      </c>
      <c r="G538" s="2">
        <f t="shared" si="183"/>
        <v>14546.042799999999</v>
      </c>
      <c r="H538" s="2">
        <f t="shared" si="184"/>
        <v>50911.149799999992</v>
      </c>
      <c r="I538" s="2">
        <f t="shared" si="187"/>
        <v>37.123498632906539</v>
      </c>
      <c r="J538" s="2">
        <f t="shared" si="188"/>
        <v>15.333218147039375</v>
      </c>
      <c r="K538">
        <f t="shared" si="189"/>
        <v>1.3259605563804334E+16</v>
      </c>
      <c r="L538" s="13">
        <f t="shared" si="179"/>
        <v>905652201.87972713</v>
      </c>
      <c r="M538" s="2">
        <f t="shared" si="190"/>
        <v>4561755.7808384392</v>
      </c>
      <c r="N538" s="2">
        <f t="shared" si="191"/>
        <v>8.6528748827829975E+18</v>
      </c>
      <c r="O538" s="2">
        <f t="shared" si="192"/>
        <v>2.7362792938056632E+16</v>
      </c>
      <c r="P538" s="2">
        <f t="shared" si="185"/>
        <v>8.5707698919272297E+21</v>
      </c>
      <c r="Q538" s="2">
        <f t="shared" si="180"/>
        <v>3.6678914176128949E+20</v>
      </c>
    </row>
    <row r="539" spans="1:17" x14ac:dyDescent="0.2">
      <c r="A539">
        <f t="shared" si="193"/>
        <v>552</v>
      </c>
      <c r="B539">
        <f t="shared" si="186"/>
        <v>552000</v>
      </c>
      <c r="C539" s="1">
        <f t="shared" si="177"/>
        <v>17869896000</v>
      </c>
      <c r="D539">
        <f t="shared" si="181"/>
        <v>1749</v>
      </c>
      <c r="E539" s="2">
        <f t="shared" si="178"/>
        <v>540000</v>
      </c>
      <c r="F539" s="2">
        <f t="shared" si="182"/>
        <v>780178.54399999999</v>
      </c>
      <c r="G539" s="2">
        <f t="shared" si="183"/>
        <v>14541.885599999998</v>
      </c>
      <c r="H539" s="2">
        <f t="shared" si="184"/>
        <v>50896.599599999994</v>
      </c>
      <c r="I539" s="2">
        <f t="shared" si="187"/>
        <v>37.134111411246423</v>
      </c>
      <c r="J539" s="2">
        <f t="shared" si="188"/>
        <v>15.328696811407418</v>
      </c>
      <c r="K539">
        <f t="shared" si="189"/>
        <v>1.3401076188890332E+16</v>
      </c>
      <c r="L539" s="13">
        <f t="shared" si="179"/>
        <v>911007688.79289067</v>
      </c>
      <c r="M539" s="2">
        <f t="shared" si="190"/>
        <v>4541177.1084811175</v>
      </c>
      <c r="N539" s="2">
        <f t="shared" si="191"/>
        <v>8.7451949455908854E+18</v>
      </c>
      <c r="O539" s="2">
        <f t="shared" si="192"/>
        <v>2.765473461025936E+16</v>
      </c>
      <c r="P539" s="2">
        <f t="shared" si="185"/>
        <v>8.5321060366202826E+21</v>
      </c>
      <c r="Q539" s="2">
        <f t="shared" si="180"/>
        <v>3.6895811396112069E+20</v>
      </c>
    </row>
    <row r="540" spans="1:17" x14ac:dyDescent="0.2">
      <c r="A540">
        <f t="shared" si="193"/>
        <v>551</v>
      </c>
      <c r="B540">
        <f t="shared" si="186"/>
        <v>551000</v>
      </c>
      <c r="C540" s="1">
        <f t="shared" si="177"/>
        <v>17837523000</v>
      </c>
      <c r="D540">
        <f t="shared" si="181"/>
        <v>1748.5</v>
      </c>
      <c r="E540" s="2">
        <f t="shared" si="178"/>
        <v>540000</v>
      </c>
      <c r="F540" s="2">
        <f t="shared" si="182"/>
        <v>779725.32199999993</v>
      </c>
      <c r="G540" s="2">
        <f t="shared" si="183"/>
        <v>14537.728399999998</v>
      </c>
      <c r="H540" s="2">
        <f t="shared" si="184"/>
        <v>50882.049399999996</v>
      </c>
      <c r="I540" s="2">
        <f t="shared" si="187"/>
        <v>37.144730259233626</v>
      </c>
      <c r="J540" s="2">
        <f t="shared" si="188"/>
        <v>15.324172889938666</v>
      </c>
      <c r="K540">
        <f t="shared" si="189"/>
        <v>1.3544138413508344E+16</v>
      </c>
      <c r="L540" s="13">
        <f t="shared" si="179"/>
        <v>916397934.97390044</v>
      </c>
      <c r="M540" s="2">
        <f t="shared" si="190"/>
        <v>4520679.5794308092</v>
      </c>
      <c r="N540" s="2">
        <f t="shared" si="191"/>
        <v>8.8385536449968046E+18</v>
      </c>
      <c r="O540" s="2">
        <f t="shared" si="192"/>
        <v>2.7949960739773068E+16</v>
      </c>
      <c r="P540" s="2">
        <f t="shared" si="185"/>
        <v>8.4935946359045263E+21</v>
      </c>
      <c r="Q540" s="2">
        <f t="shared" si="180"/>
        <v>3.7114116366442968E+20</v>
      </c>
    </row>
    <row r="541" spans="1:17" x14ac:dyDescent="0.2">
      <c r="A541">
        <f t="shared" si="193"/>
        <v>550</v>
      </c>
      <c r="B541">
        <f t="shared" si="186"/>
        <v>550000</v>
      </c>
      <c r="C541" s="1">
        <f t="shared" si="177"/>
        <v>17805150000</v>
      </c>
      <c r="D541">
        <f t="shared" si="181"/>
        <v>1748</v>
      </c>
      <c r="E541" s="2">
        <f t="shared" si="178"/>
        <v>540000</v>
      </c>
      <c r="F541" s="2">
        <f t="shared" si="182"/>
        <v>779272.1</v>
      </c>
      <c r="G541" s="2">
        <f t="shared" si="183"/>
        <v>14533.571199999998</v>
      </c>
      <c r="H541" s="2">
        <f t="shared" si="184"/>
        <v>50867.499199999991</v>
      </c>
      <c r="I541" s="2">
        <f t="shared" si="187"/>
        <v>37.155355182076654</v>
      </c>
      <c r="J541" s="2">
        <f t="shared" si="188"/>
        <v>15.319646380414159</v>
      </c>
      <c r="K541">
        <f t="shared" si="189"/>
        <v>1.368881104591257E+16</v>
      </c>
      <c r="L541" s="13">
        <f t="shared" si="179"/>
        <v>921823185.21335196</v>
      </c>
      <c r="M541" s="2">
        <f t="shared" si="190"/>
        <v>4500262.9232119089</v>
      </c>
      <c r="N541" s="2">
        <f t="shared" si="191"/>
        <v>8.9329632547799071E+18</v>
      </c>
      <c r="O541" s="2">
        <f t="shared" si="192"/>
        <v>2.8248510139695388E+16</v>
      </c>
      <c r="P541" s="2">
        <f t="shared" si="185"/>
        <v>8.4552351816019073E+21</v>
      </c>
      <c r="Q541" s="2">
        <f t="shared" si="180"/>
        <v>3.7333839001140756E+20</v>
      </c>
    </row>
    <row r="542" spans="1:17" x14ac:dyDescent="0.2">
      <c r="A542">
        <f t="shared" si="193"/>
        <v>549</v>
      </c>
      <c r="B542">
        <f t="shared" si="186"/>
        <v>549000</v>
      </c>
      <c r="C542" s="1">
        <f t="shared" si="177"/>
        <v>17772777000</v>
      </c>
      <c r="D542">
        <f t="shared" si="181"/>
        <v>1747.5</v>
      </c>
      <c r="E542" s="2">
        <f t="shared" si="178"/>
        <v>540000</v>
      </c>
      <c r="F542" s="2">
        <f t="shared" si="182"/>
        <v>778818.87800000003</v>
      </c>
      <c r="G542" s="2">
        <f t="shared" si="183"/>
        <v>14529.413999999999</v>
      </c>
      <c r="H542" s="2">
        <f t="shared" si="184"/>
        <v>50852.948999999993</v>
      </c>
      <c r="I542" s="2">
        <f t="shared" si="187"/>
        <v>37.165986184989983</v>
      </c>
      <c r="J542" s="2">
        <f t="shared" si="188"/>
        <v>15.315117280612382</v>
      </c>
      <c r="K542">
        <f t="shared" si="189"/>
        <v>1.3835113127049556E+16</v>
      </c>
      <c r="L542" s="13">
        <f t="shared" si="179"/>
        <v>927283686.15623617</v>
      </c>
      <c r="M542" s="2">
        <f t="shared" si="190"/>
        <v>4479926.8700679196</v>
      </c>
      <c r="N542" s="2">
        <f t="shared" si="191"/>
        <v>9.0284362005683405E+18</v>
      </c>
      <c r="O542" s="2">
        <f t="shared" si="192"/>
        <v>2.8550422103312616E+16</v>
      </c>
      <c r="P542" s="2">
        <f t="shared" si="185"/>
        <v>8.4170271668854556E+21</v>
      </c>
      <c r="Q542" s="2">
        <f t="shared" si="180"/>
        <v>3.7554989289327565E+20</v>
      </c>
    </row>
    <row r="543" spans="1:17" x14ac:dyDescent="0.2">
      <c r="A543">
        <f t="shared" si="193"/>
        <v>548</v>
      </c>
      <c r="B543">
        <f t="shared" si="186"/>
        <v>548000</v>
      </c>
      <c r="C543" s="1">
        <f t="shared" si="177"/>
        <v>17740404000</v>
      </c>
      <c r="D543">
        <f t="shared" si="181"/>
        <v>1747</v>
      </c>
      <c r="E543" s="2">
        <f t="shared" si="178"/>
        <v>540000</v>
      </c>
      <c r="F543" s="2">
        <f t="shared" si="182"/>
        <v>778365.65599999996</v>
      </c>
      <c r="G543" s="2">
        <f t="shared" si="183"/>
        <v>14525.256799999999</v>
      </c>
      <c r="H543" s="2">
        <f t="shared" si="184"/>
        <v>50838.398799999995</v>
      </c>
      <c r="I543" s="2">
        <f t="shared" si="187"/>
        <v>37.176623273194046</v>
      </c>
      <c r="J543" s="2">
        <f t="shared" si="188"/>
        <v>15.310585588309285</v>
      </c>
      <c r="K543">
        <f t="shared" si="189"/>
        <v>1.3983063933563404E+16</v>
      </c>
      <c r="L543" s="13">
        <f t="shared" si="179"/>
        <v>932779686.31695378</v>
      </c>
      <c r="M543" s="2">
        <f t="shared" si="190"/>
        <v>4459671.1509602563</v>
      </c>
      <c r="N543" s="2">
        <f t="shared" si="191"/>
        <v>9.1249850618003681E+18</v>
      </c>
      <c r="O543" s="2">
        <f t="shared" si="192"/>
        <v>2.8855736410301352E+16</v>
      </c>
      <c r="P543" s="2">
        <f t="shared" si="185"/>
        <v>8.3789700862770351E+21</v>
      </c>
      <c r="Q543" s="2">
        <f t="shared" si="180"/>
        <v>3.777757729583663E+20</v>
      </c>
    </row>
    <row r="544" spans="1:17" x14ac:dyDescent="0.2">
      <c r="A544">
        <f t="shared" si="193"/>
        <v>547</v>
      </c>
      <c r="B544">
        <f t="shared" si="186"/>
        <v>547000</v>
      </c>
      <c r="C544" s="1">
        <f t="shared" ref="C544:C607" si="194">$B$3*$B$1*B544</f>
        <v>17708031000</v>
      </c>
      <c r="D544">
        <f t="shared" si="181"/>
        <v>1746.5</v>
      </c>
      <c r="E544" s="2">
        <f t="shared" ref="E544:E607" si="195">+$B$19+$B$16*0</f>
        <v>540000</v>
      </c>
      <c r="F544" s="2">
        <f t="shared" si="182"/>
        <v>777912.43400000001</v>
      </c>
      <c r="G544" s="2">
        <f t="shared" si="183"/>
        <v>14521.099599999998</v>
      </c>
      <c r="H544" s="2">
        <f t="shared" si="184"/>
        <v>50823.848599999998</v>
      </c>
      <c r="I544" s="2">
        <f t="shared" si="187"/>
        <v>37.187266451915256</v>
      </c>
      <c r="J544" s="2">
        <f t="shared" si="188"/>
        <v>15.306051301278275</v>
      </c>
      <c r="K544">
        <f t="shared" si="189"/>
        <v>1.4132682980841674E+16</v>
      </c>
      <c r="L544" s="13">
        <f t="shared" ref="L544:L607" si="196">EXP((300*1000)/($B$17*D544))</f>
        <v>938311436.09446704</v>
      </c>
      <c r="M544" s="2">
        <f t="shared" si="190"/>
        <v>4439495.4975668509</v>
      </c>
      <c r="N544" s="2">
        <f t="shared" si="191"/>
        <v>9.222622573712044E+18</v>
      </c>
      <c r="O544" s="2">
        <f t="shared" si="192"/>
        <v>2.9164493333014064E+16</v>
      </c>
      <c r="P544" s="2">
        <f t="shared" si="185"/>
        <v>8.3410634356447259E+21</v>
      </c>
      <c r="Q544" s="2">
        <f t="shared" ref="Q544:Q607" si="197">$B$12*L544</f>
        <v>3.8001613161825914E+20</v>
      </c>
    </row>
    <row r="545" spans="1:17" x14ac:dyDescent="0.2">
      <c r="A545">
        <f t="shared" si="193"/>
        <v>546</v>
      </c>
      <c r="B545">
        <f t="shared" si="186"/>
        <v>546000</v>
      </c>
      <c r="C545" s="1">
        <f t="shared" si="194"/>
        <v>17675658000</v>
      </c>
      <c r="D545">
        <f t="shared" si="181"/>
        <v>1746</v>
      </c>
      <c r="E545" s="2">
        <f t="shared" si="195"/>
        <v>540000</v>
      </c>
      <c r="F545" s="2">
        <f t="shared" si="182"/>
        <v>777459.21200000006</v>
      </c>
      <c r="G545" s="2">
        <f t="shared" si="183"/>
        <v>14516.942399999998</v>
      </c>
      <c r="H545" s="2">
        <f t="shared" si="184"/>
        <v>50809.298399999992</v>
      </c>
      <c r="I545" s="2">
        <f t="shared" si="187"/>
        <v>37.197915726386022</v>
      </c>
      <c r="J545" s="2">
        <f t="shared" si="188"/>
        <v>15.301514417290205</v>
      </c>
      <c r="K545">
        <f t="shared" si="189"/>
        <v>1.4283990026102414E+16</v>
      </c>
      <c r="L545" s="13">
        <f t="shared" si="196"/>
        <v>943879187.78753042</v>
      </c>
      <c r="M545" s="2">
        <f t="shared" si="190"/>
        <v>4419399.6422808012</v>
      </c>
      <c r="N545" s="2">
        <f t="shared" si="191"/>
        <v>9.3213616293517292E+18</v>
      </c>
      <c r="O545" s="2">
        <f t="shared" si="192"/>
        <v>2.9476733642849568E+16</v>
      </c>
      <c r="P545" s="2">
        <f t="shared" si="185"/>
        <v>8.3033067122002839E+21</v>
      </c>
      <c r="Q545" s="2">
        <f t="shared" si="197"/>
        <v>3.8227107105394983E+20</v>
      </c>
    </row>
    <row r="546" spans="1:17" x14ac:dyDescent="0.2">
      <c r="A546">
        <f t="shared" si="193"/>
        <v>545</v>
      </c>
      <c r="B546">
        <f t="shared" si="186"/>
        <v>545000</v>
      </c>
      <c r="C546" s="1">
        <f t="shared" si="194"/>
        <v>17643285000</v>
      </c>
      <c r="D546">
        <f t="shared" si="181"/>
        <v>1745.5</v>
      </c>
      <c r="E546" s="2">
        <f t="shared" si="195"/>
        <v>540000</v>
      </c>
      <c r="F546" s="2">
        <f t="shared" si="182"/>
        <v>777005.99</v>
      </c>
      <c r="G546" s="2">
        <f t="shared" si="183"/>
        <v>14512.785199999998</v>
      </c>
      <c r="H546" s="2">
        <f t="shared" si="184"/>
        <v>50794.748199999995</v>
      </c>
      <c r="I546" s="2">
        <f t="shared" si="187"/>
        <v>37.20857110184474</v>
      </c>
      <c r="J546" s="2">
        <f t="shared" si="188"/>
        <v>15.296974934113367</v>
      </c>
      <c r="K546">
        <f t="shared" si="189"/>
        <v>1.4437005071522316E+16</v>
      </c>
      <c r="L546" s="13">
        <f t="shared" si="196"/>
        <v>949483195.6101315</v>
      </c>
      <c r="M546" s="2">
        <f t="shared" si="190"/>
        <v>4399383.3182090018</v>
      </c>
      <c r="N546" s="2">
        <f t="shared" si="191"/>
        <v>9.4212152816214508E+18</v>
      </c>
      <c r="O546" s="2">
        <f t="shared" si="192"/>
        <v>2.9792498616708324E+16</v>
      </c>
      <c r="P546" s="2">
        <f t="shared" si="185"/>
        <v>8.2656994144965687E+21</v>
      </c>
      <c r="Q546" s="2">
        <f t="shared" si="197"/>
        <v>3.8454069422210325E+20</v>
      </c>
    </row>
    <row r="547" spans="1:17" x14ac:dyDescent="0.2">
      <c r="A547">
        <f t="shared" si="193"/>
        <v>544</v>
      </c>
      <c r="B547">
        <f t="shared" si="186"/>
        <v>544000</v>
      </c>
      <c r="C547" s="1">
        <f t="shared" si="194"/>
        <v>17610912000</v>
      </c>
      <c r="D547">
        <f t="shared" si="181"/>
        <v>1745</v>
      </c>
      <c r="E547" s="2">
        <f t="shared" si="195"/>
        <v>540000</v>
      </c>
      <c r="F547" s="2">
        <f t="shared" si="182"/>
        <v>776552.76799999992</v>
      </c>
      <c r="G547" s="2">
        <f t="shared" si="183"/>
        <v>14508.627999999999</v>
      </c>
      <c r="H547" s="2">
        <f t="shared" si="184"/>
        <v>50780.197999999997</v>
      </c>
      <c r="I547" s="2">
        <f t="shared" si="187"/>
        <v>37.219232583535813</v>
      </c>
      <c r="J547" s="2">
        <f t="shared" si="188"/>
        <v>15.292432849513505</v>
      </c>
      <c r="K547">
        <f t="shared" si="189"/>
        <v>1.4591748367407352E+16</v>
      </c>
      <c r="L547" s="13">
        <f t="shared" si="196"/>
        <v>955123715.70699751</v>
      </c>
      <c r="M547" s="2">
        <f t="shared" si="190"/>
        <v>4379446.2591708861</v>
      </c>
      <c r="N547" s="2">
        <f t="shared" si="191"/>
        <v>9.5221967453459661E+18</v>
      </c>
      <c r="O547" s="2">
        <f t="shared" si="192"/>
        <v>3.011183004353546E+16</v>
      </c>
      <c r="P547" s="2">
        <f t="shared" si="185"/>
        <v>8.2282410424251795E+21</v>
      </c>
      <c r="Q547" s="2">
        <f t="shared" si="197"/>
        <v>3.8682510486133401E+20</v>
      </c>
    </row>
    <row r="548" spans="1:17" x14ac:dyDescent="0.2">
      <c r="A548">
        <f t="shared" si="193"/>
        <v>543</v>
      </c>
      <c r="B548">
        <f t="shared" si="186"/>
        <v>543000</v>
      </c>
      <c r="C548" s="1">
        <f t="shared" si="194"/>
        <v>17578539000</v>
      </c>
      <c r="D548">
        <f t="shared" si="181"/>
        <v>1744.5</v>
      </c>
      <c r="E548" s="2">
        <f t="shared" si="195"/>
        <v>540000</v>
      </c>
      <c r="F548" s="2">
        <f t="shared" si="182"/>
        <v>776099.54599999997</v>
      </c>
      <c r="G548" s="2">
        <f t="shared" si="183"/>
        <v>14504.470799999999</v>
      </c>
      <c r="H548" s="2">
        <f t="shared" si="184"/>
        <v>50765.647799999992</v>
      </c>
      <c r="I548" s="2">
        <f t="shared" si="187"/>
        <v>37.229900176709656</v>
      </c>
      <c r="J548" s="2">
        <f t="shared" si="188"/>
        <v>15.287888161253802</v>
      </c>
      <c r="K548">
        <f t="shared" si="189"/>
        <v>1.4748240415406014E+16</v>
      </c>
      <c r="L548" s="13">
        <f t="shared" si="196"/>
        <v>960801006.16927338</v>
      </c>
      <c r="M548" s="2">
        <f t="shared" si="190"/>
        <v>4359588.1996970437</v>
      </c>
      <c r="N548" s="2">
        <f t="shared" si="191"/>
        <v>9.6243193993696481E+18</v>
      </c>
      <c r="O548" s="2">
        <f t="shared" si="192"/>
        <v>3.0434770230951656E+16</v>
      </c>
      <c r="P548" s="2">
        <f t="shared" si="185"/>
        <v>8.1909310972138587E+21</v>
      </c>
      <c r="Q548" s="2">
        <f t="shared" si="197"/>
        <v>3.8912440749855572E+20</v>
      </c>
    </row>
    <row r="549" spans="1:17" x14ac:dyDescent="0.2">
      <c r="A549">
        <f t="shared" si="193"/>
        <v>542</v>
      </c>
      <c r="B549">
        <f t="shared" si="186"/>
        <v>542000</v>
      </c>
      <c r="C549" s="1">
        <f t="shared" si="194"/>
        <v>17546166000</v>
      </c>
      <c r="D549">
        <f t="shared" si="181"/>
        <v>1744</v>
      </c>
      <c r="E549" s="2">
        <f t="shared" si="195"/>
        <v>540000</v>
      </c>
      <c r="F549" s="2">
        <f t="shared" si="182"/>
        <v>775646.32400000002</v>
      </c>
      <c r="G549" s="2">
        <f t="shared" si="183"/>
        <v>14500.313599999998</v>
      </c>
      <c r="H549" s="2">
        <f t="shared" si="184"/>
        <v>50751.097599999994</v>
      </c>
      <c r="I549" s="2">
        <f t="shared" si="187"/>
        <v>37.240573886622705</v>
      </c>
      <c r="J549" s="2">
        <f t="shared" si="188"/>
        <v>15.283340867094864</v>
      </c>
      <c r="K549">
        <f t="shared" si="189"/>
        <v>1.4906501971766E+16</v>
      </c>
      <c r="L549" s="13">
        <f t="shared" si="196"/>
        <v>966515327.05030739</v>
      </c>
      <c r="M549" s="2">
        <f t="shared" si="190"/>
        <v>4339808.8750278261</v>
      </c>
      <c r="N549" s="2">
        <f t="shared" si="191"/>
        <v>9.7275967886817157E+18</v>
      </c>
      <c r="O549" s="2">
        <f t="shared" si="192"/>
        <v>3.0761362011973716E+16</v>
      </c>
      <c r="P549" s="2">
        <f t="shared" si="185"/>
        <v>8.1537690814238708E+21</v>
      </c>
      <c r="Q549" s="2">
        <f t="shared" si="197"/>
        <v>3.9143870745537452E+20</v>
      </c>
    </row>
    <row r="550" spans="1:17" x14ac:dyDescent="0.2">
      <c r="A550">
        <f t="shared" si="193"/>
        <v>541</v>
      </c>
      <c r="B550">
        <f t="shared" si="186"/>
        <v>541000</v>
      </c>
      <c r="C550" s="1">
        <f t="shared" si="194"/>
        <v>17513793000</v>
      </c>
      <c r="D550">
        <f t="shared" si="181"/>
        <v>1743.5</v>
      </c>
      <c r="E550" s="2">
        <f t="shared" si="195"/>
        <v>540000</v>
      </c>
      <c r="F550" s="2">
        <f t="shared" si="182"/>
        <v>775193.10199999996</v>
      </c>
      <c r="G550" s="2">
        <f t="shared" si="183"/>
        <v>14496.156399999998</v>
      </c>
      <c r="H550" s="2">
        <f t="shared" si="184"/>
        <v>50736.547399999996</v>
      </c>
      <c r="I550" s="2">
        <f t="shared" si="187"/>
        <v>37.251253718537427</v>
      </c>
      <c r="J550" s="2">
        <f t="shared" si="188"/>
        <v>15.278790964794739</v>
      </c>
      <c r="K550">
        <f t="shared" si="189"/>
        <v>1.5066554050634644E+16</v>
      </c>
      <c r="L550" s="13">
        <f t="shared" si="196"/>
        <v>972266940.38160002</v>
      </c>
      <c r="M550" s="2">
        <f t="shared" si="190"/>
        <v>4320108.0211121123</v>
      </c>
      <c r="N550" s="2">
        <f t="shared" si="191"/>
        <v>9.8320426265699983E+18</v>
      </c>
      <c r="O550" s="2">
        <f t="shared" si="192"/>
        <v>3.1091648751825404E+16</v>
      </c>
      <c r="P550" s="2">
        <f t="shared" si="185"/>
        <v>8.1167544989476863E+21</v>
      </c>
      <c r="Q550" s="2">
        <f t="shared" si="197"/>
        <v>3.9376811085454803E+20</v>
      </c>
    </row>
    <row r="551" spans="1:17" x14ac:dyDescent="0.2">
      <c r="A551">
        <f t="shared" si="193"/>
        <v>540</v>
      </c>
      <c r="B551">
        <f t="shared" si="186"/>
        <v>540000</v>
      </c>
      <c r="C551" s="1">
        <f t="shared" si="194"/>
        <v>17481420000</v>
      </c>
      <c r="D551">
        <f t="shared" si="181"/>
        <v>1743</v>
      </c>
      <c r="E551" s="2">
        <f t="shared" si="195"/>
        <v>540000</v>
      </c>
      <c r="F551" s="2">
        <f t="shared" si="182"/>
        <v>774739.88</v>
      </c>
      <c r="G551" s="2">
        <f t="shared" si="183"/>
        <v>14491.999199999998</v>
      </c>
      <c r="H551" s="2">
        <f t="shared" si="184"/>
        <v>50721.997199999998</v>
      </c>
      <c r="I551" s="2">
        <f t="shared" si="187"/>
        <v>37.261939677722317</v>
      </c>
      <c r="J551" s="2">
        <f t="shared" si="188"/>
        <v>15.274238452108902</v>
      </c>
      <c r="K551">
        <f t="shared" si="189"/>
        <v>1.5228417927403986E+16</v>
      </c>
      <c r="L551" s="13">
        <f t="shared" si="196"/>
        <v>978056110.18887365</v>
      </c>
      <c r="M551" s="2">
        <f t="shared" si="190"/>
        <v>4300485.3746059285</v>
      </c>
      <c r="N551" s="2">
        <f t="shared" si="191"/>
        <v>9.9376707968038564E+18</v>
      </c>
      <c r="O551" s="2">
        <f t="shared" si="192"/>
        <v>3.1425674354840388E+16</v>
      </c>
      <c r="P551" s="2">
        <f t="shared" si="185"/>
        <v>8.0798868550063835E+21</v>
      </c>
      <c r="Q551" s="2">
        <f t="shared" si="197"/>
        <v>3.961127246264938E+20</v>
      </c>
    </row>
    <row r="552" spans="1:17" x14ac:dyDescent="0.2">
      <c r="A552">
        <f t="shared" si="193"/>
        <v>539</v>
      </c>
      <c r="B552">
        <f t="shared" si="186"/>
        <v>539000</v>
      </c>
      <c r="C552" s="1">
        <f t="shared" si="194"/>
        <v>17449047000</v>
      </c>
      <c r="D552">
        <f t="shared" si="181"/>
        <v>1742.5</v>
      </c>
      <c r="E552" s="2">
        <f t="shared" si="195"/>
        <v>540000</v>
      </c>
      <c r="F552" s="2">
        <f t="shared" si="182"/>
        <v>774286.65800000005</v>
      </c>
      <c r="G552" s="2">
        <f t="shared" si="183"/>
        <v>14487.841999999999</v>
      </c>
      <c r="H552" s="2">
        <f t="shared" si="184"/>
        <v>50707.446999999993</v>
      </c>
      <c r="I552" s="2">
        <f t="shared" si="187"/>
        <v>37.272631769451934</v>
      </c>
      <c r="J552" s="2">
        <f t="shared" si="188"/>
        <v>15.269683326790247</v>
      </c>
      <c r="K552">
        <f t="shared" si="189"/>
        <v>1.539211514210135E+16</v>
      </c>
      <c r="L552" s="13">
        <f t="shared" si="196"/>
        <v>983883102.50828731</v>
      </c>
      <c r="M552" s="2">
        <f t="shared" si="190"/>
        <v>4280940.6728710933</v>
      </c>
      <c r="N552" s="2">
        <f t="shared" si="191"/>
        <v>1.0044495355846769E+19</v>
      </c>
      <c r="O552" s="2">
        <f t="shared" si="192"/>
        <v>3.1763483271459132E+16</v>
      </c>
      <c r="P552" s="2">
        <f t="shared" si="185"/>
        <v>8.0431656561471075E+21</v>
      </c>
      <c r="Q552" s="2">
        <f t="shared" si="197"/>
        <v>3.9847265651585633E+20</v>
      </c>
    </row>
    <row r="553" spans="1:17" x14ac:dyDescent="0.2">
      <c r="A553">
        <f t="shared" si="193"/>
        <v>538</v>
      </c>
      <c r="B553">
        <f t="shared" si="186"/>
        <v>538000</v>
      </c>
      <c r="C553" s="1">
        <f t="shared" si="194"/>
        <v>17416674000</v>
      </c>
      <c r="D553">
        <f t="shared" si="181"/>
        <v>1742</v>
      </c>
      <c r="E553" s="2">
        <f t="shared" si="195"/>
        <v>540000</v>
      </c>
      <c r="F553" s="2">
        <f t="shared" si="182"/>
        <v>773833.43599999999</v>
      </c>
      <c r="G553" s="2">
        <f t="shared" si="183"/>
        <v>14483.684799999999</v>
      </c>
      <c r="H553" s="2">
        <f t="shared" si="184"/>
        <v>50692.896799999995</v>
      </c>
      <c r="I553" s="2">
        <f t="shared" si="187"/>
        <v>37.283329999006888</v>
      </c>
      <c r="J553" s="2">
        <f t="shared" si="188"/>
        <v>15.265125586589088</v>
      </c>
      <c r="K553">
        <f t="shared" si="189"/>
        <v>1.5557667502825216E+16</v>
      </c>
      <c r="L553" s="13">
        <f t="shared" si="196"/>
        <v>989748185.40278876</v>
      </c>
      <c r="M553" s="2">
        <f t="shared" si="190"/>
        <v>4261473.653973897</v>
      </c>
      <c r="N553" s="2">
        <f t="shared" si="191"/>
        <v>1.0152530535098509E+19</v>
      </c>
      <c r="O553" s="2">
        <f t="shared" si="192"/>
        <v>3.2105120505319192E+16</v>
      </c>
      <c r="P553" s="2">
        <f t="shared" si="185"/>
        <v>8.0065904102405843E+21</v>
      </c>
      <c r="Q553" s="2">
        <f t="shared" si="197"/>
        <v>4.0084801508812947E+20</v>
      </c>
    </row>
    <row r="554" spans="1:17" x14ac:dyDescent="0.2">
      <c r="A554">
        <f t="shared" si="193"/>
        <v>537</v>
      </c>
      <c r="B554">
        <f t="shared" si="186"/>
        <v>537000</v>
      </c>
      <c r="C554" s="1">
        <f t="shared" si="194"/>
        <v>17384301000</v>
      </c>
      <c r="D554">
        <f t="shared" si="181"/>
        <v>1741.5</v>
      </c>
      <c r="E554" s="2">
        <f t="shared" si="195"/>
        <v>540000</v>
      </c>
      <c r="F554" s="2">
        <f t="shared" si="182"/>
        <v>773380.21399999992</v>
      </c>
      <c r="G554" s="2">
        <f t="shared" si="183"/>
        <v>14479.527599999998</v>
      </c>
      <c r="H554" s="2">
        <f t="shared" si="184"/>
        <v>50678.346599999997</v>
      </c>
      <c r="I554" s="2">
        <f t="shared" si="187"/>
        <v>37.294034371673845</v>
      </c>
      <c r="J554" s="2">
        <f t="shared" si="188"/>
        <v>15.260565229253157</v>
      </c>
      <c r="K554">
        <f t="shared" si="189"/>
        <v>1.5725097089227636E+16</v>
      </c>
      <c r="L554" s="13">
        <f t="shared" si="196"/>
        <v>995651628.97861087</v>
      </c>
      <c r="M554" s="2">
        <f t="shared" si="190"/>
        <v>4242084.056683789</v>
      </c>
      <c r="N554" s="2">
        <f t="shared" si="191"/>
        <v>1.0261790743167668E+19</v>
      </c>
      <c r="O554" s="2">
        <f t="shared" si="192"/>
        <v>3.2450631620441644E+16</v>
      </c>
      <c r="P554" s="2">
        <f t="shared" si="185"/>
        <v>7.9701606264786597E+21</v>
      </c>
      <c r="Q554" s="2">
        <f t="shared" si="197"/>
        <v>4.0323890973633741E+20</v>
      </c>
    </row>
    <row r="555" spans="1:17" x14ac:dyDescent="0.2">
      <c r="A555">
        <f t="shared" si="193"/>
        <v>536</v>
      </c>
      <c r="B555">
        <f t="shared" si="186"/>
        <v>536000</v>
      </c>
      <c r="C555" s="1">
        <f t="shared" si="194"/>
        <v>17351928000</v>
      </c>
      <c r="D555">
        <f t="shared" si="181"/>
        <v>1741</v>
      </c>
      <c r="E555" s="2">
        <f t="shared" si="195"/>
        <v>540000</v>
      </c>
      <c r="F555" s="2">
        <f t="shared" si="182"/>
        <v>772926.99199999997</v>
      </c>
      <c r="G555" s="2">
        <f t="shared" si="183"/>
        <v>14475.370399999998</v>
      </c>
      <c r="H555" s="2">
        <f t="shared" si="184"/>
        <v>50663.796399999992</v>
      </c>
      <c r="I555" s="2">
        <f t="shared" si="187"/>
        <v>37.304744892745546</v>
      </c>
      <c r="J555" s="2">
        <f t="shared" si="188"/>
        <v>15.256002252527608</v>
      </c>
      <c r="K555">
        <f t="shared" si="189"/>
        <v>1.5894426256044094E+16</v>
      </c>
      <c r="L555" s="13">
        <f t="shared" si="196"/>
        <v>1001593705.4018965</v>
      </c>
      <c r="M555" s="2">
        <f t="shared" si="190"/>
        <v>4222771.6204720773</v>
      </c>
      <c r="N555" s="2">
        <f t="shared" si="191"/>
        <v>1.0372290568175157E+19</v>
      </c>
      <c r="O555" s="2">
        <f t="shared" si="192"/>
        <v>3.280006274851534E+16</v>
      </c>
      <c r="P555" s="2">
        <f t="shared" si="185"/>
        <v>7.9338758153718538E+21</v>
      </c>
      <c r="Q555" s="2">
        <f t="shared" si="197"/>
        <v>4.056454506877681E+20</v>
      </c>
    </row>
    <row r="556" spans="1:17" x14ac:dyDescent="0.2">
      <c r="A556">
        <f t="shared" si="193"/>
        <v>535</v>
      </c>
      <c r="B556">
        <f t="shared" si="186"/>
        <v>535000</v>
      </c>
      <c r="C556" s="1">
        <f t="shared" si="194"/>
        <v>17319555000</v>
      </c>
      <c r="D556">
        <f t="shared" si="181"/>
        <v>1740.5</v>
      </c>
      <c r="E556" s="2">
        <f t="shared" si="195"/>
        <v>540000</v>
      </c>
      <c r="F556" s="2">
        <f t="shared" si="182"/>
        <v>772473.77</v>
      </c>
      <c r="G556" s="2">
        <f t="shared" si="183"/>
        <v>14471.213199999998</v>
      </c>
      <c r="H556" s="2">
        <f t="shared" si="184"/>
        <v>50649.246199999994</v>
      </c>
      <c r="I556" s="2">
        <f t="shared" si="187"/>
        <v>37.315461567520828</v>
      </c>
      <c r="J556" s="2">
        <f t="shared" si="188"/>
        <v>15.251436654154986</v>
      </c>
      <c r="K556">
        <f t="shared" si="189"/>
        <v>1.6065677636671152E+16</v>
      </c>
      <c r="L556" s="13">
        <f t="shared" si="196"/>
        <v>1007574688.9154991</v>
      </c>
      <c r="M556" s="2">
        <f t="shared" si="190"/>
        <v>4203536.0855104709</v>
      </c>
      <c r="N556" s="2">
        <f t="shared" si="191"/>
        <v>1.0484044780088881E+19</v>
      </c>
      <c r="O556" s="2">
        <f t="shared" si="192"/>
        <v>3.3153460596279828E+16</v>
      </c>
      <c r="P556" s="2">
        <f t="shared" si="185"/>
        <v>7.8977354887466205E+21</v>
      </c>
      <c r="Q556" s="2">
        <f t="shared" si="197"/>
        <v>4.0806774901077711E+20</v>
      </c>
    </row>
    <row r="557" spans="1:17" x14ac:dyDescent="0.2">
      <c r="A557">
        <f t="shared" si="193"/>
        <v>534</v>
      </c>
      <c r="B557">
        <f t="shared" si="186"/>
        <v>534000</v>
      </c>
      <c r="C557" s="1">
        <f t="shared" si="194"/>
        <v>17287182000</v>
      </c>
      <c r="D557">
        <f t="shared" si="181"/>
        <v>1740</v>
      </c>
      <c r="E557" s="2">
        <f t="shared" si="195"/>
        <v>540000</v>
      </c>
      <c r="F557" s="2">
        <f t="shared" si="182"/>
        <v>772020.54799999995</v>
      </c>
      <c r="G557" s="2">
        <f t="shared" si="183"/>
        <v>14467.055999999999</v>
      </c>
      <c r="H557" s="2">
        <f t="shared" si="184"/>
        <v>50634.695999999996</v>
      </c>
      <c r="I557" s="2">
        <f t="shared" si="187"/>
        <v>37.326184401304594</v>
      </c>
      <c r="J557" s="2">
        <f t="shared" si="188"/>
        <v>15.246868431875249</v>
      </c>
      <c r="K557">
        <f t="shared" si="189"/>
        <v>1.6238874146791746E+16</v>
      </c>
      <c r="L557" s="13">
        <f t="shared" si="196"/>
        <v>1013594855.8558969</v>
      </c>
      <c r="M557" s="2">
        <f t="shared" si="190"/>
        <v>4184377.1926698778</v>
      </c>
      <c r="N557" s="2">
        <f t="shared" si="191"/>
        <v>1.0597068333089518E+19</v>
      </c>
      <c r="O557" s="2">
        <f t="shared" si="192"/>
        <v>3.3510872453006592E+16</v>
      </c>
      <c r="P557" s="2">
        <f t="shared" si="185"/>
        <v>7.8617391597430904E+21</v>
      </c>
      <c r="Q557" s="2">
        <f t="shared" si="197"/>
        <v>4.1050591662163827E+20</v>
      </c>
    </row>
    <row r="558" spans="1:17" x14ac:dyDescent="0.2">
      <c r="A558">
        <f t="shared" si="193"/>
        <v>533</v>
      </c>
      <c r="B558">
        <f t="shared" si="186"/>
        <v>533000</v>
      </c>
      <c r="C558" s="1">
        <f t="shared" si="194"/>
        <v>17254809000</v>
      </c>
      <c r="D558">
        <f t="shared" si="181"/>
        <v>1739.5</v>
      </c>
      <c r="E558" s="2">
        <f t="shared" si="195"/>
        <v>540000</v>
      </c>
      <c r="F558" s="2">
        <f t="shared" si="182"/>
        <v>771567.326</v>
      </c>
      <c r="G558" s="2">
        <f t="shared" si="183"/>
        <v>14462.898799999999</v>
      </c>
      <c r="H558" s="2">
        <f t="shared" si="184"/>
        <v>50620.145799999991</v>
      </c>
      <c r="I558" s="2">
        <f t="shared" si="187"/>
        <v>37.336913399407869</v>
      </c>
      <c r="J558" s="2">
        <f t="shared" si="188"/>
        <v>15.242297583425771</v>
      </c>
      <c r="K558">
        <f t="shared" si="189"/>
        <v>1.6414038988050854E+16</v>
      </c>
      <c r="L558" s="13">
        <f t="shared" si="196"/>
        <v>1019654484.670257</v>
      </c>
      <c r="M558" s="2">
        <f t="shared" si="190"/>
        <v>4165294.6835190891</v>
      </c>
      <c r="N558" s="2">
        <f t="shared" si="191"/>
        <v>1.0711376367969155E+19</v>
      </c>
      <c r="O558" s="2">
        <f t="shared" si="192"/>
        <v>3.3872346198084224E+16</v>
      </c>
      <c r="P558" s="2">
        <f t="shared" si="185"/>
        <v>7.8258863428125998E+21</v>
      </c>
      <c r="Q558" s="2">
        <f t="shared" si="197"/>
        <v>4.1296006629145405E+20</v>
      </c>
    </row>
    <row r="559" spans="1:17" x14ac:dyDescent="0.2">
      <c r="A559">
        <f t="shared" si="193"/>
        <v>532</v>
      </c>
      <c r="B559">
        <f t="shared" si="186"/>
        <v>532000</v>
      </c>
      <c r="C559" s="1">
        <f t="shared" si="194"/>
        <v>17222436000</v>
      </c>
      <c r="D559">
        <f t="shared" si="181"/>
        <v>1739</v>
      </c>
      <c r="E559" s="2">
        <f t="shared" si="195"/>
        <v>540000</v>
      </c>
      <c r="F559" s="2">
        <f t="shared" si="182"/>
        <v>771114.10400000005</v>
      </c>
      <c r="G559" s="2">
        <f t="shared" si="183"/>
        <v>14458.741599999999</v>
      </c>
      <c r="H559" s="2">
        <f t="shared" si="184"/>
        <v>50605.595599999993</v>
      </c>
      <c r="I559" s="2">
        <f t="shared" si="187"/>
        <v>37.347648567147779</v>
      </c>
      <c r="J559" s="2">
        <f t="shared" si="188"/>
        <v>15.237724106541297</v>
      </c>
      <c r="K559">
        <f t="shared" si="189"/>
        <v>1.6591195651779966E+16</v>
      </c>
      <c r="L559" s="13">
        <f t="shared" si="196"/>
        <v>1025753855.9336789</v>
      </c>
      <c r="M559" s="2">
        <f t="shared" si="190"/>
        <v>4146288.3003233029</v>
      </c>
      <c r="N559" s="2">
        <f t="shared" si="191"/>
        <v>1.08269842145618E+19</v>
      </c>
      <c r="O559" s="2">
        <f t="shared" si="192"/>
        <v>3.4237930308704312E+16</v>
      </c>
      <c r="P559" s="2">
        <f t="shared" si="185"/>
        <v>7.790176553714917E+21</v>
      </c>
      <c r="Q559" s="2">
        <f t="shared" si="197"/>
        <v>4.1543031165313994E+20</v>
      </c>
    </row>
    <row r="560" spans="1:17" x14ac:dyDescent="0.2">
      <c r="A560">
        <f t="shared" si="193"/>
        <v>531</v>
      </c>
      <c r="B560">
        <f t="shared" si="186"/>
        <v>531000</v>
      </c>
      <c r="C560" s="1">
        <f t="shared" si="194"/>
        <v>17190063000</v>
      </c>
      <c r="D560">
        <f t="shared" si="181"/>
        <v>1738.5</v>
      </c>
      <c r="E560" s="2">
        <f t="shared" si="195"/>
        <v>540000</v>
      </c>
      <c r="F560" s="2">
        <f t="shared" si="182"/>
        <v>770660.88199999998</v>
      </c>
      <c r="G560" s="2">
        <f t="shared" si="183"/>
        <v>14454.584399999998</v>
      </c>
      <c r="H560" s="2">
        <f t="shared" si="184"/>
        <v>50591.045399999995</v>
      </c>
      <c r="I560" s="2">
        <f t="shared" si="187"/>
        <v>37.358389909847567</v>
      </c>
      <c r="J560" s="2">
        <f t="shared" si="188"/>
        <v>15.233147998953982</v>
      </c>
      <c r="K560">
        <f t="shared" si="189"/>
        <v>1.6770367922772518E+16</v>
      </c>
      <c r="L560" s="13">
        <f t="shared" si="196"/>
        <v>1031893252.3665491</v>
      </c>
      <c r="M560" s="2">
        <f t="shared" si="190"/>
        <v>4127357.7860429483</v>
      </c>
      <c r="N560" s="2">
        <f t="shared" si="191"/>
        <v>1.0943907394207111E+19</v>
      </c>
      <c r="O560" s="2">
        <f t="shared" si="192"/>
        <v>3.4607673867652528E+16</v>
      </c>
      <c r="P560" s="2">
        <f t="shared" si="185"/>
        <v>7.7546093095160308E+21</v>
      </c>
      <c r="Q560" s="2">
        <f t="shared" si="197"/>
        <v>4.1791676720845239E+20</v>
      </c>
    </row>
    <row r="561" spans="1:17" x14ac:dyDescent="0.2">
      <c r="A561">
        <f t="shared" si="193"/>
        <v>530</v>
      </c>
      <c r="B561">
        <f t="shared" si="186"/>
        <v>530000</v>
      </c>
      <c r="C561" s="1">
        <f t="shared" si="194"/>
        <v>17157690000</v>
      </c>
      <c r="D561">
        <f t="shared" si="181"/>
        <v>1738</v>
      </c>
      <c r="E561" s="2">
        <f t="shared" si="195"/>
        <v>540000</v>
      </c>
      <c r="F561" s="2">
        <f t="shared" si="182"/>
        <v>770207.66</v>
      </c>
      <c r="G561" s="2">
        <f t="shared" si="183"/>
        <v>14450.427199999998</v>
      </c>
      <c r="H561" s="2">
        <f t="shared" si="184"/>
        <v>50576.495199999998</v>
      </c>
      <c r="I561" s="2">
        <f t="shared" si="187"/>
        <v>37.369137432836595</v>
      </c>
      <c r="J561" s="2">
        <f t="shared" si="188"/>
        <v>15.228569258393374</v>
      </c>
      <c r="K561">
        <f t="shared" si="189"/>
        <v>1.6951579883110338E+16</v>
      </c>
      <c r="L561" s="13">
        <f t="shared" si="196"/>
        <v>1038072958.8520453</v>
      </c>
      <c r="M561" s="2">
        <f t="shared" si="190"/>
        <v>4108502.8843323314</v>
      </c>
      <c r="N561" s="2">
        <f t="shared" si="191"/>
        <v>1.1062161622247444E+19</v>
      </c>
      <c r="O561" s="2">
        <f t="shared" si="192"/>
        <v>3.4981626571204932E+16</v>
      </c>
      <c r="P561" s="2">
        <f t="shared" si="185"/>
        <v>7.7191841285856087E+21</v>
      </c>
      <c r="Q561" s="2">
        <f t="shared" si="197"/>
        <v>4.2041954833507838E+20</v>
      </c>
    </row>
    <row r="562" spans="1:17" x14ac:dyDescent="0.2">
      <c r="A562">
        <f t="shared" si="193"/>
        <v>529</v>
      </c>
      <c r="B562">
        <f t="shared" si="186"/>
        <v>529000</v>
      </c>
      <c r="C562" s="1">
        <f t="shared" si="194"/>
        <v>17125317000</v>
      </c>
      <c r="D562">
        <f t="shared" si="181"/>
        <v>1737.5</v>
      </c>
      <c r="E562" s="2">
        <f t="shared" si="195"/>
        <v>540000</v>
      </c>
      <c r="F562" s="2">
        <f t="shared" si="182"/>
        <v>769754.43799999997</v>
      </c>
      <c r="G562" s="2">
        <f t="shared" si="183"/>
        <v>14446.269999999999</v>
      </c>
      <c r="H562" s="2">
        <f t="shared" si="184"/>
        <v>50561.944999999992</v>
      </c>
      <c r="I562" s="2">
        <f t="shared" si="187"/>
        <v>37.379891141450358</v>
      </c>
      <c r="J562" s="2">
        <f t="shared" si="188"/>
        <v>15.223987882586401</v>
      </c>
      <c r="K562">
        <f t="shared" si="189"/>
        <v>1.7134855916042262E+16</v>
      </c>
      <c r="L562" s="13">
        <f t="shared" si="196"/>
        <v>1044293262.4538467</v>
      </c>
      <c r="M562" s="2">
        <f t="shared" si="190"/>
        <v>4089723.3395382492</v>
      </c>
      <c r="N562" s="2">
        <f t="shared" si="191"/>
        <v>1.1181762810558941E+19</v>
      </c>
      <c r="O562" s="2">
        <f t="shared" si="192"/>
        <v>3.5359838737131972E+16</v>
      </c>
      <c r="P562" s="2">
        <f t="shared" si="185"/>
        <v>7.6839005305943905E+21</v>
      </c>
      <c r="Q562" s="2">
        <f t="shared" si="197"/>
        <v>4.229387712938079E+20</v>
      </c>
    </row>
    <row r="563" spans="1:17" x14ac:dyDescent="0.2">
      <c r="A563">
        <f t="shared" si="193"/>
        <v>528</v>
      </c>
      <c r="B563">
        <f t="shared" si="186"/>
        <v>528000</v>
      </c>
      <c r="C563" s="1">
        <f t="shared" si="194"/>
        <v>17092944000</v>
      </c>
      <c r="D563">
        <f t="shared" ref="D563:D626" si="198">IF(A563&gt;$B$4,$B$2+(A563-$B$4)*$B$5,$B$6+(($B$2-$B$6)/$B$4)*(A563))</f>
        <v>1737</v>
      </c>
      <c r="E563" s="2">
        <f t="shared" si="195"/>
        <v>540000</v>
      </c>
      <c r="F563" s="2">
        <f t="shared" ref="F563:F626" si="199">+$F$20+$H$15*C563*(0.000001)</f>
        <v>769301.21600000001</v>
      </c>
      <c r="G563" s="2">
        <f t="shared" ref="G563:G626" si="200">+$B$17*D563</f>
        <v>14442.112799999999</v>
      </c>
      <c r="H563" s="2">
        <f t="shared" ref="H563:H626" si="201">+$B$23*$B$17*D563</f>
        <v>50547.394799999995</v>
      </c>
      <c r="I563" s="2">
        <f t="shared" si="187"/>
        <v>37.390651041030509</v>
      </c>
      <c r="J563" s="2">
        <f t="shared" si="188"/>
        <v>15.219403869257375</v>
      </c>
      <c r="K563">
        <f t="shared" si="189"/>
        <v>1.7320220709915706E+16</v>
      </c>
      <c r="L563" s="13">
        <f t="shared" si="196"/>
        <v>1050554452.4339331</v>
      </c>
      <c r="M563" s="2">
        <f t="shared" si="190"/>
        <v>4071018.8966987249</v>
      </c>
      <c r="N563" s="2">
        <f t="shared" si="191"/>
        <v>1.1302727070117171E+19</v>
      </c>
      <c r="O563" s="2">
        <f t="shared" si="192"/>
        <v>3.5742361312811768E+16</v>
      </c>
      <c r="P563" s="2">
        <f t="shared" ref="P563:P626" si="202">(1000000)*($F$18^(-1/$B$23))*($F$19^((1/$B$23)-1))*M563</f>
        <v>7.6487580365118148E+21</v>
      </c>
      <c r="Q563" s="2">
        <f t="shared" si="197"/>
        <v>4.2547455323574292E+20</v>
      </c>
    </row>
    <row r="564" spans="1:17" x14ac:dyDescent="0.2">
      <c r="A564">
        <f t="shared" si="193"/>
        <v>527</v>
      </c>
      <c r="B564">
        <f t="shared" ref="B564:B567" si="203">A564*1000</f>
        <v>527000</v>
      </c>
      <c r="C564" s="1">
        <f t="shared" si="194"/>
        <v>17060571000</v>
      </c>
      <c r="D564">
        <f t="shared" si="198"/>
        <v>1736.5</v>
      </c>
      <c r="E564" s="2">
        <f t="shared" si="195"/>
        <v>540000</v>
      </c>
      <c r="F564" s="2">
        <f t="shared" si="199"/>
        <v>768847.99399999995</v>
      </c>
      <c r="G564" s="2">
        <f t="shared" si="200"/>
        <v>14437.955599999999</v>
      </c>
      <c r="H564" s="2">
        <f t="shared" si="201"/>
        <v>50532.844599999997</v>
      </c>
      <c r="I564" s="2">
        <f t="shared" ref="I564:I627" si="204">+E564/G564</f>
        <v>37.401417136924842</v>
      </c>
      <c r="J564" s="2">
        <f t="shared" ref="J564:J627" si="205">+F564/H564</f>
        <v>15.214817216127983</v>
      </c>
      <c r="K564">
        <f t="shared" ref="K564:K627" si="206">+EXP(I564)</f>
        <v>1.7507699262160806E+16</v>
      </c>
      <c r="L564" s="13">
        <f t="shared" si="196"/>
        <v>1056856820.2705717</v>
      </c>
      <c r="M564" s="2">
        <f t="shared" ref="M564:M627" si="207">+EXP(J564)</f>
        <v>4052389.3015416525</v>
      </c>
      <c r="N564" s="2">
        <f t="shared" ref="N564:N627" si="208">+$B$13*(($B$15/$B$21)^($B$23-1))*K564</f>
        <v>1.1425070713597069E+19</v>
      </c>
      <c r="O564" s="2">
        <f t="shared" ref="O564:O627" si="209">+$B$13*(($B$15/$B$22)^($B$23-1))*K564</f>
        <v>3.6129245883451856E+16</v>
      </c>
      <c r="P564" s="2">
        <f t="shared" si="202"/>
        <v>7.6137561686034717E+21</v>
      </c>
      <c r="Q564" s="2">
        <f t="shared" si="197"/>
        <v>4.2802701220958156E+20</v>
      </c>
    </row>
    <row r="565" spans="1:17" x14ac:dyDescent="0.2">
      <c r="A565">
        <f t="shared" si="193"/>
        <v>526</v>
      </c>
      <c r="B565">
        <f t="shared" si="203"/>
        <v>526000</v>
      </c>
      <c r="C565" s="1">
        <f t="shared" si="194"/>
        <v>17028198000</v>
      </c>
      <c r="D565">
        <f t="shared" si="198"/>
        <v>1736</v>
      </c>
      <c r="E565" s="2">
        <f t="shared" si="195"/>
        <v>540000</v>
      </c>
      <c r="F565" s="2">
        <f t="shared" si="199"/>
        <v>768394.772</v>
      </c>
      <c r="G565" s="2">
        <f t="shared" si="200"/>
        <v>14433.798399999998</v>
      </c>
      <c r="H565" s="2">
        <f t="shared" si="201"/>
        <v>50518.294399999992</v>
      </c>
      <c r="I565" s="2">
        <f t="shared" si="204"/>
        <v>37.412189434487324</v>
      </c>
      <c r="J565" s="2">
        <f t="shared" si="205"/>
        <v>15.210227920917301</v>
      </c>
      <c r="K565">
        <f t="shared" si="206"/>
        <v>1.7697316883329726E+16</v>
      </c>
      <c r="L565" s="13">
        <f t="shared" si="196"/>
        <v>1063200659.6764474</v>
      </c>
      <c r="M565" s="2">
        <f t="shared" si="207"/>
        <v>4033834.3004835504</v>
      </c>
      <c r="N565" s="2">
        <f t="shared" si="208"/>
        <v>1.1548810258008891E+19</v>
      </c>
      <c r="O565" s="2">
        <f t="shared" si="209"/>
        <v>3.6520544680424768E+16</v>
      </c>
      <c r="P565" s="2">
        <f t="shared" si="202"/>
        <v>7.5788944504287585E+21</v>
      </c>
      <c r="Q565" s="2">
        <f t="shared" si="197"/>
        <v>4.305962671689612E+20</v>
      </c>
    </row>
    <row r="566" spans="1:17" x14ac:dyDescent="0.2">
      <c r="A566">
        <f t="shared" si="193"/>
        <v>525</v>
      </c>
      <c r="B566">
        <f t="shared" si="203"/>
        <v>525000</v>
      </c>
      <c r="C566" s="1">
        <f t="shared" si="194"/>
        <v>16995825000</v>
      </c>
      <c r="D566">
        <f t="shared" si="198"/>
        <v>1735.5</v>
      </c>
      <c r="E566" s="2">
        <f t="shared" si="195"/>
        <v>540000</v>
      </c>
      <c r="F566" s="2">
        <f t="shared" si="199"/>
        <v>767941.55</v>
      </c>
      <c r="G566" s="2">
        <f t="shared" si="200"/>
        <v>14429.641199999998</v>
      </c>
      <c r="H566" s="2">
        <f t="shared" si="201"/>
        <v>50503.744199999994</v>
      </c>
      <c r="I566" s="2">
        <f t="shared" si="204"/>
        <v>37.422967939078077</v>
      </c>
      <c r="J566" s="2">
        <f t="shared" si="205"/>
        <v>15.205635981341759</v>
      </c>
      <c r="K566">
        <f t="shared" si="206"/>
        <v>1.7889099201189924E+16</v>
      </c>
      <c r="L566" s="13">
        <f t="shared" si="196"/>
        <v>1069586266.6169676</v>
      </c>
      <c r="M566" s="2">
        <f t="shared" si="207"/>
        <v>4015353.6406281143</v>
      </c>
      <c r="N566" s="2">
        <f t="shared" si="208"/>
        <v>1.1673962427369372E+19</v>
      </c>
      <c r="O566" s="2">
        <f t="shared" si="209"/>
        <v>3.6916310589715024E+16</v>
      </c>
      <c r="P566" s="2">
        <f t="shared" si="202"/>
        <v>7.5441724068381631E+21</v>
      </c>
      <c r="Q566" s="2">
        <f t="shared" si="197"/>
        <v>4.3318243797987184E+20</v>
      </c>
    </row>
    <row r="567" spans="1:17" x14ac:dyDescent="0.2">
      <c r="A567">
        <f t="shared" si="193"/>
        <v>524</v>
      </c>
      <c r="B567">
        <f t="shared" si="203"/>
        <v>524000</v>
      </c>
      <c r="C567" s="1">
        <f t="shared" si="194"/>
        <v>16963452000</v>
      </c>
      <c r="D567">
        <f t="shared" si="198"/>
        <v>1735</v>
      </c>
      <c r="E567" s="2">
        <f t="shared" si="195"/>
        <v>540000</v>
      </c>
      <c r="F567" s="2">
        <f t="shared" si="199"/>
        <v>767488.32799999998</v>
      </c>
      <c r="G567" s="2">
        <f t="shared" si="200"/>
        <v>14425.483999999999</v>
      </c>
      <c r="H567" s="2">
        <f t="shared" si="201"/>
        <v>50489.193999999996</v>
      </c>
      <c r="I567" s="2">
        <f t="shared" si="204"/>
        <v>37.433752656063398</v>
      </c>
      <c r="J567" s="2">
        <f t="shared" si="205"/>
        <v>15.201041395115162</v>
      </c>
      <c r="K567">
        <f t="shared" si="206"/>
        <v>1.8083072164873888E+16</v>
      </c>
      <c r="L567" s="13">
        <f t="shared" si="196"/>
        <v>1076013939.3287137</v>
      </c>
      <c r="M567" s="2">
        <f t="shared" si="207"/>
        <v>3996947.0697650076</v>
      </c>
      <c r="N567" s="2">
        <f t="shared" si="208"/>
        <v>1.1800544155409734E+19</v>
      </c>
      <c r="O567" s="2">
        <f t="shared" si="209"/>
        <v>3.7316597160482568E+16</v>
      </c>
      <c r="P567" s="2">
        <f t="shared" si="202"/>
        <v>7.5095895639709933E+21</v>
      </c>
      <c r="Q567" s="2">
        <f t="shared" si="197"/>
        <v>4.3578564542812901E+20</v>
      </c>
    </row>
    <row r="568" spans="1:17" x14ac:dyDescent="0.2">
      <c r="A568">
        <f t="shared" si="193"/>
        <v>523</v>
      </c>
      <c r="B568">
        <f t="shared" ref="B568:B631" si="210">A568*1000</f>
        <v>523000</v>
      </c>
      <c r="C568" s="1">
        <f t="shared" si="194"/>
        <v>16931079000</v>
      </c>
      <c r="D568">
        <f t="shared" si="198"/>
        <v>1734.5</v>
      </c>
      <c r="E568" s="2">
        <f t="shared" si="195"/>
        <v>540000</v>
      </c>
      <c r="F568" s="2">
        <f t="shared" si="199"/>
        <v>767035.10600000003</v>
      </c>
      <c r="G568" s="2">
        <f t="shared" si="200"/>
        <v>14421.326799999999</v>
      </c>
      <c r="H568" s="2">
        <f t="shared" si="201"/>
        <v>50474.643799999998</v>
      </c>
      <c r="I568" s="2">
        <f t="shared" si="204"/>
        <v>37.44454359081579</v>
      </c>
      <c r="J568" s="2">
        <f t="shared" si="205"/>
        <v>15.196444159948685</v>
      </c>
      <c r="K568">
        <f t="shared" si="206"/>
        <v>1.8279262049085656E+16</v>
      </c>
      <c r="L568" s="13">
        <f t="shared" si="196"/>
        <v>1082483978.3380468</v>
      </c>
      <c r="M568" s="2">
        <f t="shared" si="207"/>
        <v>3978614.336368531</v>
      </c>
      <c r="N568" s="2">
        <f t="shared" si="208"/>
        <v>1.1928572588320754E+19</v>
      </c>
      <c r="O568" s="2">
        <f t="shared" si="209"/>
        <v>3.7721458613743448E+16</v>
      </c>
      <c r="P568" s="2">
        <f t="shared" si="202"/>
        <v>7.4751454492528728E+21</v>
      </c>
      <c r="Q568" s="2">
        <f t="shared" si="197"/>
        <v>4.3840601122690892E+20</v>
      </c>
    </row>
    <row r="569" spans="1:17" x14ac:dyDescent="0.2">
      <c r="A569">
        <f t="shared" si="193"/>
        <v>522</v>
      </c>
      <c r="B569">
        <f t="shared" si="210"/>
        <v>522000</v>
      </c>
      <c r="C569" s="1">
        <f t="shared" si="194"/>
        <v>16898706000</v>
      </c>
      <c r="D569">
        <f t="shared" si="198"/>
        <v>1734</v>
      </c>
      <c r="E569" s="2">
        <f t="shared" si="195"/>
        <v>540000</v>
      </c>
      <c r="F569" s="2">
        <f t="shared" si="199"/>
        <v>766581.88399999996</v>
      </c>
      <c r="G569" s="2">
        <f t="shared" si="200"/>
        <v>14417.169599999999</v>
      </c>
      <c r="H569" s="2">
        <f t="shared" si="201"/>
        <v>50460.093599999993</v>
      </c>
      <c r="I569" s="2">
        <f t="shared" si="204"/>
        <v>37.455340748713951</v>
      </c>
      <c r="J569" s="2">
        <f t="shared" si="205"/>
        <v>15.191844273550853</v>
      </c>
      <c r="K569">
        <f t="shared" si="206"/>
        <v>1.8477695458363624E+16</v>
      </c>
      <c r="L569" s="13">
        <f t="shared" si="196"/>
        <v>1088996686.479892</v>
      </c>
      <c r="M569" s="2">
        <f t="shared" si="207"/>
        <v>3960355.1895962465</v>
      </c>
      <c r="N569" s="2">
        <f t="shared" si="208"/>
        <v>1.2058065087534561E+19</v>
      </c>
      <c r="O569" s="2">
        <f t="shared" si="209"/>
        <v>3.8130949851166648E+16</v>
      </c>
      <c r="P569" s="2">
        <f t="shared" si="202"/>
        <v>7.4408395913931574E+21</v>
      </c>
      <c r="Q569" s="2">
        <f t="shared" si="197"/>
        <v>4.4104365802435628E+20</v>
      </c>
    </row>
    <row r="570" spans="1:17" x14ac:dyDescent="0.2">
      <c r="A570">
        <f t="shared" si="193"/>
        <v>521</v>
      </c>
      <c r="B570">
        <f t="shared" si="210"/>
        <v>521000</v>
      </c>
      <c r="C570" s="1">
        <f t="shared" si="194"/>
        <v>16866333000</v>
      </c>
      <c r="D570">
        <f t="shared" si="198"/>
        <v>1733.5</v>
      </c>
      <c r="E570" s="2">
        <f t="shared" si="195"/>
        <v>540000</v>
      </c>
      <c r="F570" s="2">
        <f t="shared" si="199"/>
        <v>766128.66200000001</v>
      </c>
      <c r="G570" s="2">
        <f t="shared" si="200"/>
        <v>14413.012399999998</v>
      </c>
      <c r="H570" s="2">
        <f t="shared" si="201"/>
        <v>50445.543399999995</v>
      </c>
      <c r="I570" s="2">
        <f t="shared" si="204"/>
        <v>37.466144135142777</v>
      </c>
      <c r="J570" s="2">
        <f t="shared" si="205"/>
        <v>15.187241733627555</v>
      </c>
      <c r="K570">
        <f t="shared" si="206"/>
        <v>1.867839933140214E+16</v>
      </c>
      <c r="L570" s="13">
        <f t="shared" si="196"/>
        <v>1095552368.916682</v>
      </c>
      <c r="M570" s="2">
        <f t="shared" si="207"/>
        <v>3942169.3792877397</v>
      </c>
      <c r="N570" s="2">
        <f t="shared" si="208"/>
        <v>1.2189039232544797E+19</v>
      </c>
      <c r="O570" s="2">
        <f t="shared" si="209"/>
        <v>3.8545126463992168E+16</v>
      </c>
      <c r="P570" s="2">
        <f t="shared" si="202"/>
        <v>7.4066715203826132E+21</v>
      </c>
      <c r="Q570" s="2">
        <f t="shared" si="197"/>
        <v>4.4369870941125621E+20</v>
      </c>
    </row>
    <row r="571" spans="1:17" x14ac:dyDescent="0.2">
      <c r="A571">
        <f t="shared" si="193"/>
        <v>520</v>
      </c>
      <c r="B571">
        <f t="shared" si="210"/>
        <v>520000</v>
      </c>
      <c r="C571" s="1">
        <f t="shared" si="194"/>
        <v>16833960000</v>
      </c>
      <c r="D571">
        <f t="shared" si="198"/>
        <v>1733</v>
      </c>
      <c r="E571" s="2">
        <f t="shared" si="195"/>
        <v>540000</v>
      </c>
      <c r="F571" s="2">
        <f t="shared" si="199"/>
        <v>765675.44</v>
      </c>
      <c r="G571" s="2">
        <f t="shared" si="200"/>
        <v>14408.855199999998</v>
      </c>
      <c r="H571" s="2">
        <f t="shared" si="201"/>
        <v>50430.993199999997</v>
      </c>
      <c r="I571" s="2">
        <f t="shared" si="204"/>
        <v>37.476953755493362</v>
      </c>
      <c r="J571" s="2">
        <f t="shared" si="205"/>
        <v>15.182636537882026</v>
      </c>
      <c r="K571">
        <f t="shared" si="206"/>
        <v>1.888140094543162E+16</v>
      </c>
      <c r="L571" s="13">
        <f t="shared" si="196"/>
        <v>1102151333.1574311</v>
      </c>
      <c r="M571" s="2">
        <f t="shared" si="207"/>
        <v>3924056.6559632318</v>
      </c>
      <c r="N571" s="2">
        <f t="shared" si="208"/>
        <v>1.2321512823764967E+19</v>
      </c>
      <c r="O571" s="2">
        <f t="shared" si="209"/>
        <v>3.8964044742069984E+16</v>
      </c>
      <c r="P571" s="2">
        <f t="shared" si="202"/>
        <v>7.3726407674908021E+21</v>
      </c>
      <c r="Q571" s="2">
        <f t="shared" si="197"/>
        <v>4.4637128992875957E+20</v>
      </c>
    </row>
    <row r="572" spans="1:17" x14ac:dyDescent="0.2">
      <c r="A572">
        <f t="shared" si="193"/>
        <v>519</v>
      </c>
      <c r="B572">
        <f t="shared" si="210"/>
        <v>519000</v>
      </c>
      <c r="C572" s="1">
        <f t="shared" si="194"/>
        <v>16801587000</v>
      </c>
      <c r="D572">
        <f t="shared" si="198"/>
        <v>1732.5</v>
      </c>
      <c r="E572" s="2">
        <f t="shared" si="195"/>
        <v>540000</v>
      </c>
      <c r="F572" s="2">
        <f t="shared" si="199"/>
        <v>765222.21799999999</v>
      </c>
      <c r="G572" s="2">
        <f t="shared" si="200"/>
        <v>14404.697999999999</v>
      </c>
      <c r="H572" s="2">
        <f t="shared" si="201"/>
        <v>50416.442999999992</v>
      </c>
      <c r="I572" s="2">
        <f t="shared" si="204"/>
        <v>37.48776961516306</v>
      </c>
      <c r="J572" s="2">
        <f t="shared" si="205"/>
        <v>15.178028684014858</v>
      </c>
      <c r="K572">
        <f t="shared" si="206"/>
        <v>1.9086727920659796E+16</v>
      </c>
      <c r="L572" s="13">
        <f t="shared" si="196"/>
        <v>1108793889.0770574</v>
      </c>
      <c r="M572" s="2">
        <f t="shared" si="207"/>
        <v>3906016.7708223588</v>
      </c>
      <c r="N572" s="2">
        <f t="shared" si="208"/>
        <v>1.245550388542668E+19</v>
      </c>
      <c r="O572" s="2">
        <f t="shared" si="209"/>
        <v>3.9387761683025056E+16</v>
      </c>
      <c r="P572" s="2">
        <f t="shared" si="202"/>
        <v>7.3387468652637963E+21</v>
      </c>
      <c r="Q572" s="2">
        <f t="shared" si="197"/>
        <v>4.4906152507620825E+20</v>
      </c>
    </row>
    <row r="573" spans="1:17" x14ac:dyDescent="0.2">
      <c r="A573">
        <f t="shared" si="193"/>
        <v>518</v>
      </c>
      <c r="B573">
        <f t="shared" si="210"/>
        <v>518000</v>
      </c>
      <c r="C573" s="1">
        <f t="shared" si="194"/>
        <v>16769214000</v>
      </c>
      <c r="D573">
        <f t="shared" si="198"/>
        <v>1732</v>
      </c>
      <c r="E573" s="2">
        <f t="shared" si="195"/>
        <v>540000</v>
      </c>
      <c r="F573" s="2">
        <f t="shared" si="199"/>
        <v>764768.99600000004</v>
      </c>
      <c r="G573" s="2">
        <f t="shared" si="200"/>
        <v>14400.540799999999</v>
      </c>
      <c r="H573" s="2">
        <f t="shared" si="201"/>
        <v>50401.892799999994</v>
      </c>
      <c r="I573" s="2">
        <f t="shared" si="204"/>
        <v>37.498591719555421</v>
      </c>
      <c r="J573" s="2">
        <f t="shared" si="205"/>
        <v>15.173418169723977</v>
      </c>
      <c r="K573">
        <f t="shared" si="206"/>
        <v>1.9294408224771208E+16</v>
      </c>
      <c r="L573" s="13">
        <f t="shared" si="196"/>
        <v>1115480348.9357827</v>
      </c>
      <c r="M573" s="2">
        <f t="shared" si="207"/>
        <v>3888049.4757427443</v>
      </c>
      <c r="N573" s="2">
        <f t="shared" si="208"/>
        <v>1.2591030668515903E+19</v>
      </c>
      <c r="O573" s="2">
        <f t="shared" si="209"/>
        <v>3.9816335001542592E+16</v>
      </c>
      <c r="P573" s="2">
        <f t="shared" si="202"/>
        <v>7.3049893475214877E+21</v>
      </c>
      <c r="Q573" s="2">
        <f t="shared" si="197"/>
        <v>4.51769541318992E+20</v>
      </c>
    </row>
    <row r="574" spans="1:17" x14ac:dyDescent="0.2">
      <c r="A574">
        <f t="shared" si="193"/>
        <v>517</v>
      </c>
      <c r="B574">
        <f t="shared" si="210"/>
        <v>517000</v>
      </c>
      <c r="C574" s="1">
        <f t="shared" si="194"/>
        <v>16736841000</v>
      </c>
      <c r="D574">
        <f t="shared" si="198"/>
        <v>1731.5</v>
      </c>
      <c r="E574" s="2">
        <f t="shared" si="195"/>
        <v>540000</v>
      </c>
      <c r="F574" s="2">
        <f t="shared" si="199"/>
        <v>764315.77399999998</v>
      </c>
      <c r="G574" s="2">
        <f t="shared" si="200"/>
        <v>14396.383599999999</v>
      </c>
      <c r="H574" s="2">
        <f t="shared" si="201"/>
        <v>50387.342599999996</v>
      </c>
      <c r="I574" s="2">
        <f t="shared" si="204"/>
        <v>37.509420074080275</v>
      </c>
      <c r="J574" s="2">
        <f t="shared" si="205"/>
        <v>15.168804992704656</v>
      </c>
      <c r="K574">
        <f t="shared" si="206"/>
        <v>1.9504470177490988E+16</v>
      </c>
      <c r="L574" s="13">
        <f t="shared" si="196"/>
        <v>1122211027.398746</v>
      </c>
      <c r="M574" s="2">
        <f t="shared" si="207"/>
        <v>3870154.5232787947</v>
      </c>
      <c r="N574" s="2">
        <f t="shared" si="208"/>
        <v>1.2728111653751171E+19</v>
      </c>
      <c r="O574" s="2">
        <f t="shared" si="209"/>
        <v>4.0249823138785952E+16</v>
      </c>
      <c r="P574" s="2">
        <f t="shared" si="202"/>
        <v>7.2713677493553322E+21</v>
      </c>
      <c r="Q574" s="2">
        <f t="shared" si="197"/>
        <v>4.5449546609649215E+20</v>
      </c>
    </row>
    <row r="575" spans="1:17" x14ac:dyDescent="0.2">
      <c r="A575">
        <f t="shared" si="193"/>
        <v>516</v>
      </c>
      <c r="B575">
        <f t="shared" si="210"/>
        <v>516000</v>
      </c>
      <c r="C575" s="1">
        <f t="shared" si="194"/>
        <v>16704468000</v>
      </c>
      <c r="D575">
        <f t="shared" si="198"/>
        <v>1731</v>
      </c>
      <c r="E575" s="2">
        <f t="shared" si="195"/>
        <v>540000</v>
      </c>
      <c r="F575" s="2">
        <f t="shared" si="199"/>
        <v>763862.55200000003</v>
      </c>
      <c r="G575" s="2">
        <f t="shared" si="200"/>
        <v>14392.226399999998</v>
      </c>
      <c r="H575" s="2">
        <f t="shared" si="201"/>
        <v>50372.792399999991</v>
      </c>
      <c r="I575" s="2">
        <f t="shared" si="204"/>
        <v>37.52025468415367</v>
      </c>
      <c r="J575" s="2">
        <f t="shared" si="205"/>
        <v>15.164189150649511</v>
      </c>
      <c r="K575">
        <f t="shared" si="206"/>
        <v>1.97169424552082E+16</v>
      </c>
      <c r="L575" s="13">
        <f t="shared" si="196"/>
        <v>1128986241.5558043</v>
      </c>
      <c r="M575" s="2">
        <f t="shared" si="207"/>
        <v>3852331.6666603638</v>
      </c>
      <c r="N575" s="2">
        <f t="shared" si="208"/>
        <v>1.2866765554600651E+19</v>
      </c>
      <c r="O575" s="2">
        <f t="shared" si="209"/>
        <v>4.0688285271937464E+16</v>
      </c>
      <c r="P575" s="2">
        <f t="shared" si="202"/>
        <v>7.2378816071258352E+21</v>
      </c>
      <c r="Q575" s="2">
        <f t="shared" si="197"/>
        <v>4.5723942783010072E+20</v>
      </c>
    </row>
    <row r="576" spans="1:17" x14ac:dyDescent="0.2">
      <c r="A576">
        <f t="shared" si="193"/>
        <v>515</v>
      </c>
      <c r="B576">
        <f t="shared" si="210"/>
        <v>515000</v>
      </c>
      <c r="C576" s="1">
        <f t="shared" si="194"/>
        <v>16672095000</v>
      </c>
      <c r="D576">
        <f t="shared" si="198"/>
        <v>1730.5</v>
      </c>
      <c r="E576" s="2">
        <f t="shared" si="195"/>
        <v>540000</v>
      </c>
      <c r="F576" s="2">
        <f t="shared" si="199"/>
        <v>763409.33</v>
      </c>
      <c r="G576" s="2">
        <f t="shared" si="200"/>
        <v>14388.069199999998</v>
      </c>
      <c r="H576" s="2">
        <f t="shared" si="201"/>
        <v>50358.242199999993</v>
      </c>
      <c r="I576" s="2">
        <f t="shared" si="204"/>
        <v>37.531095555197922</v>
      </c>
      <c r="J576" s="2">
        <f t="shared" si="205"/>
        <v>15.159570641248475</v>
      </c>
      <c r="K576">
        <f t="shared" si="206"/>
        <v>1.9931854095664564E+16</v>
      </c>
      <c r="L576" s="13">
        <f t="shared" si="196"/>
        <v>1135806310.9414594</v>
      </c>
      <c r="M576" s="2">
        <f t="shared" si="207"/>
        <v>3834580.6597913699</v>
      </c>
      <c r="N576" s="2">
        <f t="shared" si="208"/>
        <v>1.3007011320341893E+19</v>
      </c>
      <c r="O576" s="2">
        <f t="shared" si="209"/>
        <v>4.11317813238742E+16</v>
      </c>
      <c r="P576" s="2">
        <f t="shared" si="202"/>
        <v>7.2045304584599587E+21</v>
      </c>
      <c r="Q576" s="2">
        <f t="shared" si="197"/>
        <v>4.6000155593129106E+20</v>
      </c>
    </row>
    <row r="577" spans="1:17" x14ac:dyDescent="0.2">
      <c r="A577">
        <f t="shared" ref="A577:A640" si="211">+A576-1</f>
        <v>514</v>
      </c>
      <c r="B577">
        <f t="shared" si="210"/>
        <v>514000</v>
      </c>
      <c r="C577" s="1">
        <f t="shared" si="194"/>
        <v>16639722000</v>
      </c>
      <c r="D577">
        <f t="shared" si="198"/>
        <v>1730</v>
      </c>
      <c r="E577" s="2">
        <f t="shared" si="195"/>
        <v>540000</v>
      </c>
      <c r="F577" s="2">
        <f t="shared" si="199"/>
        <v>762956.10800000001</v>
      </c>
      <c r="G577" s="2">
        <f t="shared" si="200"/>
        <v>14383.911999999998</v>
      </c>
      <c r="H577" s="2">
        <f t="shared" si="201"/>
        <v>50343.691999999995</v>
      </c>
      <c r="I577" s="2">
        <f t="shared" si="204"/>
        <v>37.541942692641619</v>
      </c>
      <c r="J577" s="2">
        <f t="shared" si="205"/>
        <v>15.15494946218883</v>
      </c>
      <c r="K577">
        <f t="shared" si="206"/>
        <v>2.0149234502706544E+16</v>
      </c>
      <c r="L577" s="13">
        <f t="shared" si="196"/>
        <v>1142671557.5550051</v>
      </c>
      <c r="M577" s="2">
        <f t="shared" si="207"/>
        <v>3816901.2572486238</v>
      </c>
      <c r="N577" s="2">
        <f t="shared" si="208"/>
        <v>1.3148868139162907E+19</v>
      </c>
      <c r="O577" s="2">
        <f t="shared" si="209"/>
        <v>4.158037197297444E+16</v>
      </c>
      <c r="P577" s="2">
        <f t="shared" si="202"/>
        <v>7.1713138422489127E+21</v>
      </c>
      <c r="Q577" s="2">
        <f t="shared" si="197"/>
        <v>4.6278198080977705E+20</v>
      </c>
    </row>
    <row r="578" spans="1:17" x14ac:dyDescent="0.2">
      <c r="A578">
        <f t="shared" si="211"/>
        <v>513</v>
      </c>
      <c r="B578">
        <f t="shared" si="210"/>
        <v>513000</v>
      </c>
      <c r="C578" s="1">
        <f t="shared" si="194"/>
        <v>16607349000</v>
      </c>
      <c r="D578">
        <f t="shared" si="198"/>
        <v>1729.5</v>
      </c>
      <c r="E578" s="2">
        <f t="shared" si="195"/>
        <v>540000</v>
      </c>
      <c r="F578" s="2">
        <f t="shared" si="199"/>
        <v>762502.88599999994</v>
      </c>
      <c r="G578" s="2">
        <f t="shared" si="200"/>
        <v>14379.754799999999</v>
      </c>
      <c r="H578" s="2">
        <f t="shared" si="201"/>
        <v>50329.141799999998</v>
      </c>
      <c r="I578" s="2">
        <f t="shared" si="204"/>
        <v>37.552796101919625</v>
      </c>
      <c r="J578" s="2">
        <f t="shared" si="205"/>
        <v>15.150325611155166</v>
      </c>
      <c r="K578">
        <f t="shared" si="206"/>
        <v>2.0369113451102376E+16</v>
      </c>
      <c r="L578" s="13">
        <f t="shared" si="196"/>
        <v>1149582305.8808107</v>
      </c>
      <c r="M578" s="2">
        <f t="shared" si="207"/>
        <v>3799293.2142803925</v>
      </c>
      <c r="N578" s="2">
        <f t="shared" si="208"/>
        <v>1.3292355441305637E+19</v>
      </c>
      <c r="O578" s="2">
        <f t="shared" si="209"/>
        <v>4.2034118663058224E+16</v>
      </c>
      <c r="P578" s="2">
        <f t="shared" si="202"/>
        <v>7.1382312986454629E+21</v>
      </c>
      <c r="Q578" s="2">
        <f t="shared" si="197"/>
        <v>4.6558083388172835E+20</v>
      </c>
    </row>
    <row r="579" spans="1:17" x14ac:dyDescent="0.2">
      <c r="A579">
        <f t="shared" si="211"/>
        <v>512</v>
      </c>
      <c r="B579">
        <f t="shared" si="210"/>
        <v>512000</v>
      </c>
      <c r="C579" s="1">
        <f t="shared" si="194"/>
        <v>16574976000</v>
      </c>
      <c r="D579">
        <f t="shared" si="198"/>
        <v>1729</v>
      </c>
      <c r="E579" s="2">
        <f t="shared" si="195"/>
        <v>540000</v>
      </c>
      <c r="F579" s="2">
        <f t="shared" si="199"/>
        <v>762049.66399999999</v>
      </c>
      <c r="G579" s="2">
        <f t="shared" si="200"/>
        <v>14375.597599999999</v>
      </c>
      <c r="H579" s="2">
        <f t="shared" si="201"/>
        <v>50314.591599999992</v>
      </c>
      <c r="I579" s="2">
        <f t="shared" si="204"/>
        <v>37.563655788473099</v>
      </c>
      <c r="J579" s="2">
        <f t="shared" si="205"/>
        <v>15.14569908582941</v>
      </c>
      <c r="K579">
        <f t="shared" si="206"/>
        <v>2.0591521091425456E+16</v>
      </c>
      <c r="L579" s="13">
        <f t="shared" si="196"/>
        <v>1156538882.908834</v>
      </c>
      <c r="M579" s="2">
        <f t="shared" si="207"/>
        <v>3781756.2868051985</v>
      </c>
      <c r="N579" s="2">
        <f t="shared" si="208"/>
        <v>1.3437492902252739E+19</v>
      </c>
      <c r="O579" s="2">
        <f t="shared" si="209"/>
        <v>4.24930836134648E+16</v>
      </c>
      <c r="P579" s="2">
        <f t="shared" si="202"/>
        <v>7.1052823690616704E+21</v>
      </c>
      <c r="Q579" s="2">
        <f t="shared" si="197"/>
        <v>4.6839824757807776E+20</v>
      </c>
    </row>
    <row r="580" spans="1:17" x14ac:dyDescent="0.2">
      <c r="A580">
        <f t="shared" si="211"/>
        <v>511</v>
      </c>
      <c r="B580">
        <f t="shared" si="210"/>
        <v>511000</v>
      </c>
      <c r="C580" s="1">
        <f t="shared" si="194"/>
        <v>16542603000</v>
      </c>
      <c r="D580">
        <f t="shared" si="198"/>
        <v>1728.5</v>
      </c>
      <c r="E580" s="2">
        <f t="shared" si="195"/>
        <v>540000</v>
      </c>
      <c r="F580" s="2">
        <f t="shared" si="199"/>
        <v>761596.44200000004</v>
      </c>
      <c r="G580" s="2">
        <f t="shared" si="200"/>
        <v>14371.440399999998</v>
      </c>
      <c r="H580" s="2">
        <f t="shared" si="201"/>
        <v>50300.041399999995</v>
      </c>
      <c r="I580" s="2">
        <f t="shared" si="204"/>
        <v>37.574521757749494</v>
      </c>
      <c r="J580" s="2">
        <f t="shared" si="205"/>
        <v>15.141069883890793</v>
      </c>
      <c r="K580">
        <f t="shared" si="206"/>
        <v>2.0816487955004284E+16</v>
      </c>
      <c r="L580" s="13">
        <f t="shared" si="196"/>
        <v>1163541618.155242</v>
      </c>
      <c r="M580" s="2">
        <f t="shared" si="207"/>
        <v>3764290.2314104321</v>
      </c>
      <c r="N580" s="2">
        <f t="shared" si="208"/>
        <v>1.3584300445957771E+19</v>
      </c>
      <c r="O580" s="2">
        <f t="shared" si="209"/>
        <v>4.2957329829267424E+16</v>
      </c>
      <c r="P580" s="2">
        <f t="shared" si="202"/>
        <v>7.0724665961662864E+21</v>
      </c>
      <c r="Q580" s="2">
        <f t="shared" si="197"/>
        <v>4.7123435535287301E+20</v>
      </c>
    </row>
    <row r="581" spans="1:17" x14ac:dyDescent="0.2">
      <c r="A581">
        <f t="shared" si="211"/>
        <v>510</v>
      </c>
      <c r="B581">
        <f t="shared" si="210"/>
        <v>510000</v>
      </c>
      <c r="C581" s="1">
        <f t="shared" si="194"/>
        <v>16510230000</v>
      </c>
      <c r="D581">
        <f t="shared" si="198"/>
        <v>1728</v>
      </c>
      <c r="E581" s="2">
        <f t="shared" si="195"/>
        <v>540000</v>
      </c>
      <c r="F581" s="2">
        <f t="shared" si="199"/>
        <v>761143.22</v>
      </c>
      <c r="G581" s="2">
        <f t="shared" si="200"/>
        <v>14367.283199999998</v>
      </c>
      <c r="H581" s="2">
        <f t="shared" si="201"/>
        <v>50285.491199999997</v>
      </c>
      <c r="I581" s="2">
        <f t="shared" si="204"/>
        <v>37.585394015202546</v>
      </c>
      <c r="J581" s="2">
        <f t="shared" si="205"/>
        <v>15.136438003015869</v>
      </c>
      <c r="K581">
        <f t="shared" si="206"/>
        <v>2.1044044958939948E+16</v>
      </c>
      <c r="L581" s="13">
        <f t="shared" si="196"/>
        <v>1170590843.683275</v>
      </c>
      <c r="M581" s="2">
        <f t="shared" si="207"/>
        <v>3746894.8053511092</v>
      </c>
      <c r="N581" s="2">
        <f t="shared" si="208"/>
        <v>1.3732798248119493E+19</v>
      </c>
      <c r="O581" s="2">
        <f t="shared" si="209"/>
        <v>4.3426921111627528E+16</v>
      </c>
      <c r="P581" s="2">
        <f t="shared" si="202"/>
        <v>7.0397835238824194E+21</v>
      </c>
      <c r="Q581" s="2">
        <f t="shared" si="197"/>
        <v>4.7408929169172634E+20</v>
      </c>
    </row>
    <row r="582" spans="1:17" x14ac:dyDescent="0.2">
      <c r="A582">
        <f t="shared" si="211"/>
        <v>509</v>
      </c>
      <c r="B582">
        <f t="shared" si="210"/>
        <v>509000</v>
      </c>
      <c r="C582" s="1">
        <f t="shared" si="194"/>
        <v>16477857000</v>
      </c>
      <c r="D582">
        <f t="shared" si="198"/>
        <v>1727.5</v>
      </c>
      <c r="E582" s="2">
        <f t="shared" si="195"/>
        <v>540000</v>
      </c>
      <c r="F582" s="2">
        <f t="shared" si="199"/>
        <v>760689.99800000002</v>
      </c>
      <c r="G582" s="2">
        <f t="shared" si="200"/>
        <v>14363.125999999998</v>
      </c>
      <c r="H582" s="2">
        <f t="shared" si="201"/>
        <v>50270.940999999992</v>
      </c>
      <c r="I582" s="2">
        <f t="shared" si="204"/>
        <v>37.596272566292328</v>
      </c>
      <c r="J582" s="2">
        <f t="shared" si="205"/>
        <v>15.131803440878501</v>
      </c>
      <c r="K582">
        <f t="shared" si="206"/>
        <v>2.1274223411193928E+16</v>
      </c>
      <c r="L582" s="13">
        <f t="shared" si="196"/>
        <v>1177686894.1242685</v>
      </c>
      <c r="M582" s="2">
        <f t="shared" si="207"/>
        <v>3729569.7665485675</v>
      </c>
      <c r="N582" s="2">
        <f t="shared" si="208"/>
        <v>1.3883006739502012E+19</v>
      </c>
      <c r="O582" s="2">
        <f t="shared" si="209"/>
        <v>4.3901922068294064E+16</v>
      </c>
      <c r="P582" s="2">
        <f t="shared" si="202"/>
        <v>7.0072326973850827E+21</v>
      </c>
      <c r="Q582" s="2">
        <f t="shared" si="197"/>
        <v>4.7696319212032878E+20</v>
      </c>
    </row>
    <row r="583" spans="1:17" x14ac:dyDescent="0.2">
      <c r="A583">
        <f t="shared" si="211"/>
        <v>508</v>
      </c>
      <c r="B583">
        <f t="shared" si="210"/>
        <v>508000</v>
      </c>
      <c r="C583" s="1">
        <f t="shared" si="194"/>
        <v>16445484000</v>
      </c>
      <c r="D583">
        <f t="shared" si="198"/>
        <v>1727</v>
      </c>
      <c r="E583" s="2">
        <f t="shared" si="195"/>
        <v>540000</v>
      </c>
      <c r="F583" s="2">
        <f t="shared" si="199"/>
        <v>760236.77599999995</v>
      </c>
      <c r="G583" s="2">
        <f t="shared" si="200"/>
        <v>14358.968799999999</v>
      </c>
      <c r="H583" s="2">
        <f t="shared" si="201"/>
        <v>50256.390799999994</v>
      </c>
      <c r="I583" s="2">
        <f t="shared" si="204"/>
        <v>37.607157416485229</v>
      </c>
      <c r="J583" s="2">
        <f t="shared" si="205"/>
        <v>15.127166195149853</v>
      </c>
      <c r="K583">
        <f t="shared" si="206"/>
        <v>2.1507055015744148E+16</v>
      </c>
      <c r="L583" s="13">
        <f t="shared" si="196"/>
        <v>1184830106.6988633</v>
      </c>
      <c r="M583" s="2">
        <f t="shared" si="207"/>
        <v>3712314.8735891059</v>
      </c>
      <c r="N583" s="2">
        <f t="shared" si="208"/>
        <v>1.4034946609299515E+19</v>
      </c>
      <c r="O583" s="2">
        <f t="shared" si="209"/>
        <v>4.43823981242436E+16</v>
      </c>
      <c r="P583" s="2">
        <f t="shared" si="202"/>
        <v>6.97481366309864E+21</v>
      </c>
      <c r="Q583" s="2">
        <f t="shared" si="197"/>
        <v>4.7985619321303964E+20</v>
      </c>
    </row>
    <row r="584" spans="1:17" x14ac:dyDescent="0.2">
      <c r="A584">
        <f t="shared" si="211"/>
        <v>507</v>
      </c>
      <c r="B584">
        <f t="shared" si="210"/>
        <v>507000</v>
      </c>
      <c r="C584" s="1">
        <f t="shared" si="194"/>
        <v>16413111000</v>
      </c>
      <c r="D584">
        <f t="shared" si="198"/>
        <v>1726.5</v>
      </c>
      <c r="E584" s="2">
        <f t="shared" si="195"/>
        <v>540000</v>
      </c>
      <c r="F584" s="2">
        <f t="shared" si="199"/>
        <v>759783.554</v>
      </c>
      <c r="G584" s="2">
        <f t="shared" si="200"/>
        <v>14354.811599999999</v>
      </c>
      <c r="H584" s="2">
        <f t="shared" si="201"/>
        <v>50241.840599999996</v>
      </c>
      <c r="I584" s="2">
        <f t="shared" si="204"/>
        <v>37.618048571253979</v>
      </c>
      <c r="J584" s="2">
        <f t="shared" si="205"/>
        <v>15.122526263498397</v>
      </c>
      <c r="K584">
        <f t="shared" si="206"/>
        <v>2.1742571877812704E+16</v>
      </c>
      <c r="L584" s="13">
        <f t="shared" si="196"/>
        <v>1192020821.2383804</v>
      </c>
      <c r="M584" s="2">
        <f t="shared" si="207"/>
        <v>3695129.8857227759</v>
      </c>
      <c r="N584" s="2">
        <f t="shared" si="208"/>
        <v>1.4188638808547723E+19</v>
      </c>
      <c r="O584" s="2">
        <f t="shared" si="209"/>
        <v>4.4868415532468352E+16</v>
      </c>
      <c r="P584" s="2">
        <f t="shared" si="202"/>
        <v>6.9425259686945337E+21</v>
      </c>
      <c r="Q584" s="2">
        <f t="shared" si="197"/>
        <v>4.8276843260154407E+20</v>
      </c>
    </row>
    <row r="585" spans="1:17" x14ac:dyDescent="0.2">
      <c r="A585">
        <f t="shared" si="211"/>
        <v>506</v>
      </c>
      <c r="B585">
        <f t="shared" si="210"/>
        <v>506000</v>
      </c>
      <c r="C585" s="1">
        <f t="shared" si="194"/>
        <v>16380738000</v>
      </c>
      <c r="D585">
        <f t="shared" si="198"/>
        <v>1726</v>
      </c>
      <c r="E585" s="2">
        <f t="shared" si="195"/>
        <v>540000</v>
      </c>
      <c r="F585" s="2">
        <f t="shared" si="199"/>
        <v>759330.33199999994</v>
      </c>
      <c r="G585" s="2">
        <f t="shared" si="200"/>
        <v>14350.654399999998</v>
      </c>
      <c r="H585" s="2">
        <f t="shared" si="201"/>
        <v>50227.290399999998</v>
      </c>
      <c r="I585" s="2">
        <f t="shared" si="204"/>
        <v>37.628946036077636</v>
      </c>
      <c r="J585" s="2">
        <f t="shared" si="205"/>
        <v>15.117883643589899</v>
      </c>
      <c r="K585">
        <f t="shared" si="206"/>
        <v>2.1980806509164832E+16</v>
      </c>
      <c r="L585" s="13">
        <f t="shared" si="196"/>
        <v>1199259380.2064314</v>
      </c>
      <c r="M585" s="2">
        <f t="shared" si="207"/>
        <v>3678014.562862006</v>
      </c>
      <c r="N585" s="2">
        <f t="shared" si="208"/>
        <v>1.4344104553581881E+19</v>
      </c>
      <c r="O585" s="2">
        <f t="shared" si="209"/>
        <v>4.5360041384911304E+16</v>
      </c>
      <c r="P585" s="2">
        <f t="shared" si="202"/>
        <v>6.9103691630887022E+21</v>
      </c>
      <c r="Q585" s="2">
        <f t="shared" si="197"/>
        <v>4.8570004898360472E+20</v>
      </c>
    </row>
    <row r="586" spans="1:17" x14ac:dyDescent="0.2">
      <c r="A586">
        <f t="shared" si="211"/>
        <v>505</v>
      </c>
      <c r="B586">
        <f t="shared" si="210"/>
        <v>505000</v>
      </c>
      <c r="C586" s="1">
        <f t="shared" si="194"/>
        <v>16348365000</v>
      </c>
      <c r="D586">
        <f t="shared" si="198"/>
        <v>1725.5</v>
      </c>
      <c r="E586" s="2">
        <f t="shared" si="195"/>
        <v>540000</v>
      </c>
      <c r="F586" s="2">
        <f t="shared" si="199"/>
        <v>758877.11</v>
      </c>
      <c r="G586" s="2">
        <f t="shared" si="200"/>
        <v>14346.497199999998</v>
      </c>
      <c r="H586" s="2">
        <f t="shared" si="201"/>
        <v>50212.740199999993</v>
      </c>
      <c r="I586" s="2">
        <f t="shared" si="204"/>
        <v>37.639849816441611</v>
      </c>
      <c r="J586" s="2">
        <f t="shared" si="205"/>
        <v>15.113238333087429</v>
      </c>
      <c r="K586">
        <f t="shared" si="206"/>
        <v>2.2221791833481352E+16</v>
      </c>
      <c r="L586" s="13">
        <f t="shared" si="196"/>
        <v>1206546128.7206652</v>
      </c>
      <c r="M586" s="2">
        <f t="shared" si="207"/>
        <v>3660968.665580384</v>
      </c>
      <c r="N586" s="2">
        <f t="shared" si="208"/>
        <v>1.450136532954266E+19</v>
      </c>
      <c r="O586" s="2">
        <f t="shared" si="209"/>
        <v>4.5857343623552816E+16</v>
      </c>
      <c r="P586" s="2">
        <f t="shared" si="202"/>
        <v>6.8783427964392891E+21</v>
      </c>
      <c r="Q586" s="2">
        <f t="shared" si="197"/>
        <v>4.8865118213186938E+20</v>
      </c>
    </row>
    <row r="587" spans="1:17" x14ac:dyDescent="0.2">
      <c r="A587">
        <f t="shared" si="211"/>
        <v>504</v>
      </c>
      <c r="B587">
        <f t="shared" si="210"/>
        <v>504000</v>
      </c>
      <c r="C587" s="1">
        <f t="shared" si="194"/>
        <v>16315992000</v>
      </c>
      <c r="D587">
        <f t="shared" si="198"/>
        <v>1725</v>
      </c>
      <c r="E587" s="2">
        <f t="shared" si="195"/>
        <v>540000</v>
      </c>
      <c r="F587" s="2">
        <f t="shared" si="199"/>
        <v>758423.88800000004</v>
      </c>
      <c r="G587" s="2">
        <f t="shared" si="200"/>
        <v>14342.339999999998</v>
      </c>
      <c r="H587" s="2">
        <f t="shared" si="201"/>
        <v>50198.189999999995</v>
      </c>
      <c r="I587" s="2">
        <f t="shared" si="204"/>
        <v>37.650759917837682</v>
      </c>
      <c r="J587" s="2">
        <f t="shared" si="205"/>
        <v>15.10859032965133</v>
      </c>
      <c r="K587">
        <f t="shared" si="206"/>
        <v>2.2465561191804856E+16</v>
      </c>
      <c r="L587" s="13">
        <f t="shared" si="196"/>
        <v>1213881414.5747414</v>
      </c>
      <c r="M587" s="2">
        <f t="shared" si="207"/>
        <v>3643991.9551112489</v>
      </c>
      <c r="N587" s="2">
        <f t="shared" si="208"/>
        <v>1.4660442893930207E+19</v>
      </c>
      <c r="O587" s="2">
        <f t="shared" si="209"/>
        <v>4.6360391051649552E+16</v>
      </c>
      <c r="P587" s="2">
        <f t="shared" si="202"/>
        <v>6.8464464201440014E+21</v>
      </c>
      <c r="Q587" s="2">
        <f t="shared" si="197"/>
        <v>4.9162197290277025E+20</v>
      </c>
    </row>
    <row r="588" spans="1:17" x14ac:dyDescent="0.2">
      <c r="A588">
        <f t="shared" si="211"/>
        <v>503</v>
      </c>
      <c r="B588">
        <f t="shared" si="210"/>
        <v>503000</v>
      </c>
      <c r="C588" s="1">
        <f t="shared" si="194"/>
        <v>16283619000</v>
      </c>
      <c r="D588">
        <f t="shared" si="198"/>
        <v>1724.5</v>
      </c>
      <c r="E588" s="2">
        <f t="shared" si="195"/>
        <v>540000</v>
      </c>
      <c r="F588" s="2">
        <f t="shared" si="199"/>
        <v>757970.66599999997</v>
      </c>
      <c r="G588" s="2">
        <f t="shared" si="200"/>
        <v>14338.182799999999</v>
      </c>
      <c r="H588" s="2">
        <f t="shared" si="201"/>
        <v>50183.639799999997</v>
      </c>
      <c r="I588" s="2">
        <f t="shared" si="204"/>
        <v>37.661676345763986</v>
      </c>
      <c r="J588" s="2">
        <f t="shared" si="205"/>
        <v>15.103939630939244</v>
      </c>
      <c r="K588">
        <f t="shared" si="206"/>
        <v>2.2712148348060396E+16</v>
      </c>
      <c r="L588" s="13">
        <f t="shared" si="196"/>
        <v>1221265588.2604802</v>
      </c>
      <c r="M588" s="2">
        <f t="shared" si="207"/>
        <v>3627084.1933465139</v>
      </c>
      <c r="N588" s="2">
        <f t="shared" si="208"/>
        <v>1.4821359280206805E+19</v>
      </c>
      <c r="O588" s="2">
        <f t="shared" si="209"/>
        <v>4.6869253345127056E+16</v>
      </c>
      <c r="P588" s="2">
        <f t="shared" si="202"/>
        <v>6.8146795868378932E+21</v>
      </c>
      <c r="Q588" s="2">
        <f t="shared" si="197"/>
        <v>4.9461256324549444E+20</v>
      </c>
    </row>
    <row r="589" spans="1:17" x14ac:dyDescent="0.2">
      <c r="A589">
        <f t="shared" si="211"/>
        <v>502</v>
      </c>
      <c r="B589">
        <f t="shared" si="210"/>
        <v>502000</v>
      </c>
      <c r="C589" s="1">
        <f t="shared" si="194"/>
        <v>16251246000</v>
      </c>
      <c r="D589">
        <f t="shared" si="198"/>
        <v>1724</v>
      </c>
      <c r="E589" s="2">
        <f t="shared" si="195"/>
        <v>540000</v>
      </c>
      <c r="F589" s="2">
        <f t="shared" si="199"/>
        <v>757517.44400000002</v>
      </c>
      <c r="G589" s="2">
        <f t="shared" si="200"/>
        <v>14334.025599999999</v>
      </c>
      <c r="H589" s="2">
        <f t="shared" si="201"/>
        <v>50169.089599999992</v>
      </c>
      <c r="I589" s="2">
        <f t="shared" si="204"/>
        <v>37.672599105725055</v>
      </c>
      <c r="J589" s="2">
        <f t="shared" si="205"/>
        <v>15.099286234606101</v>
      </c>
      <c r="K589">
        <f t="shared" si="206"/>
        <v>2.2961587494653132E+16</v>
      </c>
      <c r="L589" s="13">
        <f t="shared" si="196"/>
        <v>1228699002.9902303</v>
      </c>
      <c r="M589" s="2">
        <f t="shared" si="207"/>
        <v>3610245.1428353363</v>
      </c>
      <c r="N589" s="2">
        <f t="shared" si="208"/>
        <v>1.498413680144974E+19</v>
      </c>
      <c r="O589" s="2">
        <f t="shared" si="209"/>
        <v>4.7384001064131176E+16</v>
      </c>
      <c r="P589" s="2">
        <f t="shared" si="202"/>
        <v>6.7830418503908721E+21</v>
      </c>
      <c r="Q589" s="2">
        <f t="shared" si="197"/>
        <v>4.9762309621104325E+20</v>
      </c>
    </row>
    <row r="590" spans="1:17" x14ac:dyDescent="0.2">
      <c r="A590">
        <f t="shared" si="211"/>
        <v>501</v>
      </c>
      <c r="B590">
        <f t="shared" si="210"/>
        <v>501000</v>
      </c>
      <c r="C590" s="1">
        <f t="shared" si="194"/>
        <v>16218873000</v>
      </c>
      <c r="D590">
        <f t="shared" si="198"/>
        <v>1723.5</v>
      </c>
      <c r="E590" s="2">
        <f t="shared" si="195"/>
        <v>540000</v>
      </c>
      <c r="F590" s="2">
        <f t="shared" si="199"/>
        <v>757064.22199999995</v>
      </c>
      <c r="G590" s="2">
        <f t="shared" si="200"/>
        <v>14329.868399999999</v>
      </c>
      <c r="H590" s="2">
        <f t="shared" si="201"/>
        <v>50154.539399999994</v>
      </c>
      <c r="I590" s="2">
        <f t="shared" si="204"/>
        <v>37.683528203231788</v>
      </c>
      <c r="J590" s="2">
        <f t="shared" si="205"/>
        <v>15.094630138304092</v>
      </c>
      <c r="K590">
        <f t="shared" si="206"/>
        <v>2.3213913258141688E+16</v>
      </c>
      <c r="L590" s="13">
        <f t="shared" si="196"/>
        <v>1236182014.7193859</v>
      </c>
      <c r="M590" s="2">
        <f t="shared" si="207"/>
        <v>3593474.5667827637</v>
      </c>
      <c r="N590" s="2">
        <f t="shared" si="208"/>
        <v>1.5148798054053603E+19</v>
      </c>
      <c r="O590" s="2">
        <f t="shared" si="209"/>
        <v>4.7904705664735712E+16</v>
      </c>
      <c r="P590" s="2">
        <f t="shared" si="202"/>
        <v>6.7515327659051508E+21</v>
      </c>
      <c r="Q590" s="2">
        <f t="shared" si="197"/>
        <v>5.0065371596135124E+20</v>
      </c>
    </row>
    <row r="591" spans="1:17" x14ac:dyDescent="0.2">
      <c r="A591">
        <f t="shared" si="211"/>
        <v>500</v>
      </c>
      <c r="B591">
        <f t="shared" si="210"/>
        <v>500000</v>
      </c>
      <c r="C591" s="1">
        <f t="shared" si="194"/>
        <v>16186500000</v>
      </c>
      <c r="D591">
        <f t="shared" si="198"/>
        <v>1723</v>
      </c>
      <c r="E591" s="2">
        <f t="shared" si="195"/>
        <v>540000</v>
      </c>
      <c r="F591" s="2">
        <f t="shared" si="199"/>
        <v>756611</v>
      </c>
      <c r="G591" s="2">
        <f t="shared" si="200"/>
        <v>14325.711199999998</v>
      </c>
      <c r="H591" s="2">
        <f t="shared" si="201"/>
        <v>50139.989199999996</v>
      </c>
      <c r="I591" s="2">
        <f t="shared" si="204"/>
        <v>37.694463643801505</v>
      </c>
      <c r="J591" s="2">
        <f t="shared" si="205"/>
        <v>15.089971339682698</v>
      </c>
      <c r="K591">
        <f t="shared" si="206"/>
        <v>2.346916070499162E+16</v>
      </c>
      <c r="L591" s="13">
        <f t="shared" si="196"/>
        <v>1243714982.1691535</v>
      </c>
      <c r="M591" s="2">
        <f t="shared" si="207"/>
        <v>3576772.2290485408</v>
      </c>
      <c r="N591" s="2">
        <f t="shared" si="208"/>
        <v>1.5315365921484841E+19</v>
      </c>
      <c r="O591" s="2">
        <f t="shared" si="209"/>
        <v>4.84314395108154E+16</v>
      </c>
      <c r="P591" s="2">
        <f t="shared" si="202"/>
        <v>6.720151889713009E+21</v>
      </c>
      <c r="Q591" s="2">
        <f t="shared" si="197"/>
        <v>5.0370456777850716E+20</v>
      </c>
    </row>
    <row r="592" spans="1:17" x14ac:dyDescent="0.2">
      <c r="A592">
        <f t="shared" si="211"/>
        <v>499</v>
      </c>
      <c r="B592">
        <f t="shared" si="210"/>
        <v>499000</v>
      </c>
      <c r="C592" s="1">
        <f t="shared" si="194"/>
        <v>16154127000</v>
      </c>
      <c r="D592">
        <f t="shared" si="198"/>
        <v>1722.5</v>
      </c>
      <c r="E592" s="2">
        <f t="shared" si="195"/>
        <v>540000</v>
      </c>
      <c r="F592" s="2">
        <f t="shared" si="199"/>
        <v>756157.77799999993</v>
      </c>
      <c r="G592" s="2">
        <f t="shared" si="200"/>
        <v>14321.553999999998</v>
      </c>
      <c r="H592" s="2">
        <f t="shared" si="201"/>
        <v>50125.438999999991</v>
      </c>
      <c r="I592" s="2">
        <f t="shared" si="204"/>
        <v>37.70540543295791</v>
      </c>
      <c r="J592" s="2">
        <f t="shared" si="205"/>
        <v>15.085309836388666</v>
      </c>
      <c r="K592">
        <f t="shared" si="206"/>
        <v>2.3727365347405996E+16</v>
      </c>
      <c r="L592" s="13">
        <f t="shared" si="196"/>
        <v>1251298266.8494828</v>
      </c>
      <c r="M592" s="2">
        <f t="shared" si="207"/>
        <v>3560137.8941457588</v>
      </c>
      <c r="N592" s="2">
        <f t="shared" si="208"/>
        <v>1.5483863578086648E+19</v>
      </c>
      <c r="O592" s="2">
        <f t="shared" si="209"/>
        <v>4.8964275886078016E+16</v>
      </c>
      <c r="P592" s="2">
        <f t="shared" si="202"/>
        <v>6.6888987793742532E+21</v>
      </c>
      <c r="Q592" s="2">
        <f t="shared" si="197"/>
        <v>5.0677579807404052E+20</v>
      </c>
    </row>
    <row r="593" spans="1:17" x14ac:dyDescent="0.2">
      <c r="A593">
        <f t="shared" si="211"/>
        <v>498</v>
      </c>
      <c r="B593">
        <f t="shared" si="210"/>
        <v>498000</v>
      </c>
      <c r="C593" s="1">
        <f t="shared" si="194"/>
        <v>16121754000</v>
      </c>
      <c r="D593">
        <f t="shared" si="198"/>
        <v>1722</v>
      </c>
      <c r="E593" s="2">
        <f t="shared" si="195"/>
        <v>540000</v>
      </c>
      <c r="F593" s="2">
        <f t="shared" si="199"/>
        <v>755704.55599999998</v>
      </c>
      <c r="G593" s="2">
        <f t="shared" si="200"/>
        <v>14317.396799999999</v>
      </c>
      <c r="H593" s="2">
        <f t="shared" si="201"/>
        <v>50110.888799999993</v>
      </c>
      <c r="I593" s="2">
        <f t="shared" si="204"/>
        <v>37.716353576231121</v>
      </c>
      <c r="J593" s="2">
        <f t="shared" si="205"/>
        <v>15.080645626066007</v>
      </c>
      <c r="K593">
        <f t="shared" si="206"/>
        <v>2.39885631492382E+16</v>
      </c>
      <c r="L593" s="13">
        <f t="shared" si="196"/>
        <v>1258932233.0822344</v>
      </c>
      <c r="M593" s="2">
        <f t="shared" si="207"/>
        <v>3543571.3272395809</v>
      </c>
      <c r="N593" s="2">
        <f t="shared" si="208"/>
        <v>1.5654314492937509E+19</v>
      </c>
      <c r="O593" s="2">
        <f t="shared" si="209"/>
        <v>4.9503289006266152E+16</v>
      </c>
      <c r="P593" s="2">
        <f t="shared" si="202"/>
        <v>6.6577729936738254E+21</v>
      </c>
      <c r="Q593" s="2">
        <f t="shared" si="197"/>
        <v>5.0986755439830493E+20</v>
      </c>
    </row>
    <row r="594" spans="1:17" x14ac:dyDescent="0.2">
      <c r="A594">
        <f t="shared" si="211"/>
        <v>497</v>
      </c>
      <c r="B594">
        <f t="shared" si="210"/>
        <v>497000</v>
      </c>
      <c r="C594" s="1">
        <f t="shared" si="194"/>
        <v>16089381000</v>
      </c>
      <c r="D594">
        <f t="shared" si="198"/>
        <v>1721.5</v>
      </c>
      <c r="E594" s="2">
        <f t="shared" si="195"/>
        <v>540000</v>
      </c>
      <c r="F594" s="2">
        <f t="shared" si="199"/>
        <v>755251.33400000003</v>
      </c>
      <c r="G594" s="2">
        <f t="shared" si="200"/>
        <v>14313.239599999999</v>
      </c>
      <c r="H594" s="2">
        <f t="shared" si="201"/>
        <v>50096.338599999995</v>
      </c>
      <c r="I594" s="2">
        <f t="shared" si="204"/>
        <v>37.727308079157709</v>
      </c>
      <c r="J594" s="2">
        <f t="shared" si="205"/>
        <v>15.075978706355999</v>
      </c>
      <c r="K594">
        <f t="shared" si="206"/>
        <v>2.4252790531986436E+16</v>
      </c>
      <c r="L594" s="13">
        <f t="shared" si="196"/>
        <v>1266617248.0245166</v>
      </c>
      <c r="M594" s="2">
        <f t="shared" si="207"/>
        <v>3527072.2941459636</v>
      </c>
      <c r="N594" s="2">
        <f t="shared" si="208"/>
        <v>1.5826742433763054E+19</v>
      </c>
      <c r="O594" s="2">
        <f t="shared" si="209"/>
        <v>5.00485540315276E+16</v>
      </c>
      <c r="P594" s="2">
        <f t="shared" si="202"/>
        <v>6.6267740926193948E+21</v>
      </c>
      <c r="Q594" s="2">
        <f t="shared" si="197"/>
        <v>5.1297998544992921E+20</v>
      </c>
    </row>
    <row r="595" spans="1:17" x14ac:dyDescent="0.2">
      <c r="A595">
        <f t="shared" si="211"/>
        <v>496</v>
      </c>
      <c r="B595">
        <f t="shared" si="210"/>
        <v>496000</v>
      </c>
      <c r="C595" s="1">
        <f t="shared" si="194"/>
        <v>16057008000</v>
      </c>
      <c r="D595">
        <f t="shared" si="198"/>
        <v>1721</v>
      </c>
      <c r="E595" s="2">
        <f t="shared" si="195"/>
        <v>540000</v>
      </c>
      <c r="F595" s="2">
        <f t="shared" si="199"/>
        <v>754798.11199999996</v>
      </c>
      <c r="G595" s="2">
        <f t="shared" si="200"/>
        <v>14309.082399999999</v>
      </c>
      <c r="H595" s="2">
        <f t="shared" si="201"/>
        <v>50081.788399999998</v>
      </c>
      <c r="I595" s="2">
        <f t="shared" si="204"/>
        <v>37.738268947280645</v>
      </c>
      <c r="J595" s="2">
        <f t="shared" si="205"/>
        <v>15.071309074897174</v>
      </c>
      <c r="K595">
        <f t="shared" si="206"/>
        <v>2.4520084380868976E+16</v>
      </c>
      <c r="L595" s="13">
        <f t="shared" si="196"/>
        <v>1274353681.6922348</v>
      </c>
      <c r="M595" s="2">
        <f t="shared" si="207"/>
        <v>3510640.5613303543</v>
      </c>
      <c r="N595" s="2">
        <f t="shared" si="208"/>
        <v>1.6001171470900605E+19</v>
      </c>
      <c r="O595" s="2">
        <f t="shared" si="209"/>
        <v>5.060014707895236E+16</v>
      </c>
      <c r="P595" s="2">
        <f t="shared" si="202"/>
        <v>6.5959016374389178E+21</v>
      </c>
      <c r="Q595" s="2">
        <f t="shared" si="197"/>
        <v>5.161132410853551E+20</v>
      </c>
    </row>
    <row r="596" spans="1:17" x14ac:dyDescent="0.2">
      <c r="A596">
        <f t="shared" si="211"/>
        <v>495</v>
      </c>
      <c r="B596">
        <f t="shared" si="210"/>
        <v>495000</v>
      </c>
      <c r="C596" s="1">
        <f t="shared" si="194"/>
        <v>16024635000</v>
      </c>
      <c r="D596">
        <f t="shared" si="198"/>
        <v>1720.5</v>
      </c>
      <c r="E596" s="2">
        <f t="shared" si="195"/>
        <v>540000</v>
      </c>
      <c r="F596" s="2">
        <f t="shared" si="199"/>
        <v>754344.89</v>
      </c>
      <c r="G596" s="2">
        <f t="shared" si="200"/>
        <v>14304.925199999998</v>
      </c>
      <c r="H596" s="2">
        <f t="shared" si="201"/>
        <v>50067.238199999993</v>
      </c>
      <c r="I596" s="2">
        <f t="shared" si="204"/>
        <v>37.749236186149375</v>
      </c>
      <c r="J596" s="2">
        <f t="shared" si="205"/>
        <v>15.066636729325328</v>
      </c>
      <c r="K596">
        <f t="shared" si="206"/>
        <v>2.47904820509863E+16</v>
      </c>
      <c r="L596" s="13">
        <f t="shared" si="196"/>
        <v>1282141906.9838781</v>
      </c>
      <c r="M596" s="2">
        <f t="shared" si="207"/>
        <v>3494275.8959064456</v>
      </c>
      <c r="N596" s="2">
        <f t="shared" si="208"/>
        <v>1.6177625981320442E+19</v>
      </c>
      <c r="O596" s="2">
        <f t="shared" si="209"/>
        <v>5.115814523528896E+16</v>
      </c>
      <c r="P596" s="2">
        <f t="shared" si="202"/>
        <v>6.5651551905782925E+21</v>
      </c>
      <c r="Q596" s="2">
        <f t="shared" si="197"/>
        <v>5.1926747232847063E+20</v>
      </c>
    </row>
    <row r="597" spans="1:17" x14ac:dyDescent="0.2">
      <c r="A597">
        <f t="shared" si="211"/>
        <v>494</v>
      </c>
      <c r="B597">
        <f t="shared" si="210"/>
        <v>494000</v>
      </c>
      <c r="C597" s="1">
        <f t="shared" si="194"/>
        <v>15992262000</v>
      </c>
      <c r="D597">
        <f t="shared" si="198"/>
        <v>1720</v>
      </c>
      <c r="E597" s="2">
        <f t="shared" si="195"/>
        <v>540000</v>
      </c>
      <c r="F597" s="2">
        <f t="shared" si="199"/>
        <v>753891.66799999995</v>
      </c>
      <c r="G597" s="2">
        <f t="shared" si="200"/>
        <v>14300.767999999998</v>
      </c>
      <c r="H597" s="2">
        <f t="shared" si="201"/>
        <v>50052.687999999995</v>
      </c>
      <c r="I597" s="2">
        <f t="shared" si="204"/>
        <v>37.760209801319768</v>
      </c>
      <c r="J597" s="2">
        <f t="shared" si="205"/>
        <v>15.061961667273495</v>
      </c>
      <c r="K597">
        <f t="shared" si="206"/>
        <v>2.5064021373565492E+16</v>
      </c>
      <c r="L597" s="13">
        <f t="shared" si="196"/>
        <v>1289982299.7044787</v>
      </c>
      <c r="M597" s="2">
        <f t="shared" si="207"/>
        <v>3477978.0656348239</v>
      </c>
      <c r="N597" s="2">
        <f t="shared" si="208"/>
        <v>1.6356130652700717E+19</v>
      </c>
      <c r="O597" s="2">
        <f t="shared" si="209"/>
        <v>5.1722626569830496E+16</v>
      </c>
      <c r="P597" s="2">
        <f t="shared" si="202"/>
        <v>6.5345343156988223E+21</v>
      </c>
      <c r="Q597" s="2">
        <f t="shared" si="197"/>
        <v>5.2244283138031387E+20</v>
      </c>
    </row>
    <row r="598" spans="1:17" x14ac:dyDescent="0.2">
      <c r="A598">
        <f t="shared" si="211"/>
        <v>493</v>
      </c>
      <c r="B598">
        <f t="shared" si="210"/>
        <v>493000</v>
      </c>
      <c r="C598" s="1">
        <f t="shared" si="194"/>
        <v>15959889000</v>
      </c>
      <c r="D598">
        <f t="shared" si="198"/>
        <v>1719.5</v>
      </c>
      <c r="E598" s="2">
        <f t="shared" si="195"/>
        <v>540000</v>
      </c>
      <c r="F598" s="2">
        <f t="shared" si="199"/>
        <v>753438.446</v>
      </c>
      <c r="G598" s="2">
        <f t="shared" si="200"/>
        <v>14296.610799999999</v>
      </c>
      <c r="H598" s="2">
        <f t="shared" si="201"/>
        <v>50038.137799999997</v>
      </c>
      <c r="I598" s="2">
        <f t="shared" si="204"/>
        <v>37.771189798354172</v>
      </c>
      <c r="J598" s="2">
        <f t="shared" si="205"/>
        <v>15.057283886371968</v>
      </c>
      <c r="K598">
        <f t="shared" si="206"/>
        <v>2.5340740662293696E+16</v>
      </c>
      <c r="L598" s="13">
        <f t="shared" si="196"/>
        <v>1297875238.5898001</v>
      </c>
      <c r="M598" s="2">
        <f t="shared" si="207"/>
        <v>3461746.8389217653</v>
      </c>
      <c r="N598" s="2">
        <f t="shared" si="208"/>
        <v>1.6536710487560516E+19</v>
      </c>
      <c r="O598" s="2">
        <f t="shared" si="209"/>
        <v>5.2293670147484528E+16</v>
      </c>
      <c r="P598" s="2">
        <f t="shared" si="202"/>
        <v>6.5040385776749516E+21</v>
      </c>
      <c r="Q598" s="2">
        <f t="shared" si="197"/>
        <v>5.2563947162886904E+20</v>
      </c>
    </row>
    <row r="599" spans="1:17" x14ac:dyDescent="0.2">
      <c r="A599">
        <f t="shared" si="211"/>
        <v>492</v>
      </c>
      <c r="B599">
        <f t="shared" si="210"/>
        <v>492000</v>
      </c>
      <c r="C599" s="1">
        <f t="shared" si="194"/>
        <v>15927516000</v>
      </c>
      <c r="D599">
        <f t="shared" si="198"/>
        <v>1719</v>
      </c>
      <c r="E599" s="2">
        <f t="shared" si="195"/>
        <v>540000</v>
      </c>
      <c r="F599" s="2">
        <f t="shared" si="199"/>
        <v>752985.22399999993</v>
      </c>
      <c r="G599" s="2">
        <f t="shared" si="200"/>
        <v>14292.453599999999</v>
      </c>
      <c r="H599" s="2">
        <f t="shared" si="201"/>
        <v>50023.587599999992</v>
      </c>
      <c r="I599" s="2">
        <f t="shared" si="204"/>
        <v>37.782176182821402</v>
      </c>
      <c r="J599" s="2">
        <f t="shared" si="205"/>
        <v>15.052603384248275</v>
      </c>
      <c r="K599">
        <f t="shared" si="206"/>
        <v>2.5620678719737432E+16</v>
      </c>
      <c r="L599" s="13">
        <f t="shared" si="196"/>
        <v>1305821105.3307459</v>
      </c>
      <c r="M599" s="2">
        <f t="shared" si="207"/>
        <v>3445581.9848178998</v>
      </c>
      <c r="N599" s="2">
        <f t="shared" si="208"/>
        <v>1.671939080744893E+19</v>
      </c>
      <c r="O599" s="2">
        <f t="shared" si="209"/>
        <v>5.2871356042020072E+16</v>
      </c>
      <c r="P599" s="2">
        <f t="shared" si="202"/>
        <v>6.4736675425917568E+21</v>
      </c>
      <c r="Q599" s="2">
        <f t="shared" si="197"/>
        <v>5.2885754765895211E+20</v>
      </c>
    </row>
    <row r="600" spans="1:17" x14ac:dyDescent="0.2">
      <c r="A600">
        <f t="shared" si="211"/>
        <v>491</v>
      </c>
      <c r="B600">
        <f t="shared" si="210"/>
        <v>491000</v>
      </c>
      <c r="C600" s="1">
        <f t="shared" si="194"/>
        <v>15895143000</v>
      </c>
      <c r="D600">
        <f t="shared" si="198"/>
        <v>1718.5</v>
      </c>
      <c r="E600" s="2">
        <f t="shared" si="195"/>
        <v>540000</v>
      </c>
      <c r="F600" s="2">
        <f t="shared" si="199"/>
        <v>752532.00199999998</v>
      </c>
      <c r="G600" s="2">
        <f t="shared" si="200"/>
        <v>14288.296399999999</v>
      </c>
      <c r="H600" s="2">
        <f t="shared" si="201"/>
        <v>50009.037399999994</v>
      </c>
      <c r="I600" s="2">
        <f t="shared" si="204"/>
        <v>37.793168960296768</v>
      </c>
      <c r="J600" s="2">
        <f t="shared" si="205"/>
        <v>15.047920158527187</v>
      </c>
      <c r="K600">
        <f t="shared" si="206"/>
        <v>2.590387484385196E+16</v>
      </c>
      <c r="L600" s="13">
        <f t="shared" si="196"/>
        <v>1313820284.5979676</v>
      </c>
      <c r="M600" s="2">
        <f t="shared" si="207"/>
        <v>3429483.273016952</v>
      </c>
      <c r="N600" s="2">
        <f t="shared" si="208"/>
        <v>1.6904197257192901E+19</v>
      </c>
      <c r="O600" s="2">
        <f t="shared" si="209"/>
        <v>5.3455765349500464E+16</v>
      </c>
      <c r="P600" s="2">
        <f t="shared" si="202"/>
        <v>6.4434207777425845E+21</v>
      </c>
      <c r="Q600" s="2">
        <f t="shared" si="197"/>
        <v>5.320972152621769E+20</v>
      </c>
    </row>
    <row r="601" spans="1:17" x14ac:dyDescent="0.2">
      <c r="A601">
        <f t="shared" si="211"/>
        <v>490</v>
      </c>
      <c r="B601">
        <f t="shared" si="210"/>
        <v>490000</v>
      </c>
      <c r="C601" s="1">
        <f t="shared" si="194"/>
        <v>15862770000</v>
      </c>
      <c r="D601">
        <f t="shared" si="198"/>
        <v>1718</v>
      </c>
      <c r="E601" s="2">
        <f t="shared" si="195"/>
        <v>540000</v>
      </c>
      <c r="F601" s="2">
        <f t="shared" si="199"/>
        <v>752078.78</v>
      </c>
      <c r="G601" s="2">
        <f t="shared" si="200"/>
        <v>14284.139199999998</v>
      </c>
      <c r="H601" s="2">
        <f t="shared" si="201"/>
        <v>49994.487199999996</v>
      </c>
      <c r="I601" s="2">
        <f t="shared" si="204"/>
        <v>37.804168136362051</v>
      </c>
      <c r="J601" s="2">
        <f t="shared" si="205"/>
        <v>15.043234206830711</v>
      </c>
      <c r="K601">
        <f t="shared" si="206"/>
        <v>2.6190368834579544E+16</v>
      </c>
      <c r="L601" s="13">
        <f t="shared" si="196"/>
        <v>1321873164.0667119</v>
      </c>
      <c r="M601" s="2">
        <f t="shared" si="207"/>
        <v>3413450.4738544682</v>
      </c>
      <c r="N601" s="2">
        <f t="shared" si="208"/>
        <v>1.7091155809203081E+19</v>
      </c>
      <c r="O601" s="2">
        <f t="shared" si="209"/>
        <v>5.404698020189968E+16</v>
      </c>
      <c r="P601" s="2">
        <f t="shared" si="202"/>
        <v>6.4132978516266498E+21</v>
      </c>
      <c r="Q601" s="2">
        <f t="shared" si="197"/>
        <v>5.3535863144701834E+20</v>
      </c>
    </row>
    <row r="602" spans="1:17" x14ac:dyDescent="0.2">
      <c r="A602">
        <f t="shared" si="211"/>
        <v>489</v>
      </c>
      <c r="B602">
        <f t="shared" si="210"/>
        <v>489000</v>
      </c>
      <c r="C602" s="1">
        <f t="shared" si="194"/>
        <v>15830397000</v>
      </c>
      <c r="D602">
        <f t="shared" si="198"/>
        <v>1717.5</v>
      </c>
      <c r="E602" s="2">
        <f t="shared" si="195"/>
        <v>540000</v>
      </c>
      <c r="F602" s="2">
        <f t="shared" si="199"/>
        <v>751625.55799999996</v>
      </c>
      <c r="G602" s="2">
        <f t="shared" si="200"/>
        <v>14279.981999999998</v>
      </c>
      <c r="H602" s="2">
        <f t="shared" si="201"/>
        <v>49979.936999999998</v>
      </c>
      <c r="I602" s="2">
        <f t="shared" si="204"/>
        <v>37.815173716605528</v>
      </c>
      <c r="J602" s="2">
        <f t="shared" si="205"/>
        <v>15.038545526778075</v>
      </c>
      <c r="K602">
        <f t="shared" si="206"/>
        <v>2.6480201000540284E+16</v>
      </c>
      <c r="L602" s="13">
        <f t="shared" si="196"/>
        <v>1329980134.4418385</v>
      </c>
      <c r="M602" s="2">
        <f t="shared" si="207"/>
        <v>3397483.3583065025</v>
      </c>
      <c r="N602" s="2">
        <f t="shared" si="208"/>
        <v>1.7280292767840088E+19</v>
      </c>
      <c r="O602" s="2">
        <f t="shared" si="209"/>
        <v>5.4645083780909672E+16</v>
      </c>
      <c r="P602" s="2">
        <f t="shared" si="202"/>
        <v>6.3832983339465787E+21</v>
      </c>
      <c r="Q602" s="2">
        <f t="shared" si="197"/>
        <v>5.3864195444894459E+20</v>
      </c>
    </row>
    <row r="603" spans="1:17" x14ac:dyDescent="0.2">
      <c r="A603">
        <f t="shared" si="211"/>
        <v>488</v>
      </c>
      <c r="B603">
        <f t="shared" si="210"/>
        <v>488000</v>
      </c>
      <c r="C603" s="1">
        <f t="shared" si="194"/>
        <v>15798024000</v>
      </c>
      <c r="D603">
        <f t="shared" si="198"/>
        <v>1717</v>
      </c>
      <c r="E603" s="2">
        <f t="shared" si="195"/>
        <v>540000</v>
      </c>
      <c r="F603" s="2">
        <f t="shared" si="199"/>
        <v>751172.33600000001</v>
      </c>
      <c r="G603" s="2">
        <f t="shared" si="200"/>
        <v>14275.824799999999</v>
      </c>
      <c r="H603" s="2">
        <f t="shared" si="201"/>
        <v>49965.386799999993</v>
      </c>
      <c r="I603" s="2">
        <f t="shared" si="204"/>
        <v>37.826185706622013</v>
      </c>
      <c r="J603" s="2">
        <f t="shared" si="205"/>
        <v>15.033854115985751</v>
      </c>
      <c r="K603">
        <f t="shared" si="206"/>
        <v>2.6773412165816392E+16</v>
      </c>
      <c r="L603" s="13">
        <f t="shared" si="196"/>
        <v>1338141589.4831491</v>
      </c>
      <c r="M603" s="2">
        <f t="shared" si="207"/>
        <v>3381581.6979884221</v>
      </c>
      <c r="N603" s="2">
        <f t="shared" si="208"/>
        <v>1.7471634773841754E+19</v>
      </c>
      <c r="O603" s="2">
        <f t="shared" si="209"/>
        <v>5.5250160331940544E+16</v>
      </c>
      <c r="P603" s="2">
        <f t="shared" si="202"/>
        <v>6.3534217956061579E+21</v>
      </c>
      <c r="Q603" s="2">
        <f t="shared" si="197"/>
        <v>5.4194734374067536E+20</v>
      </c>
    </row>
    <row r="604" spans="1:17" x14ac:dyDescent="0.2">
      <c r="A604">
        <f t="shared" si="211"/>
        <v>487</v>
      </c>
      <c r="B604">
        <f t="shared" si="210"/>
        <v>487000</v>
      </c>
      <c r="C604" s="1">
        <f t="shared" si="194"/>
        <v>15765651000</v>
      </c>
      <c r="D604">
        <f t="shared" si="198"/>
        <v>1716.5</v>
      </c>
      <c r="E604" s="2">
        <f t="shared" si="195"/>
        <v>540000</v>
      </c>
      <c r="F604" s="2">
        <f t="shared" si="199"/>
        <v>750719.11400000006</v>
      </c>
      <c r="G604" s="2">
        <f t="shared" si="200"/>
        <v>14271.667599999999</v>
      </c>
      <c r="H604" s="2">
        <f t="shared" si="201"/>
        <v>49950.836599999995</v>
      </c>
      <c r="I604" s="2">
        <f t="shared" si="204"/>
        <v>37.837204112012813</v>
      </c>
      <c r="J604" s="2">
        <f t="shared" si="205"/>
        <v>15.029159972067417</v>
      </c>
      <c r="K604">
        <f t="shared" si="206"/>
        <v>2.7070043676828336E+16</v>
      </c>
      <c r="L604" s="13">
        <f t="shared" si="196"/>
        <v>1346357926.030838</v>
      </c>
      <c r="M604" s="2">
        <f t="shared" si="207"/>
        <v>3365745.2651535226</v>
      </c>
      <c r="N604" s="2">
        <f t="shared" si="208"/>
        <v>1.7665208808810316E+19</v>
      </c>
      <c r="O604" s="2">
        <f t="shared" si="209"/>
        <v>5.586229517831028E+16</v>
      </c>
      <c r="P604" s="2">
        <f t="shared" si="202"/>
        <v>6.3236678087077318E+21</v>
      </c>
      <c r="Q604" s="2">
        <f t="shared" si="197"/>
        <v>5.4527496004248941E+20</v>
      </c>
    </row>
    <row r="605" spans="1:17" x14ac:dyDescent="0.2">
      <c r="A605">
        <f t="shared" si="211"/>
        <v>486</v>
      </c>
      <c r="B605">
        <f t="shared" si="210"/>
        <v>486000</v>
      </c>
      <c r="C605" s="1">
        <f t="shared" si="194"/>
        <v>15733278000</v>
      </c>
      <c r="D605">
        <f t="shared" si="198"/>
        <v>1716</v>
      </c>
      <c r="E605" s="2">
        <f t="shared" si="195"/>
        <v>540000</v>
      </c>
      <c r="F605" s="2">
        <f t="shared" si="199"/>
        <v>750265.89199999999</v>
      </c>
      <c r="G605" s="2">
        <f t="shared" si="200"/>
        <v>14267.510399999999</v>
      </c>
      <c r="H605" s="2">
        <f t="shared" si="201"/>
        <v>49936.286399999997</v>
      </c>
      <c r="I605" s="2">
        <f t="shared" si="204"/>
        <v>37.848228938385773</v>
      </c>
      <c r="J605" s="2">
        <f t="shared" si="205"/>
        <v>15.024463092633978</v>
      </c>
      <c r="K605">
        <f t="shared" si="206"/>
        <v>2.737013740930876E+16</v>
      </c>
      <c r="L605" s="13">
        <f t="shared" si="196"/>
        <v>1354629544.0312586</v>
      </c>
      <c r="M605" s="2">
        <f t="shared" si="207"/>
        <v>3349973.8326918394</v>
      </c>
      <c r="N605" s="2">
        <f t="shared" si="208"/>
        <v>1.7861042199763421E+19</v>
      </c>
      <c r="O605" s="2">
        <f t="shared" si="209"/>
        <v>5.6481574735636296E+16</v>
      </c>
      <c r="P605" s="2">
        <f t="shared" si="202"/>
        <v>6.2940359465499749E+21</v>
      </c>
      <c r="Q605" s="2">
        <f t="shared" si="197"/>
        <v>5.4862496533265973E+20</v>
      </c>
    </row>
    <row r="606" spans="1:17" x14ac:dyDescent="0.2">
      <c r="A606">
        <f t="shared" si="211"/>
        <v>485</v>
      </c>
      <c r="B606">
        <f t="shared" si="210"/>
        <v>485000</v>
      </c>
      <c r="C606" s="1">
        <f t="shared" si="194"/>
        <v>15700905000</v>
      </c>
      <c r="D606">
        <f t="shared" si="198"/>
        <v>1715.5</v>
      </c>
      <c r="E606" s="2">
        <f t="shared" si="195"/>
        <v>540000</v>
      </c>
      <c r="F606" s="2">
        <f t="shared" si="199"/>
        <v>749812.66999999993</v>
      </c>
      <c r="G606" s="2">
        <f t="shared" si="200"/>
        <v>14263.353199999998</v>
      </c>
      <c r="H606" s="2">
        <f t="shared" si="201"/>
        <v>49921.736199999992</v>
      </c>
      <c r="I606" s="2">
        <f t="shared" si="204"/>
        <v>37.85926019135529</v>
      </c>
      <c r="J606" s="2">
        <f t="shared" si="205"/>
        <v>15.019763475293555</v>
      </c>
      <c r="K606">
        <f t="shared" si="206"/>
        <v>2.767373577537256E+16</v>
      </c>
      <c r="L606" s="13">
        <f t="shared" si="196"/>
        <v>1362956846.562834</v>
      </c>
      <c r="M606" s="2">
        <f t="shared" si="207"/>
        <v>3334267.1741288519</v>
      </c>
      <c r="N606" s="2">
        <f t="shared" si="208"/>
        <v>1.8059162623747867E+19</v>
      </c>
      <c r="O606" s="2">
        <f t="shared" si="209"/>
        <v>5.7108086526425392E+16</v>
      </c>
      <c r="P606" s="2">
        <f t="shared" si="202"/>
        <v>6.2645257836254504E+21</v>
      </c>
      <c r="Q606" s="2">
        <f t="shared" si="197"/>
        <v>5.5199752285794776E+20</v>
      </c>
    </row>
    <row r="607" spans="1:17" x14ac:dyDescent="0.2">
      <c r="A607">
        <f t="shared" si="211"/>
        <v>484</v>
      </c>
      <c r="B607">
        <f t="shared" si="210"/>
        <v>484000</v>
      </c>
      <c r="C607" s="1">
        <f t="shared" si="194"/>
        <v>15668532000</v>
      </c>
      <c r="D607">
        <f t="shared" si="198"/>
        <v>1715</v>
      </c>
      <c r="E607" s="2">
        <f t="shared" si="195"/>
        <v>540000</v>
      </c>
      <c r="F607" s="2">
        <f t="shared" si="199"/>
        <v>749359.44799999997</v>
      </c>
      <c r="G607" s="2">
        <f t="shared" si="200"/>
        <v>14259.195999999998</v>
      </c>
      <c r="H607" s="2">
        <f t="shared" si="201"/>
        <v>49907.185999999994</v>
      </c>
      <c r="I607" s="2">
        <f t="shared" si="204"/>
        <v>37.870297876542274</v>
      </c>
      <c r="J607" s="2">
        <f t="shared" si="205"/>
        <v>15.015061117651475</v>
      </c>
      <c r="K607">
        <f t="shared" si="206"/>
        <v>2.7980881730683872E+16</v>
      </c>
      <c r="L607" s="13">
        <f t="shared" si="196"/>
        <v>1371340239.8622742</v>
      </c>
      <c r="M607" s="2">
        <f t="shared" si="207"/>
        <v>3318625.0636241902</v>
      </c>
      <c r="N607" s="2">
        <f t="shared" si="208"/>
        <v>1.8259598112516592E+19</v>
      </c>
      <c r="O607" s="2">
        <f t="shared" si="209"/>
        <v>5.7741919194863664E+16</v>
      </c>
      <c r="P607" s="2">
        <f t="shared" si="202"/>
        <v>6.2351368956181857E+21</v>
      </c>
      <c r="Q607" s="2">
        <f t="shared" si="197"/>
        <v>5.5539279714422102E+20</v>
      </c>
    </row>
    <row r="608" spans="1:17" x14ac:dyDescent="0.2">
      <c r="A608">
        <f t="shared" si="211"/>
        <v>483</v>
      </c>
      <c r="B608">
        <f t="shared" si="210"/>
        <v>483000</v>
      </c>
      <c r="C608" s="1">
        <f t="shared" ref="C608:C671" si="212">$B$3*$B$1*B608</f>
        <v>15636159000</v>
      </c>
      <c r="D608">
        <f t="shared" si="198"/>
        <v>1714.5</v>
      </c>
      <c r="E608" s="2">
        <f t="shared" ref="E608:E671" si="213">+$B$19+$B$16*0</f>
        <v>540000</v>
      </c>
      <c r="F608" s="2">
        <f t="shared" si="199"/>
        <v>748906.22600000002</v>
      </c>
      <c r="G608" s="2">
        <f t="shared" si="200"/>
        <v>14255.038799999998</v>
      </c>
      <c r="H608" s="2">
        <f t="shared" si="201"/>
        <v>49892.635799999996</v>
      </c>
      <c r="I608" s="2">
        <f t="shared" si="204"/>
        <v>37.881341999574218</v>
      </c>
      <c r="J608" s="2">
        <f t="shared" si="205"/>
        <v>15.010356017310276</v>
      </c>
      <c r="K608">
        <f t="shared" si="206"/>
        <v>2.8291618781725488E+16</v>
      </c>
      <c r="L608" s="13">
        <f t="shared" ref="L608:L671" si="214">EXP((300*1000)/($B$17*D608))</f>
        <v>1379780133.3509839</v>
      </c>
      <c r="M608" s="2">
        <f t="shared" si="207"/>
        <v>3303047.2759703919</v>
      </c>
      <c r="N608" s="2">
        <f t="shared" si="208"/>
        <v>1.8462377057272521E+19</v>
      </c>
      <c r="O608" s="2">
        <f t="shared" si="209"/>
        <v>5.8383162521817848E+16</v>
      </c>
      <c r="P608" s="2">
        <f t="shared" si="202"/>
        <v>6.2058688594013344E+21</v>
      </c>
      <c r="Q608" s="2">
        <f t="shared" ref="Q608:Q671" si="215">$B$12*L608</f>
        <v>5.5881095400714849E+20</v>
      </c>
    </row>
    <row r="609" spans="1:17" x14ac:dyDescent="0.2">
      <c r="A609">
        <f t="shared" si="211"/>
        <v>482</v>
      </c>
      <c r="B609">
        <f t="shared" si="210"/>
        <v>482000</v>
      </c>
      <c r="C609" s="1">
        <f t="shared" si="212"/>
        <v>15603786000</v>
      </c>
      <c r="D609">
        <f t="shared" si="198"/>
        <v>1714</v>
      </c>
      <c r="E609" s="2">
        <f t="shared" si="213"/>
        <v>540000</v>
      </c>
      <c r="F609" s="2">
        <f t="shared" si="199"/>
        <v>748453.00399999996</v>
      </c>
      <c r="G609" s="2">
        <f t="shared" si="200"/>
        <v>14250.881599999999</v>
      </c>
      <c r="H609" s="2">
        <f t="shared" si="201"/>
        <v>49878.085599999991</v>
      </c>
      <c r="I609" s="2">
        <f t="shared" si="204"/>
        <v>37.892392566085178</v>
      </c>
      <c r="J609" s="2">
        <f t="shared" si="205"/>
        <v>15.005648171869694</v>
      </c>
      <c r="K609">
        <f t="shared" si="206"/>
        <v>2.86059909931673E+16</v>
      </c>
      <c r="L609" s="13">
        <f t="shared" si="214"/>
        <v>1388276939.661701</v>
      </c>
      <c r="M609" s="2">
        <f t="shared" si="207"/>
        <v>3287533.5865916205</v>
      </c>
      <c r="N609" s="2">
        <f t="shared" si="208"/>
        <v>1.8667528213476999E+19</v>
      </c>
      <c r="O609" s="2">
        <f t="shared" si="209"/>
        <v>5.9031907440040976E+16</v>
      </c>
      <c r="P609" s="2">
        <f t="shared" si="202"/>
        <v>6.1767212530347687E+21</v>
      </c>
      <c r="Q609" s="2">
        <f t="shared" si="215"/>
        <v>5.6225216056298891E+20</v>
      </c>
    </row>
    <row r="610" spans="1:17" x14ac:dyDescent="0.2">
      <c r="A610">
        <f t="shared" si="211"/>
        <v>481</v>
      </c>
      <c r="B610">
        <f t="shared" si="210"/>
        <v>481000</v>
      </c>
      <c r="C610" s="1">
        <f t="shared" si="212"/>
        <v>15571413000</v>
      </c>
      <c r="D610">
        <f t="shared" si="198"/>
        <v>1713.5</v>
      </c>
      <c r="E610" s="2">
        <f t="shared" si="213"/>
        <v>540000</v>
      </c>
      <c r="F610" s="2">
        <f t="shared" si="199"/>
        <v>747999.78200000001</v>
      </c>
      <c r="G610" s="2">
        <f t="shared" si="200"/>
        <v>14246.724399999999</v>
      </c>
      <c r="H610" s="2">
        <f t="shared" si="201"/>
        <v>49863.535399999993</v>
      </c>
      <c r="I610" s="2">
        <f t="shared" si="204"/>
        <v>37.903449581715783</v>
      </c>
      <c r="J610" s="2">
        <f t="shared" si="205"/>
        <v>15.000937578926665</v>
      </c>
      <c r="K610">
        <f t="shared" si="206"/>
        <v>2.892404299533792E+16</v>
      </c>
      <c r="L610" s="13">
        <f t="shared" si="214"/>
        <v>1396831074.6654062</v>
      </c>
      <c r="M610" s="2">
        <f t="shared" si="207"/>
        <v>3272083.7715423899</v>
      </c>
      <c r="N610" s="2">
        <f t="shared" si="208"/>
        <v>1.88750807057256E+19</v>
      </c>
      <c r="O610" s="2">
        <f t="shared" si="209"/>
        <v>5.9688246049591E+16</v>
      </c>
      <c r="P610" s="2">
        <f t="shared" si="202"/>
        <v>6.1476936557626822E+21</v>
      </c>
      <c r="Q610" s="2">
        <f t="shared" si="215"/>
        <v>5.6571658523948954E+20</v>
      </c>
    </row>
    <row r="611" spans="1:17" x14ac:dyDescent="0.2">
      <c r="A611">
        <f t="shared" si="211"/>
        <v>480</v>
      </c>
      <c r="B611">
        <f t="shared" si="210"/>
        <v>480000</v>
      </c>
      <c r="C611" s="1">
        <f t="shared" si="212"/>
        <v>15539040000</v>
      </c>
      <c r="D611">
        <f t="shared" si="198"/>
        <v>1713</v>
      </c>
      <c r="E611" s="2">
        <f t="shared" si="213"/>
        <v>540000</v>
      </c>
      <c r="F611" s="2">
        <f t="shared" si="199"/>
        <v>747546.56</v>
      </c>
      <c r="G611" s="2">
        <f t="shared" si="200"/>
        <v>14242.567199999998</v>
      </c>
      <c r="H611" s="2">
        <f t="shared" si="201"/>
        <v>49848.985199999996</v>
      </c>
      <c r="I611" s="2">
        <f t="shared" si="204"/>
        <v>37.91451305211325</v>
      </c>
      <c r="J611" s="2">
        <f t="shared" si="205"/>
        <v>14.996224236075324</v>
      </c>
      <c r="K611">
        <f t="shared" si="206"/>
        <v>2.9245819991800588E+16</v>
      </c>
      <c r="L611" s="13">
        <f t="shared" si="214"/>
        <v>1405442957.4984224</v>
      </c>
      <c r="M611" s="2">
        <f t="shared" si="207"/>
        <v>3256697.6075063329</v>
      </c>
      <c r="N611" s="2">
        <f t="shared" si="208"/>
        <v>1.908506403269195E+19</v>
      </c>
      <c r="O611" s="2">
        <f t="shared" si="209"/>
        <v>6.035227163346452E+16</v>
      </c>
      <c r="P611" s="2">
        <f t="shared" si="202"/>
        <v>6.118785648011278E+21</v>
      </c>
      <c r="Q611" s="2">
        <f t="shared" si="215"/>
        <v>5.6920439778686108E+20</v>
      </c>
    </row>
    <row r="612" spans="1:17" x14ac:dyDescent="0.2">
      <c r="A612">
        <f t="shared" si="211"/>
        <v>479</v>
      </c>
      <c r="B612">
        <f t="shared" si="210"/>
        <v>479000</v>
      </c>
      <c r="C612" s="1">
        <f t="shared" si="212"/>
        <v>15506667000</v>
      </c>
      <c r="D612">
        <f t="shared" si="198"/>
        <v>1712.5</v>
      </c>
      <c r="E612" s="2">
        <f t="shared" si="213"/>
        <v>540000</v>
      </c>
      <c r="F612" s="2">
        <f t="shared" si="199"/>
        <v>747093.33799999999</v>
      </c>
      <c r="G612" s="2">
        <f t="shared" si="200"/>
        <v>14238.409999999998</v>
      </c>
      <c r="H612" s="2">
        <f t="shared" si="201"/>
        <v>49834.434999999998</v>
      </c>
      <c r="I612" s="2">
        <f t="shared" si="204"/>
        <v>37.925582982931388</v>
      </c>
      <c r="J612" s="2">
        <f t="shared" si="205"/>
        <v>14.991508140906985</v>
      </c>
      <c r="K612">
        <f t="shared" si="206"/>
        <v>2.9571367767034508E+16</v>
      </c>
      <c r="L612" s="13">
        <f t="shared" si="214"/>
        <v>1414113010.5897994</v>
      </c>
      <c r="M612" s="2">
        <f t="shared" si="207"/>
        <v>3241374.8717948678</v>
      </c>
      <c r="N612" s="2">
        <f t="shared" si="208"/>
        <v>1.9297508072140378E+19</v>
      </c>
      <c r="O612" s="2">
        <f t="shared" si="209"/>
        <v>6.1024078673448216E+16</v>
      </c>
      <c r="P612" s="2">
        <f t="shared" si="202"/>
        <v>6.0899968113862613E+21</v>
      </c>
      <c r="Q612" s="2">
        <f t="shared" si="215"/>
        <v>5.7271576928886876E+20</v>
      </c>
    </row>
    <row r="613" spans="1:17" x14ac:dyDescent="0.2">
      <c r="A613">
        <f t="shared" si="211"/>
        <v>478</v>
      </c>
      <c r="B613">
        <f t="shared" si="210"/>
        <v>478000</v>
      </c>
      <c r="C613" s="1">
        <f t="shared" si="212"/>
        <v>15474294000</v>
      </c>
      <c r="D613">
        <f t="shared" si="198"/>
        <v>1712</v>
      </c>
      <c r="E613" s="2">
        <f t="shared" si="213"/>
        <v>540000</v>
      </c>
      <c r="F613" s="2">
        <f t="shared" si="199"/>
        <v>746640.11599999992</v>
      </c>
      <c r="G613" s="2">
        <f t="shared" si="200"/>
        <v>14234.252799999998</v>
      </c>
      <c r="H613" s="2">
        <f t="shared" si="201"/>
        <v>49819.884799999993</v>
      </c>
      <c r="I613" s="2">
        <f t="shared" si="204"/>
        <v>37.936659379830608</v>
      </c>
      <c r="J613" s="2">
        <f t="shared" si="205"/>
        <v>14.986789291010163</v>
      </c>
      <c r="K613">
        <f t="shared" si="206"/>
        <v>2.9900732694223268E+16</v>
      </c>
      <c r="L613" s="13">
        <f t="shared" si="214"/>
        <v>1422841659.6889284</v>
      </c>
      <c r="M613" s="2">
        <f t="shared" si="207"/>
        <v>3226115.3423460308</v>
      </c>
      <c r="N613" s="2">
        <f t="shared" si="208"/>
        <v>1.9512443086008439E+19</v>
      </c>
      <c r="O613" s="2">
        <f t="shared" si="209"/>
        <v>6.1703762866191152E+16</v>
      </c>
      <c r="P613" s="2">
        <f t="shared" si="202"/>
        <v>6.0613267286706472E+21</v>
      </c>
      <c r="Q613" s="2">
        <f t="shared" si="215"/>
        <v>5.76250872174016E+20</v>
      </c>
    </row>
    <row r="614" spans="1:17" x14ac:dyDescent="0.2">
      <c r="A614">
        <f t="shared" si="211"/>
        <v>477</v>
      </c>
      <c r="B614">
        <f t="shared" si="210"/>
        <v>477000</v>
      </c>
      <c r="C614" s="1">
        <f t="shared" si="212"/>
        <v>15441921000</v>
      </c>
      <c r="D614">
        <f t="shared" si="198"/>
        <v>1711.5</v>
      </c>
      <c r="E614" s="2">
        <f t="shared" si="213"/>
        <v>540000</v>
      </c>
      <c r="F614" s="2">
        <f t="shared" si="199"/>
        <v>746186.89399999997</v>
      </c>
      <c r="G614" s="2">
        <f t="shared" si="200"/>
        <v>14230.095599999999</v>
      </c>
      <c r="H614" s="2">
        <f t="shared" si="201"/>
        <v>49805.334599999995</v>
      </c>
      <c r="I614" s="2">
        <f t="shared" si="204"/>
        <v>37.947742248477944</v>
      </c>
      <c r="J614" s="2">
        <f t="shared" si="205"/>
        <v>14.982067683970545</v>
      </c>
      <c r="K614">
        <f t="shared" si="206"/>
        <v>3.0233961743152416E+16</v>
      </c>
      <c r="L614" s="13">
        <f t="shared" si="214"/>
        <v>1431629333.8933897</v>
      </c>
      <c r="M614" s="2">
        <f t="shared" si="207"/>
        <v>3210918.7977231191</v>
      </c>
      <c r="N614" s="2">
        <f t="shared" si="208"/>
        <v>1.9729899725560648E+19</v>
      </c>
      <c r="O614" s="2">
        <f t="shared" si="209"/>
        <v>6.23914211395024E+16</v>
      </c>
      <c r="P614" s="2">
        <f t="shared" si="202"/>
        <v>6.03277498382221E+21</v>
      </c>
      <c r="Q614" s="2">
        <f t="shared" si="215"/>
        <v>5.7980988022682282E+20</v>
      </c>
    </row>
    <row r="615" spans="1:17" x14ac:dyDescent="0.2">
      <c r="A615">
        <f t="shared" si="211"/>
        <v>476</v>
      </c>
      <c r="B615">
        <f t="shared" si="210"/>
        <v>476000</v>
      </c>
      <c r="C615" s="1">
        <f t="shared" si="212"/>
        <v>15409548000</v>
      </c>
      <c r="D615">
        <f t="shared" si="198"/>
        <v>1711</v>
      </c>
      <c r="E615" s="2">
        <f t="shared" si="213"/>
        <v>540000</v>
      </c>
      <c r="F615" s="2">
        <f t="shared" si="199"/>
        <v>745733.67200000002</v>
      </c>
      <c r="G615" s="2">
        <f t="shared" si="200"/>
        <v>14225.938399999999</v>
      </c>
      <c r="H615" s="2">
        <f t="shared" si="201"/>
        <v>49790.784399999997</v>
      </c>
      <c r="I615" s="2">
        <f t="shared" si="204"/>
        <v>37.958831594547043</v>
      </c>
      <c r="J615" s="2">
        <f t="shared" si="205"/>
        <v>14.977343317370996</v>
      </c>
      <c r="K615">
        <f t="shared" si="206"/>
        <v>3.0571102488216392E+16</v>
      </c>
      <c r="L615" s="13">
        <f t="shared" si="214"/>
        <v>1440476465.6770623</v>
      </c>
      <c r="M615" s="2">
        <f t="shared" si="207"/>
        <v>3195785.0171134793</v>
      </c>
      <c r="N615" s="2">
        <f t="shared" si="208"/>
        <v>1.9949909036613628E+19</v>
      </c>
      <c r="O615" s="2">
        <f t="shared" si="209"/>
        <v>6.3087151668874264E+16</v>
      </c>
      <c r="P615" s="2">
        <f t="shared" si="202"/>
        <v>6.0043411619712095E+21</v>
      </c>
      <c r="Q615" s="2">
        <f t="shared" si="215"/>
        <v>5.8339296859921023E+20</v>
      </c>
    </row>
    <row r="616" spans="1:17" x14ac:dyDescent="0.2">
      <c r="A616">
        <f t="shared" si="211"/>
        <v>475</v>
      </c>
      <c r="B616">
        <f t="shared" si="210"/>
        <v>475000</v>
      </c>
      <c r="C616" s="1">
        <f t="shared" si="212"/>
        <v>15377175000</v>
      </c>
      <c r="D616">
        <f t="shared" si="198"/>
        <v>1710.5</v>
      </c>
      <c r="E616" s="2">
        <f t="shared" si="213"/>
        <v>540000</v>
      </c>
      <c r="F616" s="2">
        <f t="shared" si="199"/>
        <v>745280.45</v>
      </c>
      <c r="G616" s="2">
        <f t="shared" si="200"/>
        <v>14221.781199999998</v>
      </c>
      <c r="H616" s="2">
        <f t="shared" si="201"/>
        <v>49776.234199999992</v>
      </c>
      <c r="I616" s="2">
        <f t="shared" si="204"/>
        <v>37.969927423718211</v>
      </c>
      <c r="J616" s="2">
        <f t="shared" si="205"/>
        <v>14.972616188791559</v>
      </c>
      <c r="K616">
        <f t="shared" si="206"/>
        <v>3.0912203116538868E+16</v>
      </c>
      <c r="L616" s="13">
        <f t="shared" si="214"/>
        <v>1449383490.9184704</v>
      </c>
      <c r="M616" s="2">
        <f t="shared" si="207"/>
        <v>3180713.7803272367</v>
      </c>
      <c r="N616" s="2">
        <f t="shared" si="208"/>
        <v>2.0172502464835199E+19</v>
      </c>
      <c r="O616" s="2">
        <f t="shared" si="209"/>
        <v>6.3791053894239632E+16</v>
      </c>
      <c r="P616" s="2">
        <f t="shared" si="202"/>
        <v>5.9760248494179997E+21</v>
      </c>
      <c r="Q616" s="2">
        <f t="shared" si="215"/>
        <v>5.8700031382198052E+20</v>
      </c>
    </row>
    <row r="617" spans="1:17" x14ac:dyDescent="0.2">
      <c r="A617">
        <f t="shared" si="211"/>
        <v>474</v>
      </c>
      <c r="B617">
        <f t="shared" si="210"/>
        <v>474000</v>
      </c>
      <c r="C617" s="1">
        <f t="shared" si="212"/>
        <v>15344802000</v>
      </c>
      <c r="D617">
        <f t="shared" si="198"/>
        <v>1710</v>
      </c>
      <c r="E617" s="2">
        <f t="shared" si="213"/>
        <v>540000</v>
      </c>
      <c r="F617" s="2">
        <f t="shared" si="199"/>
        <v>744827.228</v>
      </c>
      <c r="G617" s="2">
        <f t="shared" si="200"/>
        <v>14217.623999999998</v>
      </c>
      <c r="H617" s="2">
        <f t="shared" si="201"/>
        <v>49761.683999999994</v>
      </c>
      <c r="I617" s="2">
        <f t="shared" si="204"/>
        <v>37.981029741678363</v>
      </c>
      <c r="J617" s="2">
        <f t="shared" si="205"/>
        <v>14.967886295809445</v>
      </c>
      <c r="K617">
        <f t="shared" si="206"/>
        <v>3.125731243620372E+16</v>
      </c>
      <c r="L617" s="13">
        <f t="shared" si="214"/>
        <v>1458350848.9294052</v>
      </c>
      <c r="M617" s="2">
        <f t="shared" si="207"/>
        <v>3165704.8677960429</v>
      </c>
      <c r="N617" s="2">
        <f t="shared" si="208"/>
        <v>2.0397711861115728E+19</v>
      </c>
      <c r="O617" s="2">
        <f t="shared" si="209"/>
        <v>6.4503228536957552E+16</v>
      </c>
      <c r="P617" s="2">
        <f t="shared" si="202"/>
        <v>5.9478256336306774E+21</v>
      </c>
      <c r="Q617" s="2">
        <f t="shared" si="215"/>
        <v>5.9063209381640916E+20</v>
      </c>
    </row>
    <row r="618" spans="1:17" x14ac:dyDescent="0.2">
      <c r="A618">
        <f t="shared" si="211"/>
        <v>473</v>
      </c>
      <c r="B618">
        <f t="shared" si="210"/>
        <v>473000</v>
      </c>
      <c r="C618" s="1">
        <f t="shared" si="212"/>
        <v>15312429000</v>
      </c>
      <c r="D618">
        <f t="shared" si="198"/>
        <v>1709.5</v>
      </c>
      <c r="E618" s="2">
        <f t="shared" si="213"/>
        <v>540000</v>
      </c>
      <c r="F618" s="2">
        <f t="shared" si="199"/>
        <v>744374.00600000005</v>
      </c>
      <c r="G618" s="2">
        <f t="shared" si="200"/>
        <v>14213.466799999998</v>
      </c>
      <c r="H618" s="2">
        <f t="shared" si="201"/>
        <v>49747.133799999996</v>
      </c>
      <c r="I618" s="2">
        <f t="shared" si="204"/>
        <v>37.992138554121084</v>
      </c>
      <c r="J618" s="2">
        <f t="shared" si="205"/>
        <v>14.963153635999028</v>
      </c>
      <c r="K618">
        <f t="shared" si="206"/>
        <v>3.1606479884604604E+16</v>
      </c>
      <c r="L618" s="13">
        <f t="shared" si="214"/>
        <v>1467378982.4837799</v>
      </c>
      <c r="M618" s="2">
        <f t="shared" si="207"/>
        <v>3150758.0605717977</v>
      </c>
      <c r="N618" s="2">
        <f t="shared" si="208"/>
        <v>2.0625569487016829E+19</v>
      </c>
      <c r="O618" s="2">
        <f t="shared" si="209"/>
        <v>6.52237776170436E+16</v>
      </c>
      <c r="P618" s="2">
        <f t="shared" si="202"/>
        <v>5.9197431032426843E+21</v>
      </c>
      <c r="Q618" s="2">
        <f t="shared" si="215"/>
        <v>5.942884879059309E+20</v>
      </c>
    </row>
    <row r="619" spans="1:17" x14ac:dyDescent="0.2">
      <c r="A619">
        <f t="shared" si="211"/>
        <v>472</v>
      </c>
      <c r="B619">
        <f t="shared" si="210"/>
        <v>472000</v>
      </c>
      <c r="C619" s="1">
        <f t="shared" si="212"/>
        <v>15280056000</v>
      </c>
      <c r="D619">
        <f t="shared" si="198"/>
        <v>1709</v>
      </c>
      <c r="E619" s="2">
        <f t="shared" si="213"/>
        <v>540000</v>
      </c>
      <c r="F619" s="2">
        <f t="shared" si="199"/>
        <v>743920.78399999999</v>
      </c>
      <c r="G619" s="2">
        <f t="shared" si="200"/>
        <v>14209.309599999999</v>
      </c>
      <c r="H619" s="2">
        <f t="shared" si="201"/>
        <v>49732.583599999998</v>
      </c>
      <c r="I619" s="2">
        <f t="shared" si="204"/>
        <v>38.003253866746633</v>
      </c>
      <c r="J619" s="2">
        <f t="shared" si="205"/>
        <v>14.958418206931844</v>
      </c>
      <c r="K619">
        <f t="shared" si="206"/>
        <v>3.1959755536909392E+16</v>
      </c>
      <c r="L619" s="13">
        <f t="shared" si="214"/>
        <v>1476468337.8467648</v>
      </c>
      <c r="M619" s="2">
        <f t="shared" si="207"/>
        <v>3135873.1403254028</v>
      </c>
      <c r="N619" s="2">
        <f t="shared" si="208"/>
        <v>2.0856108020295025E+19</v>
      </c>
      <c r="O619" s="2">
        <f t="shared" si="209"/>
        <v>6.5952804470637224E+16</v>
      </c>
      <c r="P619" s="2">
        <f t="shared" si="202"/>
        <v>5.8917768480504582E+21</v>
      </c>
      <c r="Q619" s="2">
        <f t="shared" si="215"/>
        <v>5.979696768279397E+20</v>
      </c>
    </row>
    <row r="620" spans="1:17" x14ac:dyDescent="0.2">
      <c r="A620">
        <f t="shared" si="211"/>
        <v>471</v>
      </c>
      <c r="B620">
        <f t="shared" si="210"/>
        <v>471000</v>
      </c>
      <c r="C620" s="1">
        <f t="shared" si="212"/>
        <v>15247683000</v>
      </c>
      <c r="D620">
        <f t="shared" si="198"/>
        <v>1708.5</v>
      </c>
      <c r="E620" s="2">
        <f t="shared" si="213"/>
        <v>540000</v>
      </c>
      <c r="F620" s="2">
        <f t="shared" si="199"/>
        <v>743467.56199999992</v>
      </c>
      <c r="G620" s="2">
        <f t="shared" si="200"/>
        <v>14205.152399999999</v>
      </c>
      <c r="H620" s="2">
        <f t="shared" si="201"/>
        <v>49718.033399999993</v>
      </c>
      <c r="I620" s="2">
        <f t="shared" si="204"/>
        <v>38.014375685261925</v>
      </c>
      <c r="J620" s="2">
        <f t="shared" si="205"/>
        <v>14.953680006176592</v>
      </c>
      <c r="K620">
        <f t="shared" si="206"/>
        <v>3.2317190114642632E+16</v>
      </c>
      <c r="L620" s="13">
        <f t="shared" si="214"/>
        <v>1485619364.8041334</v>
      </c>
      <c r="M620" s="2">
        <f t="shared" si="207"/>
        <v>3121049.889345529</v>
      </c>
      <c r="N620" s="2">
        <f t="shared" si="208"/>
        <v>2.1089360560502469E+19</v>
      </c>
      <c r="O620" s="2">
        <f t="shared" si="209"/>
        <v>6.6690413767712744E+16</v>
      </c>
      <c r="P620" s="2">
        <f t="shared" si="202"/>
        <v>5.8639264590111242E+21</v>
      </c>
      <c r="Q620" s="2">
        <f t="shared" si="215"/>
        <v>6.0167584274567397E+20</v>
      </c>
    </row>
    <row r="621" spans="1:17" x14ac:dyDescent="0.2">
      <c r="A621">
        <f t="shared" si="211"/>
        <v>470</v>
      </c>
      <c r="B621">
        <f t="shared" si="210"/>
        <v>470000</v>
      </c>
      <c r="C621" s="1">
        <f t="shared" si="212"/>
        <v>15215310000</v>
      </c>
      <c r="D621">
        <f t="shared" si="198"/>
        <v>1708</v>
      </c>
      <c r="E621" s="2">
        <f t="shared" si="213"/>
        <v>540000</v>
      </c>
      <c r="F621" s="2">
        <f t="shared" si="199"/>
        <v>743014.34</v>
      </c>
      <c r="G621" s="2">
        <f t="shared" si="200"/>
        <v>14200.995199999999</v>
      </c>
      <c r="H621" s="2">
        <f t="shared" si="201"/>
        <v>49703.483199999995</v>
      </c>
      <c r="I621" s="2">
        <f t="shared" si="204"/>
        <v>38.025504015380555</v>
      </c>
      <c r="J621" s="2">
        <f t="shared" si="205"/>
        <v>14.948939031299119</v>
      </c>
      <c r="K621">
        <f t="shared" si="206"/>
        <v>3.2678834994389328E+16</v>
      </c>
      <c r="L621" s="13">
        <f t="shared" si="214"/>
        <v>1494832516.6919508</v>
      </c>
      <c r="M621" s="2">
        <f t="shared" si="207"/>
        <v>3106288.0905373255</v>
      </c>
      <c r="N621" s="2">
        <f t="shared" si="208"/>
        <v>2.1325360634666775E+19</v>
      </c>
      <c r="O621" s="2">
        <f t="shared" si="209"/>
        <v>6.74367115300406E+16</v>
      </c>
      <c r="P621" s="2">
        <f t="shared" si="202"/>
        <v>5.8361915282400634E+21</v>
      </c>
      <c r="Q621" s="2">
        <f t="shared" si="215"/>
        <v>6.0540716926024011E+20</v>
      </c>
    </row>
    <row r="622" spans="1:17" x14ac:dyDescent="0.2">
      <c r="A622">
        <f t="shared" si="211"/>
        <v>469</v>
      </c>
      <c r="B622">
        <f t="shared" si="210"/>
        <v>469000</v>
      </c>
      <c r="C622" s="1">
        <f t="shared" si="212"/>
        <v>15182937000</v>
      </c>
      <c r="D622">
        <f t="shared" si="198"/>
        <v>1707.5</v>
      </c>
      <c r="E622" s="2">
        <f t="shared" si="213"/>
        <v>540000</v>
      </c>
      <c r="F622" s="2">
        <f t="shared" si="199"/>
        <v>742561.11800000002</v>
      </c>
      <c r="G622" s="2">
        <f t="shared" si="200"/>
        <v>14196.837999999998</v>
      </c>
      <c r="H622" s="2">
        <f t="shared" si="201"/>
        <v>49688.932999999997</v>
      </c>
      <c r="I622" s="2">
        <f t="shared" si="204"/>
        <v>38.036638862822841</v>
      </c>
      <c r="J622" s="2">
        <f t="shared" si="205"/>
        <v>14.94419527986242</v>
      </c>
      <c r="K622">
        <f t="shared" si="206"/>
        <v>3.304474221662142E+16</v>
      </c>
      <c r="L622" s="13">
        <f t="shared" si="214"/>
        <v>1504108250.4264648</v>
      </c>
      <c r="M622" s="2">
        <f t="shared" si="207"/>
        <v>3091587.5274211778</v>
      </c>
      <c r="N622" s="2">
        <f t="shared" si="208"/>
        <v>2.1564142203050967E+19</v>
      </c>
      <c r="O622" s="2">
        <f t="shared" si="209"/>
        <v>6.8191805149401896E+16</v>
      </c>
      <c r="P622" s="2">
        <f t="shared" si="202"/>
        <v>5.8085716490085854E+21</v>
      </c>
      <c r="Q622" s="2">
        <f t="shared" si="215"/>
        <v>6.0916384142271827E+20</v>
      </c>
    </row>
    <row r="623" spans="1:17" x14ac:dyDescent="0.2">
      <c r="A623">
        <f t="shared" si="211"/>
        <v>468</v>
      </c>
      <c r="B623">
        <f t="shared" si="210"/>
        <v>468000</v>
      </c>
      <c r="C623" s="1">
        <f t="shared" si="212"/>
        <v>15150564000</v>
      </c>
      <c r="D623">
        <f t="shared" si="198"/>
        <v>1707</v>
      </c>
      <c r="E623" s="2">
        <f t="shared" si="213"/>
        <v>540000</v>
      </c>
      <c r="F623" s="2">
        <f t="shared" si="199"/>
        <v>742107.89599999995</v>
      </c>
      <c r="G623" s="2">
        <f t="shared" si="200"/>
        <v>14192.680799999998</v>
      </c>
      <c r="H623" s="2">
        <f t="shared" si="201"/>
        <v>49674.382799999992</v>
      </c>
      <c r="I623" s="2">
        <f t="shared" si="204"/>
        <v>38.047780233315756</v>
      </c>
      <c r="J623" s="2">
        <f t="shared" si="205"/>
        <v>14.939448749426637</v>
      </c>
      <c r="K623">
        <f t="shared" si="206"/>
        <v>3.3414964494644524E+16</v>
      </c>
      <c r="L623" s="13">
        <f t="shared" si="214"/>
        <v>1513447026.534251</v>
      </c>
      <c r="M623" s="2">
        <f t="shared" si="207"/>
        <v>3076947.9841314652</v>
      </c>
      <c r="N623" s="2">
        <f t="shared" si="208"/>
        <v>2.1805739664991883E+19</v>
      </c>
      <c r="O623" s="2">
        <f t="shared" si="209"/>
        <v>6.8955803406051048E+16</v>
      </c>
      <c r="P623" s="2">
        <f t="shared" si="202"/>
        <v>5.7810664157415882E+21</v>
      </c>
      <c r="Q623" s="2">
        <f t="shared" si="215"/>
        <v>6.1294604574637162E+20</v>
      </c>
    </row>
    <row r="624" spans="1:17" x14ac:dyDescent="0.2">
      <c r="A624">
        <f t="shared" si="211"/>
        <v>467</v>
      </c>
      <c r="B624">
        <f t="shared" si="210"/>
        <v>467000</v>
      </c>
      <c r="C624" s="1">
        <f t="shared" si="212"/>
        <v>15118191000</v>
      </c>
      <c r="D624">
        <f t="shared" si="198"/>
        <v>1706.5</v>
      </c>
      <c r="E624" s="2">
        <f t="shared" si="213"/>
        <v>540000</v>
      </c>
      <c r="F624" s="2">
        <f t="shared" si="199"/>
        <v>741654.674</v>
      </c>
      <c r="G624" s="2">
        <f t="shared" si="200"/>
        <v>14188.523599999999</v>
      </c>
      <c r="H624" s="2">
        <f t="shared" si="201"/>
        <v>49659.832599999994</v>
      </c>
      <c r="I624" s="2">
        <f t="shared" si="204"/>
        <v>38.058928132593024</v>
      </c>
      <c r="J624" s="2">
        <f t="shared" si="205"/>
        <v>14.934699437549051</v>
      </c>
      <c r="K624">
        <f t="shared" si="206"/>
        <v>3.3789555223675304E+16</v>
      </c>
      <c r="L624" s="13">
        <f t="shared" si="214"/>
        <v>1522849309.1827106</v>
      </c>
      <c r="M624" s="2">
        <f t="shared" si="207"/>
        <v>3062369.2454153039</v>
      </c>
      <c r="N624" s="2">
        <f t="shared" si="208"/>
        <v>2.2050187864823845E+19</v>
      </c>
      <c r="O624" s="2">
        <f t="shared" si="209"/>
        <v>6.9728816487448024E+16</v>
      </c>
      <c r="P624" s="2">
        <f t="shared" si="202"/>
        <v>5.7536754240152006E+21</v>
      </c>
      <c r="Q624" s="2">
        <f t="shared" si="215"/>
        <v>6.1675397021899778E+20</v>
      </c>
    </row>
    <row r="625" spans="1:17" x14ac:dyDescent="0.2">
      <c r="A625">
        <f t="shared" si="211"/>
        <v>466</v>
      </c>
      <c r="B625">
        <f t="shared" si="210"/>
        <v>466000</v>
      </c>
      <c r="C625" s="1">
        <f t="shared" si="212"/>
        <v>15085818000</v>
      </c>
      <c r="D625">
        <f t="shared" si="198"/>
        <v>1706</v>
      </c>
      <c r="E625" s="2">
        <f t="shared" si="213"/>
        <v>540000</v>
      </c>
      <c r="F625" s="2">
        <f t="shared" si="199"/>
        <v>741201.45200000005</v>
      </c>
      <c r="G625" s="2">
        <f t="shared" si="200"/>
        <v>14184.366399999999</v>
      </c>
      <c r="H625" s="2">
        <f t="shared" si="201"/>
        <v>49645.282399999996</v>
      </c>
      <c r="I625" s="2">
        <f t="shared" si="204"/>
        <v>38.070082566395072</v>
      </c>
      <c r="J625" s="2">
        <f t="shared" si="205"/>
        <v>14.929947341784082</v>
      </c>
      <c r="K625">
        <f t="shared" si="206"/>
        <v>3.4168568490041576E+16</v>
      </c>
      <c r="L625" s="13">
        <f t="shared" si="214"/>
        <v>1532315566.2107642</v>
      </c>
      <c r="M625" s="2">
        <f t="shared" si="207"/>
        <v>3047851.0966312969</v>
      </c>
      <c r="N625" s="2">
        <f t="shared" si="208"/>
        <v>2.2297522097882382E+19</v>
      </c>
      <c r="O625" s="2">
        <f t="shared" si="209"/>
        <v>7.0510956007243912E+16</v>
      </c>
      <c r="P625" s="2">
        <f t="shared" si="202"/>
        <v>5.7263982705544297E+21</v>
      </c>
      <c r="Q625" s="2">
        <f t="shared" si="215"/>
        <v>6.2058780431535951E+20</v>
      </c>
    </row>
    <row r="626" spans="1:17" x14ac:dyDescent="0.2">
      <c r="A626">
        <f t="shared" si="211"/>
        <v>465</v>
      </c>
      <c r="B626">
        <f t="shared" si="210"/>
        <v>465000</v>
      </c>
      <c r="C626" s="1">
        <f t="shared" si="212"/>
        <v>15053445000</v>
      </c>
      <c r="D626">
        <f t="shared" si="198"/>
        <v>1705.5</v>
      </c>
      <c r="E626" s="2">
        <f t="shared" si="213"/>
        <v>540000</v>
      </c>
      <c r="F626" s="2">
        <f t="shared" si="199"/>
        <v>740748.23</v>
      </c>
      <c r="G626" s="2">
        <f t="shared" si="200"/>
        <v>14180.209199999999</v>
      </c>
      <c r="H626" s="2">
        <f t="shared" si="201"/>
        <v>49630.732199999991</v>
      </c>
      <c r="I626" s="2">
        <f t="shared" si="204"/>
        <v>38.081243540469067</v>
      </c>
      <c r="J626" s="2">
        <f t="shared" si="205"/>
        <v>14.925192459683279</v>
      </c>
      <c r="K626">
        <f t="shared" si="206"/>
        <v>3.4552059080514696E+16</v>
      </c>
      <c r="L626" s="13">
        <f t="shared" si="214"/>
        <v>1541846269.1598322</v>
      </c>
      <c r="M626" s="2">
        <f t="shared" si="207"/>
        <v>3033393.3237482836</v>
      </c>
      <c r="N626" s="2">
        <f t="shared" si="208"/>
        <v>2.2547778116594332E+19</v>
      </c>
      <c r="O626" s="2">
        <f t="shared" si="209"/>
        <v>7.1302335024539384E+16</v>
      </c>
      <c r="P626" s="2">
        <f t="shared" si="202"/>
        <v>5.699234553230817E+21</v>
      </c>
      <c r="Q626" s="2">
        <f t="shared" si="215"/>
        <v>6.2444773900973205E+20</v>
      </c>
    </row>
    <row r="627" spans="1:17" x14ac:dyDescent="0.2">
      <c r="A627">
        <f t="shared" si="211"/>
        <v>464</v>
      </c>
      <c r="B627">
        <f t="shared" si="210"/>
        <v>464000</v>
      </c>
      <c r="C627" s="1">
        <f t="shared" si="212"/>
        <v>15021072000</v>
      </c>
      <c r="D627">
        <f t="shared" ref="D627:D690" si="216">IF(A627&gt;$B$4,$B$2+(A627-$B$4)*$B$5,$B$6+(($B$2-$B$6)/$B$4)*(A627))</f>
        <v>1705</v>
      </c>
      <c r="E627" s="2">
        <f t="shared" si="213"/>
        <v>540000</v>
      </c>
      <c r="F627" s="2">
        <f t="shared" ref="F627:F690" si="217">+$F$20+$H$15*C627*(0.000001)</f>
        <v>740295.00800000003</v>
      </c>
      <c r="G627" s="2">
        <f t="shared" ref="G627:G690" si="218">+$B$17*D627</f>
        <v>14176.051999999998</v>
      </c>
      <c r="H627" s="2">
        <f t="shared" ref="H627:H690" si="219">+$B$23*$B$17*D627</f>
        <v>49616.181999999993</v>
      </c>
      <c r="I627" s="2">
        <f t="shared" si="204"/>
        <v>38.092411060568914</v>
      </c>
      <c r="J627" s="2">
        <f t="shared" si="205"/>
        <v>14.920434788795319</v>
      </c>
      <c r="K627">
        <f t="shared" si="206"/>
        <v>3.4940082491771368E+16</v>
      </c>
      <c r="L627" s="13">
        <f t="shared" si="214"/>
        <v>1551441893.3051355</v>
      </c>
      <c r="M627" s="2">
        <f t="shared" si="207"/>
        <v>3018995.7133440934</v>
      </c>
      <c r="N627" s="2">
        <f t="shared" si="208"/>
        <v>2.2800992136652354E+19</v>
      </c>
      <c r="O627" s="2">
        <f t="shared" si="209"/>
        <v>7.2103068063410304E+16</v>
      </c>
      <c r="P627" s="2">
        <f t="shared" ref="P627:P690" si="220">(1000000)*($F$18^(-1/$B$23))*($F$19^((1/$B$23)-1))*M627</f>
        <v>5.6721838710600908E+21</v>
      </c>
      <c r="Q627" s="2">
        <f t="shared" si="215"/>
        <v>6.2833396678857982E+20</v>
      </c>
    </row>
    <row r="628" spans="1:17" x14ac:dyDescent="0.2">
      <c r="A628">
        <f t="shared" si="211"/>
        <v>463</v>
      </c>
      <c r="B628">
        <f t="shared" si="210"/>
        <v>463000</v>
      </c>
      <c r="C628" s="1">
        <f t="shared" si="212"/>
        <v>14988699000</v>
      </c>
      <c r="D628">
        <f t="shared" si="216"/>
        <v>1704.5</v>
      </c>
      <c r="E628" s="2">
        <f t="shared" si="213"/>
        <v>540000</v>
      </c>
      <c r="F628" s="2">
        <f t="shared" si="217"/>
        <v>739841.78599999996</v>
      </c>
      <c r="G628" s="2">
        <f t="shared" si="218"/>
        <v>14171.894799999998</v>
      </c>
      <c r="H628" s="2">
        <f t="shared" si="219"/>
        <v>49601.631799999996</v>
      </c>
      <c r="I628" s="2">
        <f t="shared" ref="I628:I691" si="221">+E628/G628</f>
        <v>38.103585132455265</v>
      </c>
      <c r="J628" s="2">
        <f t="shared" ref="J628:J691" si="222">+F628/H628</f>
        <v>14.915674326666004</v>
      </c>
      <c r="K628">
        <f t="shared" ref="K628:K691" si="223">+EXP(I628)</f>
        <v>3.5332694939989228E+16</v>
      </c>
      <c r="L628" s="13">
        <f t="shared" si="214"/>
        <v>1561102917.687223</v>
      </c>
      <c r="M628" s="2">
        <f t="shared" ref="M628:M691" si="224">+EXP(J628)</f>
        <v>3004658.0526043023</v>
      </c>
      <c r="N628" s="2">
        <f t="shared" ref="N628:N691" si="225">+$B$13*(($B$15/$B$21)^($B$23-1))*K628</f>
        <v>2.3057200843276775E+19</v>
      </c>
      <c r="O628" s="2">
        <f t="shared" ref="O628:O691" si="226">+$B$13*(($B$15/$B$22)^($B$23-1))*K628</f>
        <v>7.2913271132709328E+16</v>
      </c>
      <c r="P628" s="2">
        <f t="shared" si="220"/>
        <v>5.645245824199835E+21</v>
      </c>
      <c r="Q628" s="2">
        <f t="shared" si="215"/>
        <v>6.3224668166332534E+20</v>
      </c>
    </row>
    <row r="629" spans="1:17" x14ac:dyDescent="0.2">
      <c r="A629">
        <f t="shared" si="211"/>
        <v>462</v>
      </c>
      <c r="B629">
        <f t="shared" si="210"/>
        <v>462000</v>
      </c>
      <c r="C629" s="1">
        <f t="shared" si="212"/>
        <v>14956326000</v>
      </c>
      <c r="D629">
        <f t="shared" si="216"/>
        <v>1704</v>
      </c>
      <c r="E629" s="2">
        <f t="shared" si="213"/>
        <v>540000</v>
      </c>
      <c r="F629" s="2">
        <f t="shared" si="217"/>
        <v>739388.56400000001</v>
      </c>
      <c r="G629" s="2">
        <f t="shared" si="218"/>
        <v>14167.737599999999</v>
      </c>
      <c r="H629" s="2">
        <f t="shared" si="219"/>
        <v>49587.081599999998</v>
      </c>
      <c r="I629" s="2">
        <f t="shared" si="221"/>
        <v>38.114765761895541</v>
      </c>
      <c r="J629" s="2">
        <f t="shared" si="222"/>
        <v>14.910911070838257</v>
      </c>
      <c r="K629">
        <f t="shared" si="223"/>
        <v>3.5729953370577384E+16</v>
      </c>
      <c r="L629" s="13">
        <f t="shared" si="214"/>
        <v>1570829825.1438198</v>
      </c>
      <c r="M629" s="2">
        <f t="shared" si="224"/>
        <v>2990380.1293209963</v>
      </c>
      <c r="N629" s="2">
        <f t="shared" si="225"/>
        <v>2.3316441397565465E+19</v>
      </c>
      <c r="O629" s="2">
        <f t="shared" si="226"/>
        <v>7.3733061746146128E+16</v>
      </c>
      <c r="P629" s="2">
        <f t="shared" si="220"/>
        <v>5.6184200139471627E+21</v>
      </c>
      <c r="Q629" s="2">
        <f t="shared" si="215"/>
        <v>6.3618607918324698E+20</v>
      </c>
    </row>
    <row r="630" spans="1:17" x14ac:dyDescent="0.2">
      <c r="A630">
        <f t="shared" si="211"/>
        <v>461</v>
      </c>
      <c r="B630">
        <f t="shared" si="210"/>
        <v>461000</v>
      </c>
      <c r="C630" s="1">
        <f t="shared" si="212"/>
        <v>14923953000</v>
      </c>
      <c r="D630">
        <f t="shared" si="216"/>
        <v>1703.5</v>
      </c>
      <c r="E630" s="2">
        <f t="shared" si="213"/>
        <v>540000</v>
      </c>
      <c r="F630" s="2">
        <f t="shared" si="217"/>
        <v>738935.34199999995</v>
      </c>
      <c r="G630" s="2">
        <f t="shared" si="218"/>
        <v>14163.580399999999</v>
      </c>
      <c r="H630" s="2">
        <f t="shared" si="219"/>
        <v>49572.531399999993</v>
      </c>
      <c r="I630" s="2">
        <f t="shared" si="221"/>
        <v>38.125952954663923</v>
      </c>
      <c r="J630" s="2">
        <f t="shared" si="222"/>
        <v>14.906145018852115</v>
      </c>
      <c r="K630">
        <f t="shared" si="223"/>
        <v>3.6131915468043408E+16</v>
      </c>
      <c r="L630" s="13">
        <f t="shared" si="214"/>
        <v>1580623102.3419447</v>
      </c>
      <c r="M630" s="2">
        <f t="shared" si="224"/>
        <v>2976161.731891511</v>
      </c>
      <c r="N630" s="2">
        <f t="shared" si="225"/>
        <v>2.3578751442932802E+19</v>
      </c>
      <c r="O630" s="2">
        <f t="shared" si="226"/>
        <v>7.4562558942649008E+16</v>
      </c>
      <c r="P630" s="2">
        <f t="shared" si="220"/>
        <v>5.5917060427363469E+21</v>
      </c>
      <c r="Q630" s="2">
        <f t="shared" si="215"/>
        <v>6.401523564484876E+20</v>
      </c>
    </row>
    <row r="631" spans="1:17" x14ac:dyDescent="0.2">
      <c r="A631">
        <f t="shared" si="211"/>
        <v>460</v>
      </c>
      <c r="B631">
        <f t="shared" si="210"/>
        <v>460000</v>
      </c>
      <c r="C631" s="1">
        <f t="shared" si="212"/>
        <v>14891580000</v>
      </c>
      <c r="D631">
        <f t="shared" si="216"/>
        <v>1703</v>
      </c>
      <c r="E631" s="2">
        <f t="shared" si="213"/>
        <v>540000</v>
      </c>
      <c r="F631" s="2">
        <f t="shared" si="217"/>
        <v>738482.12</v>
      </c>
      <c r="G631" s="2">
        <f t="shared" si="218"/>
        <v>14159.423199999999</v>
      </c>
      <c r="H631" s="2">
        <f t="shared" si="219"/>
        <v>49557.981199999995</v>
      </c>
      <c r="I631" s="2">
        <f t="shared" si="221"/>
        <v>38.137146716541395</v>
      </c>
      <c r="J631" s="2">
        <f t="shared" si="222"/>
        <v>14.901376168244724</v>
      </c>
      <c r="K631">
        <f t="shared" si="223"/>
        <v>3.6538639666000528E+16</v>
      </c>
      <c r="L631" s="13">
        <f t="shared" si="214"/>
        <v>1590483239.8103101</v>
      </c>
      <c r="M631" s="2">
        <f t="shared" si="224"/>
        <v>2962002.6493171891</v>
      </c>
      <c r="N631" s="2">
        <f t="shared" si="225"/>
        <v>2.3844169111640097E+19</v>
      </c>
      <c r="O631" s="2">
        <f t="shared" si="226"/>
        <v>7.5401883307016048E+16</v>
      </c>
      <c r="P631" s="2">
        <f t="shared" si="220"/>
        <v>5.5651035141364913E+21</v>
      </c>
      <c r="Q631" s="2">
        <f t="shared" si="215"/>
        <v>6.4414571212317563E+20</v>
      </c>
    </row>
    <row r="632" spans="1:17" x14ac:dyDescent="0.2">
      <c r="A632">
        <f t="shared" si="211"/>
        <v>459</v>
      </c>
      <c r="B632">
        <f t="shared" ref="B632:B695" si="227">A632*1000</f>
        <v>459000</v>
      </c>
      <c r="C632" s="1">
        <f t="shared" si="212"/>
        <v>14859207000</v>
      </c>
      <c r="D632">
        <f t="shared" si="216"/>
        <v>1702.5</v>
      </c>
      <c r="E632" s="2">
        <f t="shared" si="213"/>
        <v>540000</v>
      </c>
      <c r="F632" s="2">
        <f t="shared" si="217"/>
        <v>738028.89800000004</v>
      </c>
      <c r="G632" s="2">
        <f t="shared" si="218"/>
        <v>14155.265999999998</v>
      </c>
      <c r="H632" s="2">
        <f t="shared" si="219"/>
        <v>49543.430999999997</v>
      </c>
      <c r="I632" s="2">
        <f t="shared" si="221"/>
        <v>38.14834705331571</v>
      </c>
      <c r="J632" s="2">
        <f t="shared" si="222"/>
        <v>14.896604516550338</v>
      </c>
      <c r="K632">
        <f t="shared" si="223"/>
        <v>3.6950185157313496E+16</v>
      </c>
      <c r="L632" s="13">
        <f t="shared" si="214"/>
        <v>1600410731.972054</v>
      </c>
      <c r="M632" s="2">
        <f t="shared" si="224"/>
        <v>2947902.6712021558</v>
      </c>
      <c r="N632" s="2">
        <f t="shared" si="225"/>
        <v>2.4112733031416521E+19</v>
      </c>
      <c r="O632" s="2">
        <f t="shared" si="226"/>
        <v>7.6251156990852288E+16</v>
      </c>
      <c r="P632" s="2">
        <f t="shared" si="220"/>
        <v>5.5386120328492257E+21</v>
      </c>
      <c r="Q632" s="2">
        <f t="shared" si="215"/>
        <v>6.4816634644868183E+20</v>
      </c>
    </row>
    <row r="633" spans="1:17" x14ac:dyDescent="0.2">
      <c r="A633">
        <f t="shared" si="211"/>
        <v>458</v>
      </c>
      <c r="B633">
        <f t="shared" si="227"/>
        <v>458000</v>
      </c>
      <c r="C633" s="1">
        <f t="shared" si="212"/>
        <v>14826834000</v>
      </c>
      <c r="D633">
        <f t="shared" si="216"/>
        <v>1702</v>
      </c>
      <c r="E633" s="2">
        <f t="shared" si="213"/>
        <v>540000</v>
      </c>
      <c r="F633" s="2">
        <f t="shared" si="217"/>
        <v>737575.67599999998</v>
      </c>
      <c r="G633" s="2">
        <f t="shared" si="218"/>
        <v>14151.108799999998</v>
      </c>
      <c r="H633" s="2">
        <f t="shared" si="219"/>
        <v>49528.880799999992</v>
      </c>
      <c r="I633" s="2">
        <f t="shared" si="221"/>
        <v>38.159553970781431</v>
      </c>
      <c r="J633" s="2">
        <f t="shared" si="222"/>
        <v>14.891830061300317</v>
      </c>
      <c r="K633">
        <f t="shared" si="223"/>
        <v>3.7366611904389824E+16</v>
      </c>
      <c r="L633" s="13">
        <f t="shared" si="214"/>
        <v>1610406077.1776731</v>
      </c>
      <c r="M633" s="2">
        <f t="shared" si="224"/>
        <v>2933861.5877520712</v>
      </c>
      <c r="N633" s="2">
        <f t="shared" si="225"/>
        <v>2.4384482332174905E+19</v>
      </c>
      <c r="O633" s="2">
        <f t="shared" si="226"/>
        <v>7.7110503733806896E+16</v>
      </c>
      <c r="P633" s="2">
        <f t="shared" si="220"/>
        <v>5.5122312047063602E+21</v>
      </c>
      <c r="Q633" s="2">
        <f t="shared" si="215"/>
        <v>6.5221446125695756E+20</v>
      </c>
    </row>
    <row r="634" spans="1:17" x14ac:dyDescent="0.2">
      <c r="A634">
        <f t="shared" si="211"/>
        <v>457</v>
      </c>
      <c r="B634">
        <f t="shared" si="227"/>
        <v>457000</v>
      </c>
      <c r="C634" s="1">
        <f t="shared" si="212"/>
        <v>14794461000</v>
      </c>
      <c r="D634">
        <f t="shared" si="216"/>
        <v>1701.5</v>
      </c>
      <c r="E634" s="2">
        <f t="shared" si="213"/>
        <v>540000</v>
      </c>
      <c r="F634" s="2">
        <f t="shared" si="217"/>
        <v>737122.45400000003</v>
      </c>
      <c r="G634" s="2">
        <f t="shared" si="218"/>
        <v>14146.951599999999</v>
      </c>
      <c r="H634" s="2">
        <f t="shared" si="219"/>
        <v>49514.330599999994</v>
      </c>
      <c r="I634" s="2">
        <f t="shared" si="221"/>
        <v>38.170767474739932</v>
      </c>
      <c r="J634" s="2">
        <f t="shared" si="222"/>
        <v>14.887052800023113</v>
      </c>
      <c r="K634">
        <f t="shared" si="223"/>
        <v>3.7787980649615064E+16</v>
      </c>
      <c r="L634" s="13">
        <f t="shared" si="214"/>
        <v>1620469777.7383785</v>
      </c>
      <c r="M634" s="2">
        <f t="shared" si="224"/>
        <v>2919879.1897728862</v>
      </c>
      <c r="N634" s="2">
        <f t="shared" si="225"/>
        <v>2.4659456652821529E+19</v>
      </c>
      <c r="O634" s="2">
        <f t="shared" si="226"/>
        <v>7.798004888510768E+16</v>
      </c>
      <c r="P634" s="2">
        <f t="shared" si="220"/>
        <v>5.4859606366675513E+21</v>
      </c>
      <c r="Q634" s="2">
        <f t="shared" si="215"/>
        <v>6.5629025998404334E+20</v>
      </c>
    </row>
    <row r="635" spans="1:17" x14ac:dyDescent="0.2">
      <c r="A635">
        <f t="shared" si="211"/>
        <v>456</v>
      </c>
      <c r="B635">
        <f t="shared" si="227"/>
        <v>456000</v>
      </c>
      <c r="C635" s="1">
        <f t="shared" si="212"/>
        <v>14762088000</v>
      </c>
      <c r="D635">
        <f t="shared" si="216"/>
        <v>1701</v>
      </c>
      <c r="E635" s="2">
        <f t="shared" si="213"/>
        <v>540000</v>
      </c>
      <c r="F635" s="2">
        <f t="shared" si="217"/>
        <v>736669.23199999996</v>
      </c>
      <c r="G635" s="2">
        <f t="shared" si="218"/>
        <v>14142.794399999999</v>
      </c>
      <c r="H635" s="2">
        <f t="shared" si="219"/>
        <v>49499.780399999996</v>
      </c>
      <c r="I635" s="2">
        <f t="shared" si="221"/>
        <v>38.181987570999411</v>
      </c>
      <c r="J635" s="2">
        <f t="shared" si="222"/>
        <v>14.882272730244274</v>
      </c>
      <c r="K635">
        <f t="shared" si="223"/>
        <v>3.8214352925935392E+16</v>
      </c>
      <c r="L635" s="13">
        <f t="shared" si="214"/>
        <v>1630602339.9596553</v>
      </c>
      <c r="M635" s="2">
        <f t="shared" si="224"/>
        <v>2905955.2686696001</v>
      </c>
      <c r="N635" s="2">
        <f t="shared" si="225"/>
        <v>2.493769614816204E+19</v>
      </c>
      <c r="O635" s="2">
        <f t="shared" si="226"/>
        <v>7.8859919425399504E+16</v>
      </c>
      <c r="P635" s="2">
        <f t="shared" si="220"/>
        <v>5.4597999368179684E+21</v>
      </c>
      <c r="Q635" s="2">
        <f t="shared" si="215"/>
        <v>6.6039394768366037E+20</v>
      </c>
    </row>
    <row r="636" spans="1:17" x14ac:dyDescent="0.2">
      <c r="A636">
        <f t="shared" si="211"/>
        <v>455</v>
      </c>
      <c r="B636">
        <f t="shared" si="227"/>
        <v>455000</v>
      </c>
      <c r="C636" s="1">
        <f t="shared" si="212"/>
        <v>14729715000</v>
      </c>
      <c r="D636">
        <f t="shared" si="216"/>
        <v>1700.5</v>
      </c>
      <c r="E636" s="2">
        <f t="shared" si="213"/>
        <v>540000</v>
      </c>
      <c r="F636" s="2">
        <f t="shared" si="217"/>
        <v>736216.01</v>
      </c>
      <c r="G636" s="2">
        <f t="shared" si="218"/>
        <v>14138.637199999999</v>
      </c>
      <c r="H636" s="2">
        <f t="shared" si="219"/>
        <v>49485.230199999998</v>
      </c>
      <c r="I636" s="2">
        <f t="shared" si="221"/>
        <v>38.193214265374884</v>
      </c>
      <c r="J636" s="2">
        <f t="shared" si="222"/>
        <v>14.877489849486444</v>
      </c>
      <c r="K636">
        <f t="shared" si="223"/>
        <v>3.864579106758932E+16</v>
      </c>
      <c r="L636" s="13">
        <f t="shared" si="214"/>
        <v>1640804274.1751506</v>
      </c>
      <c r="M636" s="2">
        <f t="shared" si="224"/>
        <v>2892089.6164450613</v>
      </c>
      <c r="N636" s="2">
        <f t="shared" si="225"/>
        <v>2.5219241495904702E+19</v>
      </c>
      <c r="O636" s="2">
        <f t="shared" si="226"/>
        <v>7.9750243988890464E+16</v>
      </c>
      <c r="P636" s="2">
        <f t="shared" si="220"/>
        <v>5.4337487143660358E+21</v>
      </c>
      <c r="Q636" s="2">
        <f t="shared" si="215"/>
        <v>6.6452573104093607E+20</v>
      </c>
    </row>
    <row r="637" spans="1:17" x14ac:dyDescent="0.2">
      <c r="A637">
        <f t="shared" si="211"/>
        <v>454</v>
      </c>
      <c r="B637">
        <f t="shared" si="227"/>
        <v>454000</v>
      </c>
      <c r="C637" s="1">
        <f t="shared" si="212"/>
        <v>14697342000</v>
      </c>
      <c r="D637">
        <f t="shared" si="216"/>
        <v>1700</v>
      </c>
      <c r="E637" s="2">
        <f t="shared" si="213"/>
        <v>540000</v>
      </c>
      <c r="F637" s="2">
        <f t="shared" si="217"/>
        <v>735762.78799999994</v>
      </c>
      <c r="G637" s="2">
        <f t="shared" si="218"/>
        <v>14134.479999999998</v>
      </c>
      <c r="H637" s="2">
        <f t="shared" si="219"/>
        <v>49470.679999999993</v>
      </c>
      <c r="I637" s="2">
        <f t="shared" si="221"/>
        <v>38.204447563688234</v>
      </c>
      <c r="J637" s="2">
        <f t="shared" si="222"/>
        <v>14.872704155269345</v>
      </c>
      <c r="K637">
        <f t="shared" si="223"/>
        <v>3.908235822099264E+16</v>
      </c>
      <c r="L637" s="13">
        <f t="shared" si="214"/>
        <v>1651076094.7808931</v>
      </c>
      <c r="M637" s="2">
        <f t="shared" si="224"/>
        <v>2878282.0256986762</v>
      </c>
      <c r="N637" s="2">
        <f t="shared" si="225"/>
        <v>2.5504133903763616E+19</v>
      </c>
      <c r="O637" s="2">
        <f t="shared" si="226"/>
        <v>8.0651152885814272E+16</v>
      </c>
      <c r="P637" s="2">
        <f t="shared" si="220"/>
        <v>5.4078065796410119E+21</v>
      </c>
      <c r="Q637" s="2">
        <f t="shared" si="215"/>
        <v>6.6868581838626174E+20</v>
      </c>
    </row>
    <row r="638" spans="1:17" x14ac:dyDescent="0.2">
      <c r="A638">
        <f t="shared" si="211"/>
        <v>453</v>
      </c>
      <c r="B638">
        <f t="shared" si="227"/>
        <v>453000</v>
      </c>
      <c r="C638" s="1">
        <f t="shared" si="212"/>
        <v>14664969000</v>
      </c>
      <c r="D638">
        <f t="shared" si="216"/>
        <v>1699.5</v>
      </c>
      <c r="E638" s="2">
        <f t="shared" si="213"/>
        <v>540000</v>
      </c>
      <c r="F638" s="2">
        <f t="shared" si="217"/>
        <v>735309.56599999999</v>
      </c>
      <c r="G638" s="2">
        <f t="shared" si="218"/>
        <v>14130.322799999998</v>
      </c>
      <c r="H638" s="2">
        <f t="shared" si="219"/>
        <v>49456.129799999995</v>
      </c>
      <c r="I638" s="2">
        <f t="shared" si="221"/>
        <v>38.215687471768163</v>
      </c>
      <c r="J638" s="2">
        <f t="shared" si="222"/>
        <v>14.867915645109781</v>
      </c>
      <c r="K638">
        <f t="shared" si="223"/>
        <v>3.9524118355773888E+16</v>
      </c>
      <c r="L638" s="13">
        <f t="shared" si="214"/>
        <v>1661418320.2697587</v>
      </c>
      <c r="M638" s="2">
        <f t="shared" si="224"/>
        <v>2864532.2896252158</v>
      </c>
      <c r="N638" s="2">
        <f t="shared" si="225"/>
        <v>2.5792415116660179E+19</v>
      </c>
      <c r="O638" s="2">
        <f t="shared" si="226"/>
        <v>8.1562778125203312E+16</v>
      </c>
      <c r="P638" s="2">
        <f t="shared" si="220"/>
        <v>5.3819731440907416E+21</v>
      </c>
      <c r="Q638" s="2">
        <f t="shared" si="215"/>
        <v>6.7287441970925234E+20</v>
      </c>
    </row>
    <row r="639" spans="1:17" x14ac:dyDescent="0.2">
      <c r="A639">
        <f t="shared" si="211"/>
        <v>452</v>
      </c>
      <c r="B639">
        <f t="shared" si="227"/>
        <v>452000</v>
      </c>
      <c r="C639" s="1">
        <f t="shared" si="212"/>
        <v>14632596000</v>
      </c>
      <c r="D639">
        <f t="shared" si="216"/>
        <v>1699</v>
      </c>
      <c r="E639" s="2">
        <f t="shared" si="213"/>
        <v>540000</v>
      </c>
      <c r="F639" s="2">
        <f t="shared" si="217"/>
        <v>734856.34400000004</v>
      </c>
      <c r="G639" s="2">
        <f t="shared" si="218"/>
        <v>14126.165599999998</v>
      </c>
      <c r="H639" s="2">
        <f t="shared" si="219"/>
        <v>49441.579599999997</v>
      </c>
      <c r="I639" s="2">
        <f t="shared" si="221"/>
        <v>38.22693399545026</v>
      </c>
      <c r="J639" s="2">
        <f t="shared" si="222"/>
        <v>14.863124316521636</v>
      </c>
      <c r="K639">
        <f t="shared" si="223"/>
        <v>3.9971136275970056E+16</v>
      </c>
      <c r="L639" s="13">
        <f t="shared" si="214"/>
        <v>1671831473.2663436</v>
      </c>
      <c r="M639" s="2">
        <f t="shared" si="224"/>
        <v>2850840.202013575</v>
      </c>
      <c r="N639" s="2">
        <f t="shared" si="225"/>
        <v>2.608412742402911E+19</v>
      </c>
      <c r="O639" s="2">
        <f t="shared" si="226"/>
        <v>8.2485253437992256E+16</v>
      </c>
      <c r="P639" s="2">
        <f t="shared" si="220"/>
        <v>5.3562480202793322E+21</v>
      </c>
      <c r="Q639" s="2">
        <f t="shared" si="215"/>
        <v>6.7709174667286911E+20</v>
      </c>
    </row>
    <row r="640" spans="1:17" x14ac:dyDescent="0.2">
      <c r="A640">
        <f t="shared" si="211"/>
        <v>451</v>
      </c>
      <c r="B640">
        <f t="shared" si="227"/>
        <v>451000</v>
      </c>
      <c r="C640" s="1">
        <f t="shared" si="212"/>
        <v>14600223000</v>
      </c>
      <c r="D640">
        <f t="shared" si="216"/>
        <v>1698.5</v>
      </c>
      <c r="E640" s="2">
        <f t="shared" si="213"/>
        <v>540000</v>
      </c>
      <c r="F640" s="2">
        <f t="shared" si="217"/>
        <v>734403.12199999997</v>
      </c>
      <c r="G640" s="2">
        <f t="shared" si="218"/>
        <v>14122.008399999999</v>
      </c>
      <c r="H640" s="2">
        <f t="shared" si="219"/>
        <v>49427.029399999992</v>
      </c>
      <c r="I640" s="2">
        <f t="shared" si="221"/>
        <v>38.238187140576976</v>
      </c>
      <c r="J640" s="2">
        <f t="shared" si="222"/>
        <v>14.858330167015865</v>
      </c>
      <c r="K640">
        <f t="shared" si="223"/>
        <v>4.0423477631377352E+16</v>
      </c>
      <c r="L640" s="13">
        <f t="shared" si="214"/>
        <v>1682316080.5620458</v>
      </c>
      <c r="M640" s="2">
        <f t="shared" si="224"/>
        <v>2837205.5572455269</v>
      </c>
      <c r="N640" s="2">
        <f t="shared" si="225"/>
        <v>2.6379313667225686E+19</v>
      </c>
      <c r="O640" s="2">
        <f t="shared" si="226"/>
        <v>8.3418714300441808E+16</v>
      </c>
      <c r="P640" s="2">
        <f t="shared" si="220"/>
        <v>5.3306308218848071E+21</v>
      </c>
      <c r="Q640" s="2">
        <f t="shared" si="215"/>
        <v>6.8133801262762859E+20</v>
      </c>
    </row>
    <row r="641" spans="1:17" x14ac:dyDescent="0.2">
      <c r="A641">
        <f t="shared" ref="A641:A704" si="228">+A640-1</f>
        <v>450</v>
      </c>
      <c r="B641">
        <f t="shared" si="227"/>
        <v>450000</v>
      </c>
      <c r="C641" s="1">
        <f t="shared" si="212"/>
        <v>14567850000</v>
      </c>
      <c r="D641">
        <f t="shared" si="216"/>
        <v>1698</v>
      </c>
      <c r="E641" s="2">
        <f t="shared" si="213"/>
        <v>540000</v>
      </c>
      <c r="F641" s="2">
        <f t="shared" si="217"/>
        <v>733949.9</v>
      </c>
      <c r="G641" s="2">
        <f t="shared" si="218"/>
        <v>14117.851199999999</v>
      </c>
      <c r="H641" s="2">
        <f t="shared" si="219"/>
        <v>49412.479199999994</v>
      </c>
      <c r="I641" s="2">
        <f t="shared" si="221"/>
        <v>38.249446912997641</v>
      </c>
      <c r="J641" s="2">
        <f t="shared" si="222"/>
        <v>14.853533194100491</v>
      </c>
      <c r="K641">
        <f t="shared" si="223"/>
        <v>4.088120892906404E+16</v>
      </c>
      <c r="L641" s="13">
        <f t="shared" si="214"/>
        <v>1692872673.150538</v>
      </c>
      <c r="M641" s="2">
        <f t="shared" si="224"/>
        <v>2823628.1502945162</v>
      </c>
      <c r="N641" s="2">
        <f t="shared" si="225"/>
        <v>2.6678017247038693E+19</v>
      </c>
      <c r="O641" s="2">
        <f t="shared" si="226"/>
        <v>8.43632979578968E+16</v>
      </c>
      <c r="P641" s="2">
        <f t="shared" si="220"/>
        <v>5.3051211636968417E+21</v>
      </c>
      <c r="Q641" s="2">
        <f t="shared" si="215"/>
        <v>6.8561343262596792E+20</v>
      </c>
    </row>
    <row r="642" spans="1:17" x14ac:dyDescent="0.2">
      <c r="A642">
        <f t="shared" si="228"/>
        <v>449</v>
      </c>
      <c r="B642">
        <f t="shared" si="227"/>
        <v>449000</v>
      </c>
      <c r="C642" s="1">
        <f t="shared" si="212"/>
        <v>14535477000</v>
      </c>
      <c r="D642">
        <f t="shared" si="216"/>
        <v>1697.5</v>
      </c>
      <c r="E642" s="2">
        <f t="shared" si="213"/>
        <v>540000</v>
      </c>
      <c r="F642" s="2">
        <f t="shared" si="217"/>
        <v>733496.67799999996</v>
      </c>
      <c r="G642" s="2">
        <f t="shared" si="218"/>
        <v>14113.693999999998</v>
      </c>
      <c r="H642" s="2">
        <f t="shared" si="219"/>
        <v>49397.928999999996</v>
      </c>
      <c r="I642" s="2">
        <f t="shared" si="221"/>
        <v>38.260713318568484</v>
      </c>
      <c r="J642" s="2">
        <f t="shared" si="222"/>
        <v>14.8487333952806</v>
      </c>
      <c r="K642">
        <f t="shared" si="223"/>
        <v>4.1344397545046656E+16</v>
      </c>
      <c r="L642" s="13">
        <f t="shared" si="214"/>
        <v>1703501786.2635453</v>
      </c>
      <c r="M642" s="2">
        <f t="shared" si="224"/>
        <v>2810107.7767244074</v>
      </c>
      <c r="N642" s="2">
        <f t="shared" si="225"/>
        <v>2.6980282131310039E+19</v>
      </c>
      <c r="O642" s="2">
        <f t="shared" si="226"/>
        <v>8.5319143448881456E+16</v>
      </c>
      <c r="P642" s="2">
        <f t="shared" si="220"/>
        <v>5.2797186616144094E+21</v>
      </c>
      <c r="Q642" s="2">
        <f t="shared" si="215"/>
        <v>6.8991822343673584E+20</v>
      </c>
    </row>
    <row r="643" spans="1:17" x14ac:dyDescent="0.2">
      <c r="A643">
        <f t="shared" si="228"/>
        <v>448</v>
      </c>
      <c r="B643">
        <f t="shared" si="227"/>
        <v>448000</v>
      </c>
      <c r="C643" s="1">
        <f t="shared" si="212"/>
        <v>14503104000</v>
      </c>
      <c r="D643">
        <f t="shared" si="216"/>
        <v>1697</v>
      </c>
      <c r="E643" s="2">
        <f t="shared" si="213"/>
        <v>540000</v>
      </c>
      <c r="F643" s="2">
        <f t="shared" si="217"/>
        <v>733043.45600000001</v>
      </c>
      <c r="G643" s="2">
        <f t="shared" si="218"/>
        <v>14109.536799999998</v>
      </c>
      <c r="H643" s="2">
        <f t="shared" si="219"/>
        <v>49383.378799999991</v>
      </c>
      <c r="I643" s="2">
        <f t="shared" si="221"/>
        <v>38.271986363152621</v>
      </c>
      <c r="J643" s="2">
        <f t="shared" si="222"/>
        <v>14.843930768058344</v>
      </c>
      <c r="K643">
        <f t="shared" si="223"/>
        <v>4.1813111736130184E+16</v>
      </c>
      <c r="L643" s="13">
        <f t="shared" si="214"/>
        <v>1714203959.4068966</v>
      </c>
      <c r="M643" s="2">
        <f t="shared" si="224"/>
        <v>2796644.2326882849</v>
      </c>
      <c r="N643" s="2">
        <f t="shared" si="225"/>
        <v>2.7286152862661337E+19</v>
      </c>
      <c r="O643" s="2">
        <f t="shared" si="226"/>
        <v>8.6286391629533024E+16</v>
      </c>
      <c r="P643" s="2">
        <f t="shared" si="220"/>
        <v>5.2544229326435291E+21</v>
      </c>
      <c r="Q643" s="2">
        <f t="shared" si="215"/>
        <v>6.9425260355979313E+20</v>
      </c>
    </row>
    <row r="644" spans="1:17" x14ac:dyDescent="0.2">
      <c r="A644">
        <f t="shared" si="228"/>
        <v>447</v>
      </c>
      <c r="B644">
        <f t="shared" si="227"/>
        <v>447000</v>
      </c>
      <c r="C644" s="1">
        <f t="shared" si="212"/>
        <v>14470731000</v>
      </c>
      <c r="D644">
        <f t="shared" si="216"/>
        <v>1696.5</v>
      </c>
      <c r="E644" s="2">
        <f t="shared" si="213"/>
        <v>540000</v>
      </c>
      <c r="F644" s="2">
        <f t="shared" si="217"/>
        <v>732590.23399999994</v>
      </c>
      <c r="G644" s="2">
        <f t="shared" si="218"/>
        <v>14105.379599999998</v>
      </c>
      <c r="H644" s="2">
        <f t="shared" si="219"/>
        <v>49368.828599999993</v>
      </c>
      <c r="I644" s="2">
        <f t="shared" si="221"/>
        <v>38.2832660526201</v>
      </c>
      <c r="J644" s="2">
        <f t="shared" si="222"/>
        <v>14.839125309932916</v>
      </c>
      <c r="K644">
        <f t="shared" si="223"/>
        <v>4.2287420651918864E+16</v>
      </c>
      <c r="L644" s="13">
        <f t="shared" si="214"/>
        <v>1724979736.3969872</v>
      </c>
      <c r="M644" s="2">
        <f t="shared" si="224"/>
        <v>2783237.3149271733</v>
      </c>
      <c r="N644" s="2">
        <f t="shared" si="225"/>
        <v>2.7595674566331863E+19</v>
      </c>
      <c r="O644" s="2">
        <f t="shared" si="226"/>
        <v>8.7265185198387584E+16</v>
      </c>
      <c r="P644" s="2">
        <f t="shared" si="220"/>
        <v>5.2292335948948602E+21</v>
      </c>
      <c r="Q644" s="2">
        <f t="shared" si="215"/>
        <v>6.9861679324077975E+20</v>
      </c>
    </row>
    <row r="645" spans="1:17" x14ac:dyDescent="0.2">
      <c r="A645">
        <f t="shared" si="228"/>
        <v>446</v>
      </c>
      <c r="B645">
        <f t="shared" si="227"/>
        <v>446000</v>
      </c>
      <c r="C645" s="1">
        <f t="shared" si="212"/>
        <v>14438358000</v>
      </c>
      <c r="D645">
        <f t="shared" si="216"/>
        <v>1696</v>
      </c>
      <c r="E645" s="2">
        <f t="shared" si="213"/>
        <v>540000</v>
      </c>
      <c r="F645" s="2">
        <f t="shared" si="217"/>
        <v>732137.01199999999</v>
      </c>
      <c r="G645" s="2">
        <f t="shared" si="218"/>
        <v>14101.222399999999</v>
      </c>
      <c r="H645" s="2">
        <f t="shared" si="219"/>
        <v>49354.278399999996</v>
      </c>
      <c r="I645" s="2">
        <f t="shared" si="221"/>
        <v>38.294552392847876</v>
      </c>
      <c r="J645" s="2">
        <f t="shared" si="222"/>
        <v>14.834317018400577</v>
      </c>
      <c r="K645">
        <f t="shared" si="223"/>
        <v>4.2767394346994048E+16</v>
      </c>
      <c r="L645" s="13">
        <f t="shared" si="214"/>
        <v>1735829665.3975031</v>
      </c>
      <c r="M645" s="2">
        <f t="shared" si="224"/>
        <v>2769886.8207688997</v>
      </c>
      <c r="N645" s="2">
        <f t="shared" si="225"/>
        <v>2.790889295812549E+19</v>
      </c>
      <c r="O645" s="2">
        <f t="shared" si="226"/>
        <v>8.8255668721510432E+16</v>
      </c>
      <c r="P645" s="2">
        <f t="shared" si="220"/>
        <v>5.2041502675815671E+21</v>
      </c>
      <c r="Q645" s="2">
        <f t="shared" si="215"/>
        <v>7.0301101448598874E+20</v>
      </c>
    </row>
    <row r="646" spans="1:17" x14ac:dyDescent="0.2">
      <c r="A646">
        <f t="shared" si="228"/>
        <v>445</v>
      </c>
      <c r="B646">
        <f t="shared" si="227"/>
        <v>445000</v>
      </c>
      <c r="C646" s="1">
        <f t="shared" si="212"/>
        <v>14405985000</v>
      </c>
      <c r="D646">
        <f t="shared" si="216"/>
        <v>1695.5</v>
      </c>
      <c r="E646" s="2">
        <f t="shared" si="213"/>
        <v>540000</v>
      </c>
      <c r="F646" s="2">
        <f t="shared" si="217"/>
        <v>731683.79</v>
      </c>
      <c r="G646" s="2">
        <f t="shared" si="218"/>
        <v>14097.065199999999</v>
      </c>
      <c r="H646" s="2">
        <f t="shared" si="219"/>
        <v>49339.728199999998</v>
      </c>
      <c r="I646" s="2">
        <f t="shared" si="221"/>
        <v>38.305845389719842</v>
      </c>
      <c r="J646" s="2">
        <f t="shared" si="222"/>
        <v>14.829505890954625</v>
      </c>
      <c r="K646">
        <f t="shared" si="223"/>
        <v>4.3253103793267344E+16</v>
      </c>
      <c r="L646" s="13">
        <f t="shared" si="214"/>
        <v>1746754298.9564979</v>
      </c>
      <c r="M646" s="2">
        <f t="shared" si="224"/>
        <v>2756592.5481267832</v>
      </c>
      <c r="N646" s="2">
        <f t="shared" si="225"/>
        <v>2.8225854352472035E+19</v>
      </c>
      <c r="O646" s="2">
        <f t="shared" si="226"/>
        <v>8.9257988657988336E+16</v>
      </c>
      <c r="P646" s="2">
        <f t="shared" si="220"/>
        <v>5.1791725710168503E+21</v>
      </c>
      <c r="Q646" s="2">
        <f t="shared" si="215"/>
        <v>7.0743549107738169E+20</v>
      </c>
    </row>
    <row r="647" spans="1:17" x14ac:dyDescent="0.2">
      <c r="A647">
        <f t="shared" si="228"/>
        <v>444</v>
      </c>
      <c r="B647">
        <f t="shared" si="227"/>
        <v>444000</v>
      </c>
      <c r="C647" s="1">
        <f t="shared" si="212"/>
        <v>14373612000</v>
      </c>
      <c r="D647">
        <f t="shared" si="216"/>
        <v>1695</v>
      </c>
      <c r="E647" s="2">
        <f t="shared" si="213"/>
        <v>540000</v>
      </c>
      <c r="F647" s="2">
        <f t="shared" si="217"/>
        <v>731230.56799999997</v>
      </c>
      <c r="G647" s="2">
        <f t="shared" si="218"/>
        <v>14092.907999999998</v>
      </c>
      <c r="H647" s="2">
        <f t="shared" si="219"/>
        <v>49325.177999999993</v>
      </c>
      <c r="I647" s="2">
        <f t="shared" si="221"/>
        <v>38.317145049126843</v>
      </c>
      <c r="J647" s="2">
        <f t="shared" si="222"/>
        <v>14.824691925085402</v>
      </c>
      <c r="K647">
        <f t="shared" si="223"/>
        <v>4.3744620892508888E+16</v>
      </c>
      <c r="L647" s="13">
        <f t="shared" si="214"/>
        <v>1757754194.0438271</v>
      </c>
      <c r="M647" s="2">
        <f t="shared" si="224"/>
        <v>2743354.2954984638</v>
      </c>
      <c r="N647" s="2">
        <f t="shared" si="225"/>
        <v>2.8546605670602895E+19</v>
      </c>
      <c r="O647" s="2">
        <f t="shared" si="226"/>
        <v>9.0272293385783104E+16</v>
      </c>
      <c r="P647" s="2">
        <f t="shared" si="220"/>
        <v>5.1543001266117547E+21</v>
      </c>
      <c r="Q647" s="2">
        <f t="shared" si="215"/>
        <v>7.1189044858774998E+20</v>
      </c>
    </row>
    <row r="648" spans="1:17" x14ac:dyDescent="0.2">
      <c r="A648">
        <f t="shared" si="228"/>
        <v>443</v>
      </c>
      <c r="B648">
        <f t="shared" si="227"/>
        <v>443000</v>
      </c>
      <c r="C648" s="1">
        <f t="shared" si="212"/>
        <v>14341239000</v>
      </c>
      <c r="D648">
        <f t="shared" si="216"/>
        <v>1694.5</v>
      </c>
      <c r="E648" s="2">
        <f t="shared" si="213"/>
        <v>540000</v>
      </c>
      <c r="F648" s="2">
        <f t="shared" si="217"/>
        <v>730777.34600000002</v>
      </c>
      <c r="G648" s="2">
        <f t="shared" si="218"/>
        <v>14088.750799999998</v>
      </c>
      <c r="H648" s="2">
        <f t="shared" si="219"/>
        <v>49310.627799999995</v>
      </c>
      <c r="I648" s="2">
        <f t="shared" si="221"/>
        <v>38.328451376966655</v>
      </c>
      <c r="J648" s="2">
        <f t="shared" si="222"/>
        <v>14.819875118280285</v>
      </c>
      <c r="K648">
        <f t="shared" si="223"/>
        <v>4.4242018489051488E+16</v>
      </c>
      <c r="L648" s="13">
        <f t="shared" si="214"/>
        <v>1768829912.0888686</v>
      </c>
      <c r="M648" s="2">
        <f t="shared" si="224"/>
        <v>2730171.8619646532</v>
      </c>
      <c r="N648" s="2">
        <f t="shared" si="225"/>
        <v>2.8871194448841429E+19</v>
      </c>
      <c r="O648" s="2">
        <f t="shared" si="226"/>
        <v>9.129873322794816E+16</v>
      </c>
      <c r="P648" s="2">
        <f t="shared" si="220"/>
        <v>5.1295325568728176E+21</v>
      </c>
      <c r="Q648" s="2">
        <f t="shared" si="215"/>
        <v>7.1637611439599177E+20</v>
      </c>
    </row>
    <row r="649" spans="1:17" x14ac:dyDescent="0.2">
      <c r="A649">
        <f t="shared" si="228"/>
        <v>442</v>
      </c>
      <c r="B649">
        <f t="shared" si="227"/>
        <v>442000</v>
      </c>
      <c r="C649" s="1">
        <f t="shared" si="212"/>
        <v>14308866000</v>
      </c>
      <c r="D649">
        <f t="shared" si="216"/>
        <v>1694</v>
      </c>
      <c r="E649" s="2">
        <f t="shared" si="213"/>
        <v>540000</v>
      </c>
      <c r="F649" s="2">
        <f t="shared" si="217"/>
        <v>730324.12399999995</v>
      </c>
      <c r="G649" s="2">
        <f t="shared" si="218"/>
        <v>14084.593599999998</v>
      </c>
      <c r="H649" s="2">
        <f t="shared" si="219"/>
        <v>49296.077599999997</v>
      </c>
      <c r="I649" s="2">
        <f t="shared" si="221"/>
        <v>38.339764379144036</v>
      </c>
      <c r="J649" s="2">
        <f t="shared" si="222"/>
        <v>14.815055468023687</v>
      </c>
      <c r="K649">
        <f t="shared" si="223"/>
        <v>4.474537038267912E+16</v>
      </c>
      <c r="L649" s="13">
        <f t="shared" si="214"/>
        <v>1779982019.0186455</v>
      </c>
      <c r="M649" s="2">
        <f t="shared" si="224"/>
        <v>2717045.0471879346</v>
      </c>
      <c r="N649" s="2">
        <f t="shared" si="225"/>
        <v>2.9199668847013659E+19</v>
      </c>
      <c r="O649" s="2">
        <f t="shared" si="226"/>
        <v>9.2337460479225456E+16</v>
      </c>
      <c r="P649" s="2">
        <f t="shared" si="220"/>
        <v>5.1048694853998142E+21</v>
      </c>
      <c r="Q649" s="2">
        <f t="shared" si="215"/>
        <v>7.2089271770255144E+20</v>
      </c>
    </row>
    <row r="650" spans="1:17" x14ac:dyDescent="0.2">
      <c r="A650">
        <f t="shared" si="228"/>
        <v>441</v>
      </c>
      <c r="B650">
        <f t="shared" si="227"/>
        <v>441000</v>
      </c>
      <c r="C650" s="1">
        <f t="shared" si="212"/>
        <v>14276493000</v>
      </c>
      <c r="D650">
        <f t="shared" si="216"/>
        <v>1693.5</v>
      </c>
      <c r="E650" s="2">
        <f t="shared" si="213"/>
        <v>540000</v>
      </c>
      <c r="F650" s="2">
        <f t="shared" si="217"/>
        <v>729870.902</v>
      </c>
      <c r="G650" s="2">
        <f t="shared" si="218"/>
        <v>14080.436399999999</v>
      </c>
      <c r="H650" s="2">
        <f t="shared" si="219"/>
        <v>49281.527399999992</v>
      </c>
      <c r="I650" s="2">
        <f t="shared" si="221"/>
        <v>38.35108406157071</v>
      </c>
      <c r="J650" s="2">
        <f t="shared" si="222"/>
        <v>14.810232971797058</v>
      </c>
      <c r="K650">
        <f t="shared" si="223"/>
        <v>4.5254751341695328E+16</v>
      </c>
      <c r="L650" s="13">
        <f t="shared" si="214"/>
        <v>1791211085.2962692</v>
      </c>
      <c r="M650" s="2">
        <f t="shared" si="224"/>
        <v>2703973.6514115622</v>
      </c>
      <c r="N650" s="2">
        <f t="shared" si="225"/>
        <v>2.953207765697638E+19</v>
      </c>
      <c r="O650" s="2">
        <f t="shared" si="226"/>
        <v>9.3388629433013712E+16</v>
      </c>
      <c r="P650" s="2">
        <f t="shared" si="220"/>
        <v>5.0803105368835023E+21</v>
      </c>
      <c r="Q650" s="2">
        <f t="shared" si="215"/>
        <v>7.2544048954498902E+20</v>
      </c>
    </row>
    <row r="651" spans="1:17" x14ac:dyDescent="0.2">
      <c r="A651">
        <f t="shared" si="228"/>
        <v>440</v>
      </c>
      <c r="B651">
        <f t="shared" si="227"/>
        <v>440000</v>
      </c>
      <c r="C651" s="1">
        <f t="shared" si="212"/>
        <v>14244120000</v>
      </c>
      <c r="D651">
        <f t="shared" si="216"/>
        <v>1693</v>
      </c>
      <c r="E651" s="2">
        <f t="shared" si="213"/>
        <v>540000</v>
      </c>
      <c r="F651" s="2">
        <f t="shared" si="217"/>
        <v>729417.67999999993</v>
      </c>
      <c r="G651" s="2">
        <f t="shared" si="218"/>
        <v>14076.279199999999</v>
      </c>
      <c r="H651" s="2">
        <f t="shared" si="219"/>
        <v>49266.977199999994</v>
      </c>
      <c r="I651" s="2">
        <f t="shared" si="221"/>
        <v>38.362410430165383</v>
      </c>
      <c r="J651" s="2">
        <f t="shared" si="222"/>
        <v>14.805407627078855</v>
      </c>
      <c r="K651">
        <f t="shared" si="223"/>
        <v>4.5770237116179456E+16</v>
      </c>
      <c r="L651" s="13">
        <f t="shared" si="214"/>
        <v>1802517685.9597137</v>
      </c>
      <c r="M651" s="2">
        <f t="shared" si="224"/>
        <v>2690957.4754581661</v>
      </c>
      <c r="N651" s="2">
        <f t="shared" si="225"/>
        <v>2.9868470311267815E+19</v>
      </c>
      <c r="O651" s="2">
        <f t="shared" si="226"/>
        <v>9.4452396408724272E+16</v>
      </c>
      <c r="P651" s="2">
        <f t="shared" si="220"/>
        <v>5.0558553371031907E+21</v>
      </c>
      <c r="Q651" s="2">
        <f t="shared" si="215"/>
        <v>7.3001966281368404E+20</v>
      </c>
    </row>
    <row r="652" spans="1:17" x14ac:dyDescent="0.2">
      <c r="A652">
        <f t="shared" si="228"/>
        <v>439</v>
      </c>
      <c r="B652">
        <f t="shared" si="227"/>
        <v>439000</v>
      </c>
      <c r="C652" s="1">
        <f t="shared" si="212"/>
        <v>14211747000</v>
      </c>
      <c r="D652">
        <f t="shared" si="216"/>
        <v>1692.5</v>
      </c>
      <c r="E652" s="2">
        <f t="shared" si="213"/>
        <v>540000</v>
      </c>
      <c r="F652" s="2">
        <f t="shared" si="217"/>
        <v>728964.45799999998</v>
      </c>
      <c r="G652" s="2">
        <f t="shared" si="218"/>
        <v>14072.121999999999</v>
      </c>
      <c r="H652" s="2">
        <f t="shared" si="219"/>
        <v>49252.426999999996</v>
      </c>
      <c r="I652" s="2">
        <f t="shared" si="221"/>
        <v>38.373743490853762</v>
      </c>
      <c r="J652" s="2">
        <f t="shared" si="222"/>
        <v>14.800579431344572</v>
      </c>
      <c r="K652">
        <f t="shared" si="223"/>
        <v>4.6291904451431424E+16</v>
      </c>
      <c r="L652" s="13">
        <f t="shared" si="214"/>
        <v>1813902400.6609597</v>
      </c>
      <c r="M652" s="2">
        <f t="shared" si="224"/>
        <v>2677996.3207286336</v>
      </c>
      <c r="N652" s="2">
        <f t="shared" si="225"/>
        <v>3.0208896891881349E+19</v>
      </c>
      <c r="O652" s="2">
        <f t="shared" si="226"/>
        <v>9.5528919779525952E+16</v>
      </c>
      <c r="P652" s="2">
        <f t="shared" si="220"/>
        <v>5.0315035129246353E+21</v>
      </c>
      <c r="Q652" s="2">
        <f t="shared" si="215"/>
        <v>7.3463047226768871E+20</v>
      </c>
    </row>
    <row r="653" spans="1:17" x14ac:dyDescent="0.2">
      <c r="A653">
        <f t="shared" si="228"/>
        <v>438</v>
      </c>
      <c r="B653">
        <f t="shared" si="227"/>
        <v>438000</v>
      </c>
      <c r="C653" s="1">
        <f t="shared" si="212"/>
        <v>14179374000</v>
      </c>
      <c r="D653">
        <f t="shared" si="216"/>
        <v>1692</v>
      </c>
      <c r="E653" s="2">
        <f t="shared" si="213"/>
        <v>540000</v>
      </c>
      <c r="F653" s="2">
        <f t="shared" si="217"/>
        <v>728511.23600000003</v>
      </c>
      <c r="G653" s="2">
        <f t="shared" si="218"/>
        <v>14067.964799999998</v>
      </c>
      <c r="H653" s="2">
        <f t="shared" si="219"/>
        <v>49237.876799999998</v>
      </c>
      <c r="I653" s="2">
        <f t="shared" si="221"/>
        <v>38.385083249568559</v>
      </c>
      <c r="J653" s="2">
        <f t="shared" si="222"/>
        <v>14.795748382066712</v>
      </c>
      <c r="K653">
        <f t="shared" si="223"/>
        <v>4.6819831101607672E+16</v>
      </c>
      <c r="L653" s="13">
        <f t="shared" si="214"/>
        <v>1825365813.705507</v>
      </c>
      <c r="M653" s="2">
        <f t="shared" si="224"/>
        <v>2665089.9892008402</v>
      </c>
      <c r="N653" s="2">
        <f t="shared" si="225"/>
        <v>3.0553408139163972E+19</v>
      </c>
      <c r="O653" s="2">
        <f t="shared" si="226"/>
        <v>9.6618360000484528E+16</v>
      </c>
      <c r="P653" s="2">
        <f t="shared" si="220"/>
        <v>5.0072546922976552E+21</v>
      </c>
      <c r="Q653" s="2">
        <f t="shared" si="215"/>
        <v>7.3927315455073033E+20</v>
      </c>
    </row>
    <row r="654" spans="1:17" x14ac:dyDescent="0.2">
      <c r="A654">
        <f t="shared" si="228"/>
        <v>437</v>
      </c>
      <c r="B654">
        <f t="shared" si="227"/>
        <v>437000</v>
      </c>
      <c r="C654" s="1">
        <f t="shared" si="212"/>
        <v>14147001000</v>
      </c>
      <c r="D654">
        <f t="shared" si="216"/>
        <v>1691.5</v>
      </c>
      <c r="E654" s="2">
        <f t="shared" si="213"/>
        <v>540000</v>
      </c>
      <c r="F654" s="2">
        <f t="shared" si="217"/>
        <v>728058.01399999997</v>
      </c>
      <c r="G654" s="2">
        <f t="shared" si="218"/>
        <v>14063.807599999998</v>
      </c>
      <c r="H654" s="2">
        <f t="shared" si="219"/>
        <v>49223.326599999993</v>
      </c>
      <c r="I654" s="2">
        <f t="shared" si="221"/>
        <v>38.396429712249478</v>
      </c>
      <c r="J654" s="2">
        <f t="shared" si="222"/>
        <v>14.790914476714788</v>
      </c>
      <c r="K654">
        <f t="shared" si="223"/>
        <v>4.7354095843550512E+16</v>
      </c>
      <c r="L654" s="13">
        <f t="shared" si="214"/>
        <v>1836908514.0922079</v>
      </c>
      <c r="M654" s="2">
        <f t="shared" si="224"/>
        <v>2652238.2834284287</v>
      </c>
      <c r="N654" s="2">
        <f t="shared" si="225"/>
        <v>3.0902055460840964E+19</v>
      </c>
      <c r="O654" s="2">
        <f t="shared" si="226"/>
        <v>9.7720879637101216E+16</v>
      </c>
      <c r="P654" s="2">
        <f t="shared" si="220"/>
        <v>4.9831085042538381E+21</v>
      </c>
      <c r="Q654" s="2">
        <f t="shared" si="215"/>
        <v>7.4394794820734419E+20</v>
      </c>
    </row>
    <row r="655" spans="1:17" x14ac:dyDescent="0.2">
      <c r="A655">
        <f t="shared" si="228"/>
        <v>436</v>
      </c>
      <c r="B655">
        <f t="shared" si="227"/>
        <v>436000</v>
      </c>
      <c r="C655" s="1">
        <f t="shared" si="212"/>
        <v>14114628000</v>
      </c>
      <c r="D655">
        <f t="shared" si="216"/>
        <v>1691</v>
      </c>
      <c r="E655" s="2">
        <f t="shared" si="213"/>
        <v>540000</v>
      </c>
      <c r="F655" s="2">
        <f t="shared" si="217"/>
        <v>727604.79200000002</v>
      </c>
      <c r="G655" s="2">
        <f t="shared" si="218"/>
        <v>14059.650399999999</v>
      </c>
      <c r="H655" s="2">
        <f t="shared" si="219"/>
        <v>49208.776399999995</v>
      </c>
      <c r="I655" s="2">
        <f t="shared" si="221"/>
        <v>38.407782884843286</v>
      </c>
      <c r="J655" s="2">
        <f t="shared" si="222"/>
        <v>14.786077712755322</v>
      </c>
      <c r="K655">
        <f t="shared" si="223"/>
        <v>4.7894778490818752E+16</v>
      </c>
      <c r="L655" s="13">
        <f t="shared" si="214"/>
        <v>1848531095.5535059</v>
      </c>
      <c r="M655" s="2">
        <f t="shared" si="224"/>
        <v>2639441.0065396312</v>
      </c>
      <c r="N655" s="2">
        <f t="shared" si="225"/>
        <v>3.1254890941171925E+19</v>
      </c>
      <c r="O655" s="2">
        <f t="shared" si="226"/>
        <v>9.8836643394266576E+16</v>
      </c>
      <c r="P655" s="2">
        <f t="shared" si="220"/>
        <v>4.9590645789043311E+21</v>
      </c>
      <c r="Q655" s="2">
        <f t="shared" si="215"/>
        <v>7.4865509369916988E+20</v>
      </c>
    </row>
    <row r="656" spans="1:17" x14ac:dyDescent="0.2">
      <c r="A656">
        <f t="shared" si="228"/>
        <v>435</v>
      </c>
      <c r="B656">
        <f t="shared" si="227"/>
        <v>435000</v>
      </c>
      <c r="C656" s="1">
        <f t="shared" si="212"/>
        <v>14082255000</v>
      </c>
      <c r="D656">
        <f t="shared" si="216"/>
        <v>1690.5</v>
      </c>
      <c r="E656" s="2">
        <f t="shared" si="213"/>
        <v>540000</v>
      </c>
      <c r="F656" s="2">
        <f t="shared" si="217"/>
        <v>727151.57</v>
      </c>
      <c r="G656" s="2">
        <f t="shared" si="218"/>
        <v>14055.493199999999</v>
      </c>
      <c r="H656" s="2">
        <f t="shared" si="219"/>
        <v>49194.226199999997</v>
      </c>
      <c r="I656" s="2">
        <f t="shared" si="221"/>
        <v>38.419142773303754</v>
      </c>
      <c r="J656" s="2">
        <f t="shared" si="222"/>
        <v>14.78123808765184</v>
      </c>
      <c r="K656">
        <f t="shared" si="223"/>
        <v>4.8441959907912504E+16</v>
      </c>
      <c r="L656" s="13">
        <f t="shared" si="214"/>
        <v>1860234156.5960045</v>
      </c>
      <c r="M656" s="2">
        <f t="shared" si="224"/>
        <v>2626697.9622360328</v>
      </c>
      <c r="N656" s="2">
        <f t="shared" si="225"/>
        <v>3.1611967350233498E+19</v>
      </c>
      <c r="O656" s="2">
        <f t="shared" si="226"/>
        <v>9.9965818145615136E+16</v>
      </c>
      <c r="P656" s="2">
        <f t="shared" si="220"/>
        <v>4.9351225474375127E+21</v>
      </c>
      <c r="Q656" s="2">
        <f t="shared" si="215"/>
        <v>7.533948334213818E+20</v>
      </c>
    </row>
    <row r="657" spans="1:17" x14ac:dyDescent="0.2">
      <c r="A657">
        <f t="shared" si="228"/>
        <v>434</v>
      </c>
      <c r="B657">
        <f t="shared" si="227"/>
        <v>434000</v>
      </c>
      <c r="C657" s="1">
        <f t="shared" si="212"/>
        <v>14049882000</v>
      </c>
      <c r="D657">
        <f t="shared" si="216"/>
        <v>1690</v>
      </c>
      <c r="E657" s="2">
        <f t="shared" si="213"/>
        <v>540000</v>
      </c>
      <c r="F657" s="2">
        <f t="shared" si="217"/>
        <v>726698.348</v>
      </c>
      <c r="G657" s="2">
        <f t="shared" si="218"/>
        <v>14051.335999999999</v>
      </c>
      <c r="H657" s="2">
        <f t="shared" si="219"/>
        <v>49179.675999999992</v>
      </c>
      <c r="I657" s="2">
        <f t="shared" si="221"/>
        <v>38.430509383591712</v>
      </c>
      <c r="J657" s="2">
        <f t="shared" si="222"/>
        <v>14.776395598864866</v>
      </c>
      <c r="K657">
        <f t="shared" si="223"/>
        <v>4.8995722024706112E+16</v>
      </c>
      <c r="L657" s="13">
        <f t="shared" si="214"/>
        <v>1872018300.5414419</v>
      </c>
      <c r="M657" s="2">
        <f t="shared" si="224"/>
        <v>2614008.9547913787</v>
      </c>
      <c r="N657" s="2">
        <f t="shared" si="225"/>
        <v>3.1973338153337946E+19</v>
      </c>
      <c r="O657" s="2">
        <f t="shared" si="226"/>
        <v>1.0110857296330944E+17</v>
      </c>
      <c r="P657" s="2">
        <f t="shared" si="220"/>
        <v>4.9112820421167541E+21</v>
      </c>
      <c r="Q657" s="2">
        <f t="shared" si="215"/>
        <v>7.5816741171928393E+20</v>
      </c>
    </row>
    <row r="658" spans="1:17" x14ac:dyDescent="0.2">
      <c r="A658">
        <f t="shared" si="228"/>
        <v>433</v>
      </c>
      <c r="B658">
        <f t="shared" si="227"/>
        <v>433000</v>
      </c>
      <c r="C658" s="1">
        <f t="shared" si="212"/>
        <v>14017509000</v>
      </c>
      <c r="D658">
        <f t="shared" si="216"/>
        <v>1689.5</v>
      </c>
      <c r="E658" s="2">
        <f t="shared" si="213"/>
        <v>540000</v>
      </c>
      <c r="F658" s="2">
        <f t="shared" si="217"/>
        <v>726245.12599999993</v>
      </c>
      <c r="G658" s="2">
        <f t="shared" si="218"/>
        <v>14047.178799999998</v>
      </c>
      <c r="H658" s="2">
        <f t="shared" si="219"/>
        <v>49165.125799999994</v>
      </c>
      <c r="I658" s="2">
        <f t="shared" si="221"/>
        <v>38.44188272167505</v>
      </c>
      <c r="J658" s="2">
        <f t="shared" si="222"/>
        <v>14.771550243851914</v>
      </c>
      <c r="K658">
        <f t="shared" si="223"/>
        <v>4.9556147851085352E+16</v>
      </c>
      <c r="L658" s="13">
        <f t="shared" si="214"/>
        <v>1883884135.5679865</v>
      </c>
      <c r="M658" s="2">
        <f t="shared" si="224"/>
        <v>2601373.7890503397</v>
      </c>
      <c r="N658" s="2">
        <f t="shared" si="225"/>
        <v>3.2339057520584983E+19</v>
      </c>
      <c r="O658" s="2">
        <f t="shared" si="226"/>
        <v>1.0226507914824565E+17</v>
      </c>
      <c r="P658" s="2">
        <f t="shared" si="220"/>
        <v>4.887542696278099E+21</v>
      </c>
      <c r="Q658" s="2">
        <f t="shared" si="215"/>
        <v>7.6297307490503452E+20</v>
      </c>
    </row>
    <row r="659" spans="1:17" x14ac:dyDescent="0.2">
      <c r="A659">
        <f t="shared" si="228"/>
        <v>432</v>
      </c>
      <c r="B659">
        <f t="shared" si="227"/>
        <v>432000</v>
      </c>
      <c r="C659" s="1">
        <f t="shared" si="212"/>
        <v>13985136000</v>
      </c>
      <c r="D659">
        <f t="shared" si="216"/>
        <v>1689</v>
      </c>
      <c r="E659" s="2">
        <f t="shared" si="213"/>
        <v>540000</v>
      </c>
      <c r="F659" s="2">
        <f t="shared" si="217"/>
        <v>725791.90399999998</v>
      </c>
      <c r="G659" s="2">
        <f t="shared" si="218"/>
        <v>14043.021599999998</v>
      </c>
      <c r="H659" s="2">
        <f t="shared" si="219"/>
        <v>49150.575599999996</v>
      </c>
      <c r="I659" s="2">
        <f t="shared" si="221"/>
        <v>38.453262793528715</v>
      </c>
      <c r="J659" s="2">
        <f t="shared" si="222"/>
        <v>14.766702020067493</v>
      </c>
      <c r="K659">
        <f t="shared" si="223"/>
        <v>5.0123321491793016E+16</v>
      </c>
      <c r="L659" s="13">
        <f t="shared" si="214"/>
        <v>1895832274.7519541</v>
      </c>
      <c r="M659" s="2">
        <f t="shared" si="224"/>
        <v>2588792.2704273388</v>
      </c>
      <c r="N659" s="2">
        <f t="shared" si="225"/>
        <v>3.2709180336549642E+19</v>
      </c>
      <c r="O659" s="2">
        <f t="shared" si="226"/>
        <v>1.034355102606893E+17</v>
      </c>
      <c r="P659" s="2">
        <f t="shared" si="220"/>
        <v>4.86390414432806E+21</v>
      </c>
      <c r="Q659" s="2">
        <f t="shared" si="215"/>
        <v>7.6781207127454135E+20</v>
      </c>
    </row>
    <row r="660" spans="1:17" x14ac:dyDescent="0.2">
      <c r="A660">
        <f t="shared" si="228"/>
        <v>431</v>
      </c>
      <c r="B660">
        <f t="shared" si="227"/>
        <v>431000</v>
      </c>
      <c r="C660" s="1">
        <f t="shared" si="212"/>
        <v>13952763000</v>
      </c>
      <c r="D660">
        <f t="shared" si="216"/>
        <v>1688.5</v>
      </c>
      <c r="E660" s="2">
        <f t="shared" si="213"/>
        <v>540000</v>
      </c>
      <c r="F660" s="2">
        <f t="shared" si="217"/>
        <v>725338.68200000003</v>
      </c>
      <c r="G660" s="2">
        <f t="shared" si="218"/>
        <v>14038.864399999999</v>
      </c>
      <c r="H660" s="2">
        <f t="shared" si="219"/>
        <v>49136.025399999991</v>
      </c>
      <c r="I660" s="2">
        <f t="shared" si="221"/>
        <v>38.464649605134731</v>
      </c>
      <c r="J660" s="2">
        <f t="shared" si="222"/>
        <v>14.761850924963095</v>
      </c>
      <c r="K660">
        <f t="shared" si="223"/>
        <v>5.0697328161488328E+16</v>
      </c>
      <c r="L660" s="13">
        <f t="shared" si="214"/>
        <v>1907863336.1099083</v>
      </c>
      <c r="M660" s="2">
        <f t="shared" si="224"/>
        <v>2576264.2049053274</v>
      </c>
      <c r="N660" s="2">
        <f t="shared" si="225"/>
        <v>3.3083762210109649E+19</v>
      </c>
      <c r="O660" s="2">
        <f t="shared" si="226"/>
        <v>1.0462004215135211E+17</v>
      </c>
      <c r="P660" s="2">
        <f t="shared" si="220"/>
        <v>4.8403660217413198E+21</v>
      </c>
      <c r="Q660" s="2">
        <f t="shared" si="215"/>
        <v>7.7268465112451292E+20</v>
      </c>
    </row>
    <row r="661" spans="1:17" x14ac:dyDescent="0.2">
      <c r="A661">
        <f t="shared" si="228"/>
        <v>430</v>
      </c>
      <c r="B661">
        <f t="shared" si="227"/>
        <v>430000</v>
      </c>
      <c r="C661" s="1">
        <f t="shared" si="212"/>
        <v>13920390000</v>
      </c>
      <c r="D661">
        <f t="shared" si="216"/>
        <v>1688</v>
      </c>
      <c r="E661" s="2">
        <f t="shared" si="213"/>
        <v>540000</v>
      </c>
      <c r="F661" s="2">
        <f t="shared" si="217"/>
        <v>724885.46</v>
      </c>
      <c r="G661" s="2">
        <f t="shared" si="218"/>
        <v>14034.707199999999</v>
      </c>
      <c r="H661" s="2">
        <f t="shared" si="219"/>
        <v>49121.475199999993</v>
      </c>
      <c r="I661" s="2">
        <f t="shared" si="221"/>
        <v>38.476043162482227</v>
      </c>
      <c r="J661" s="2">
        <f t="shared" si="222"/>
        <v>14.756996955987185</v>
      </c>
      <c r="K661">
        <f t="shared" si="223"/>
        <v>5.1278254200022144E+16</v>
      </c>
      <c r="L661" s="13">
        <f t="shared" si="214"/>
        <v>1919977942.6410933</v>
      </c>
      <c r="M661" s="2">
        <f t="shared" si="224"/>
        <v>2563789.3990345555</v>
      </c>
      <c r="N661" s="2">
        <f t="shared" si="225"/>
        <v>3.3462859484413612E+19</v>
      </c>
      <c r="O661" s="2">
        <f t="shared" si="226"/>
        <v>1.0581885299291426E+17</v>
      </c>
      <c r="P661" s="2">
        <f t="shared" si="220"/>
        <v>4.8169279650584173E+21</v>
      </c>
      <c r="Q661" s="2">
        <f t="shared" si="215"/>
        <v>7.7759106676964275E+20</v>
      </c>
    </row>
    <row r="662" spans="1:17" x14ac:dyDescent="0.2">
      <c r="A662">
        <f t="shared" si="228"/>
        <v>429</v>
      </c>
      <c r="B662">
        <f t="shared" si="227"/>
        <v>429000</v>
      </c>
      <c r="C662" s="1">
        <f t="shared" si="212"/>
        <v>13888017000</v>
      </c>
      <c r="D662">
        <f t="shared" si="216"/>
        <v>1687.5</v>
      </c>
      <c r="E662" s="2">
        <f t="shared" si="213"/>
        <v>540000</v>
      </c>
      <c r="F662" s="2">
        <f t="shared" si="217"/>
        <v>724432.23800000001</v>
      </c>
      <c r="G662" s="2">
        <f t="shared" si="218"/>
        <v>14030.55</v>
      </c>
      <c r="H662" s="2">
        <f t="shared" si="219"/>
        <v>49106.924999999996</v>
      </c>
      <c r="I662" s="2">
        <f t="shared" si="221"/>
        <v>38.487443471567403</v>
      </c>
      <c r="J662" s="2">
        <f t="shared" si="222"/>
        <v>14.75214011058522</v>
      </c>
      <c r="K662">
        <f t="shared" si="223"/>
        <v>5.1866187087927664E+16</v>
      </c>
      <c r="L662" s="13">
        <f t="shared" si="214"/>
        <v>1932176722.3703175</v>
      </c>
      <c r="M662" s="2">
        <f t="shared" si="224"/>
        <v>2551367.6599314399</v>
      </c>
      <c r="N662" s="2">
        <f t="shared" si="225"/>
        <v>3.3846529246989877E+19</v>
      </c>
      <c r="O662" s="2">
        <f t="shared" si="226"/>
        <v>1.0703212331199128E+17</v>
      </c>
      <c r="P662" s="2">
        <f t="shared" si="220"/>
        <v>4.7935896118836247E+21</v>
      </c>
      <c r="Q662" s="2">
        <f t="shared" si="215"/>
        <v>7.8253157255997856E+20</v>
      </c>
    </row>
    <row r="663" spans="1:17" x14ac:dyDescent="0.2">
      <c r="A663">
        <f t="shared" si="228"/>
        <v>428</v>
      </c>
      <c r="B663">
        <f t="shared" si="227"/>
        <v>428000</v>
      </c>
      <c r="C663" s="1">
        <f t="shared" si="212"/>
        <v>13855644000</v>
      </c>
      <c r="D663">
        <f t="shared" si="216"/>
        <v>1687</v>
      </c>
      <c r="E663" s="2">
        <f t="shared" si="213"/>
        <v>540000</v>
      </c>
      <c r="F663" s="2">
        <f t="shared" si="217"/>
        <v>723979.01600000006</v>
      </c>
      <c r="G663" s="2">
        <f t="shared" si="218"/>
        <v>14026.392799999998</v>
      </c>
      <c r="H663" s="2">
        <f t="shared" si="219"/>
        <v>49092.374799999998</v>
      </c>
      <c r="I663" s="2">
        <f t="shared" si="221"/>
        <v>38.498850538393597</v>
      </c>
      <c r="J663" s="2">
        <f t="shared" si="222"/>
        <v>14.747280386199613</v>
      </c>
      <c r="K663">
        <f t="shared" si="223"/>
        <v>5.2461215462138408E+16</v>
      </c>
      <c r="L663" s="13">
        <f t="shared" si="214"/>
        <v>1944460308.3911738</v>
      </c>
      <c r="M663" s="2">
        <f t="shared" si="224"/>
        <v>2538998.7952772779</v>
      </c>
      <c r="N663" s="2">
        <f t="shared" si="225"/>
        <v>3.4234829340003664E+19</v>
      </c>
      <c r="O663" s="2">
        <f t="shared" si="226"/>
        <v>1.0826003602157008E+17</v>
      </c>
      <c r="P663" s="2">
        <f t="shared" si="220"/>
        <v>4.7703506008825303E+21</v>
      </c>
      <c r="Q663" s="2">
        <f t="shared" si="215"/>
        <v>7.8750642489842545E+20</v>
      </c>
    </row>
    <row r="664" spans="1:17" x14ac:dyDescent="0.2">
      <c r="A664">
        <f t="shared" si="228"/>
        <v>427</v>
      </c>
      <c r="B664">
        <f t="shared" si="227"/>
        <v>427000</v>
      </c>
      <c r="C664" s="1">
        <f t="shared" si="212"/>
        <v>13823271000</v>
      </c>
      <c r="D664">
        <f t="shared" si="216"/>
        <v>1686.5</v>
      </c>
      <c r="E664" s="2">
        <f t="shared" si="213"/>
        <v>540000</v>
      </c>
      <c r="F664" s="2">
        <f t="shared" si="217"/>
        <v>723525.79399999999</v>
      </c>
      <c r="G664" s="2">
        <f t="shared" si="218"/>
        <v>14022.235599999998</v>
      </c>
      <c r="H664" s="2">
        <f t="shared" si="219"/>
        <v>49077.824599999993</v>
      </c>
      <c r="I664" s="2">
        <f t="shared" si="221"/>
        <v>38.510264368971242</v>
      </c>
      <c r="J664" s="2">
        <f t="shared" si="222"/>
        <v>14.742417780269749</v>
      </c>
      <c r="K664">
        <f t="shared" si="223"/>
        <v>5.3063429131925352E+16</v>
      </c>
      <c r="L664" s="13">
        <f t="shared" si="214"/>
        <v>1956829338.9096944</v>
      </c>
      <c r="M664" s="2">
        <f t="shared" si="224"/>
        <v>2526682.6133170975</v>
      </c>
      <c r="N664" s="2">
        <f t="shared" si="225"/>
        <v>3.4627818370657223E+19</v>
      </c>
      <c r="O664" s="2">
        <f t="shared" si="226"/>
        <v>1.0950277645389706E+17</v>
      </c>
      <c r="P664" s="2">
        <f t="shared" si="220"/>
        <v>4.7472105717798734E+21</v>
      </c>
      <c r="Q664" s="2">
        <f t="shared" si="215"/>
        <v>7.9251588225842623E+20</v>
      </c>
    </row>
    <row r="665" spans="1:17" x14ac:dyDescent="0.2">
      <c r="A665">
        <f t="shared" si="228"/>
        <v>426</v>
      </c>
      <c r="B665">
        <f t="shared" si="227"/>
        <v>426000</v>
      </c>
      <c r="C665" s="1">
        <f t="shared" si="212"/>
        <v>13790898000</v>
      </c>
      <c r="D665">
        <f t="shared" si="216"/>
        <v>1686</v>
      </c>
      <c r="E665" s="2">
        <f t="shared" si="213"/>
        <v>540000</v>
      </c>
      <c r="F665" s="2">
        <f t="shared" si="217"/>
        <v>723072.57199999993</v>
      </c>
      <c r="G665" s="2">
        <f t="shared" si="218"/>
        <v>14018.078399999999</v>
      </c>
      <c r="H665" s="2">
        <f t="shared" si="219"/>
        <v>49063.274399999995</v>
      </c>
      <c r="I665" s="2">
        <f t="shared" si="221"/>
        <v>38.52168496931791</v>
      </c>
      <c r="J665" s="2">
        <f t="shared" si="222"/>
        <v>14.737552290231978</v>
      </c>
      <c r="K665">
        <f t="shared" si="223"/>
        <v>5.367291909506768E+16</v>
      </c>
      <c r="L665" s="13">
        <f t="shared" si="214"/>
        <v>1969284457.288384</v>
      </c>
      <c r="M665" s="2">
        <f t="shared" si="224"/>
        <v>2514418.9228584496</v>
      </c>
      <c r="N665" s="2">
        <f t="shared" si="225"/>
        <v>3.5025555721742459E+19</v>
      </c>
      <c r="O665" s="2">
        <f t="shared" si="226"/>
        <v>1.1076053239384843E+17</v>
      </c>
      <c r="P665" s="2">
        <f t="shared" si="220"/>
        <v>4.7241691653572846E+21</v>
      </c>
      <c r="Q665" s="2">
        <f t="shared" si="215"/>
        <v>7.9756020520179545E+20</v>
      </c>
    </row>
    <row r="666" spans="1:17" x14ac:dyDescent="0.2">
      <c r="A666">
        <f t="shared" si="228"/>
        <v>425</v>
      </c>
      <c r="B666">
        <f t="shared" si="227"/>
        <v>425000</v>
      </c>
      <c r="C666" s="1">
        <f t="shared" si="212"/>
        <v>13758525000</v>
      </c>
      <c r="D666">
        <f t="shared" si="216"/>
        <v>1685.5</v>
      </c>
      <c r="E666" s="2">
        <f t="shared" si="213"/>
        <v>540000</v>
      </c>
      <c r="F666" s="2">
        <f t="shared" si="217"/>
        <v>722619.35</v>
      </c>
      <c r="G666" s="2">
        <f t="shared" si="218"/>
        <v>14013.921199999999</v>
      </c>
      <c r="H666" s="2">
        <f t="shared" si="219"/>
        <v>49048.724199999997</v>
      </c>
      <c r="I666" s="2">
        <f t="shared" si="221"/>
        <v>38.533112345458321</v>
      </c>
      <c r="J666" s="2">
        <f t="shared" si="222"/>
        <v>14.73268391351961</v>
      </c>
      <c r="K666">
        <f t="shared" si="223"/>
        <v>5.4289777554253384E+16</v>
      </c>
      <c r="L666" s="13">
        <f t="shared" si="214"/>
        <v>1981826312.0906491</v>
      </c>
      <c r="M666" s="2">
        <f t="shared" si="224"/>
        <v>2502207.5332702124</v>
      </c>
      <c r="N666" s="2">
        <f t="shared" si="225"/>
        <v>3.5428101562343526E+19</v>
      </c>
      <c r="O666" s="2">
        <f t="shared" si="226"/>
        <v>1.1203349411277488E+17</v>
      </c>
      <c r="P666" s="2">
        <f t="shared" si="220"/>
        <v>4.7012260234510289E+21</v>
      </c>
      <c r="Q666" s="2">
        <f t="shared" si="215"/>
        <v>8.0263965639671284E+20</v>
      </c>
    </row>
    <row r="667" spans="1:17" x14ac:dyDescent="0.2">
      <c r="A667">
        <f t="shared" si="228"/>
        <v>424</v>
      </c>
      <c r="B667">
        <f t="shared" si="227"/>
        <v>424000</v>
      </c>
      <c r="C667" s="1">
        <f t="shared" si="212"/>
        <v>13726152000</v>
      </c>
      <c r="D667">
        <f t="shared" si="216"/>
        <v>1685</v>
      </c>
      <c r="E667" s="2">
        <f t="shared" si="213"/>
        <v>540000</v>
      </c>
      <c r="F667" s="2">
        <f t="shared" si="217"/>
        <v>722166.12800000003</v>
      </c>
      <c r="G667" s="2">
        <f t="shared" si="218"/>
        <v>14009.763999999999</v>
      </c>
      <c r="H667" s="2">
        <f t="shared" si="219"/>
        <v>49034.173999999992</v>
      </c>
      <c r="I667" s="2">
        <f t="shared" si="221"/>
        <v>38.544546503424328</v>
      </c>
      <c r="J667" s="2">
        <f t="shared" si="222"/>
        <v>14.727812647562905</v>
      </c>
      <c r="K667">
        <f t="shared" si="223"/>
        <v>5.4914097933714152E+16</v>
      </c>
      <c r="L667" s="13">
        <f t="shared" si="214"/>
        <v>1994455557.1256831</v>
      </c>
      <c r="M667" s="2">
        <f t="shared" si="224"/>
        <v>2490048.2544813789</v>
      </c>
      <c r="N667" s="2">
        <f t="shared" si="225"/>
        <v>3.5835516858692334E+19</v>
      </c>
      <c r="O667" s="2">
        <f t="shared" si="226"/>
        <v>1.1332185440282958E+17</v>
      </c>
      <c r="P667" s="2">
        <f t="shared" si="220"/>
        <v>4.678380788949736E+21</v>
      </c>
      <c r="Q667" s="2">
        <f t="shared" si="215"/>
        <v>8.0775450063590169E+20</v>
      </c>
    </row>
    <row r="668" spans="1:17" x14ac:dyDescent="0.2">
      <c r="A668">
        <f t="shared" si="228"/>
        <v>423</v>
      </c>
      <c r="B668">
        <f t="shared" si="227"/>
        <v>423000</v>
      </c>
      <c r="C668" s="1">
        <f t="shared" si="212"/>
        <v>13693779000</v>
      </c>
      <c r="D668">
        <f t="shared" si="216"/>
        <v>1684.5</v>
      </c>
      <c r="E668" s="2">
        <f t="shared" si="213"/>
        <v>540000</v>
      </c>
      <c r="F668" s="2">
        <f t="shared" si="217"/>
        <v>721712.90599999996</v>
      </c>
      <c r="G668" s="2">
        <f t="shared" si="218"/>
        <v>14005.606799999998</v>
      </c>
      <c r="H668" s="2">
        <f t="shared" si="219"/>
        <v>49019.623799999994</v>
      </c>
      <c r="I668" s="2">
        <f t="shared" si="221"/>
        <v>38.555987449254971</v>
      </c>
      <c r="J668" s="2">
        <f t="shared" si="222"/>
        <v>14.722938489789064</v>
      </c>
      <c r="K668">
        <f t="shared" si="223"/>
        <v>5.5545974896102608E+16</v>
      </c>
      <c r="L668" s="13">
        <f t="shared" si="214"/>
        <v>2007172851.4936745</v>
      </c>
      <c r="M668" s="2">
        <f t="shared" si="224"/>
        <v>2477940.8969798516</v>
      </c>
      <c r="N668" s="2">
        <f t="shared" si="225"/>
        <v>3.6247863385182192E+19</v>
      </c>
      <c r="O668" s="2">
        <f t="shared" si="226"/>
        <v>1.1462580861179648E+17</v>
      </c>
      <c r="P668" s="2">
        <f t="shared" si="220"/>
        <v>4.6556331057921304E+21</v>
      </c>
      <c r="Q668" s="2">
        <f t="shared" si="215"/>
        <v>8.1290500485493817E+20</v>
      </c>
    </row>
    <row r="669" spans="1:17" x14ac:dyDescent="0.2">
      <c r="A669">
        <f t="shared" si="228"/>
        <v>422</v>
      </c>
      <c r="B669">
        <f t="shared" si="227"/>
        <v>422000</v>
      </c>
      <c r="C669" s="1">
        <f t="shared" si="212"/>
        <v>13661406000</v>
      </c>
      <c r="D669">
        <f t="shared" si="216"/>
        <v>1684</v>
      </c>
      <c r="E669" s="2">
        <f t="shared" si="213"/>
        <v>540000</v>
      </c>
      <c r="F669" s="2">
        <f t="shared" si="217"/>
        <v>721259.68400000001</v>
      </c>
      <c r="G669" s="2">
        <f t="shared" si="218"/>
        <v>14001.449599999998</v>
      </c>
      <c r="H669" s="2">
        <f t="shared" si="219"/>
        <v>49005.073599999996</v>
      </c>
      <c r="I669" s="2">
        <f t="shared" si="221"/>
        <v>38.567435188996434</v>
      </c>
      <c r="J669" s="2">
        <f t="shared" si="222"/>
        <v>14.718061437622248</v>
      </c>
      <c r="K669">
        <f t="shared" si="223"/>
        <v>5.6185504359607496E+16</v>
      </c>
      <c r="L669" s="13">
        <f t="shared" si="214"/>
        <v>2019978859.6314971</v>
      </c>
      <c r="M669" s="2">
        <f t="shared" si="224"/>
        <v>2465885.271811306</v>
      </c>
      <c r="N669" s="2">
        <f t="shared" si="225"/>
        <v>3.666520373553673E+19</v>
      </c>
      <c r="O669" s="2">
        <f t="shared" si="226"/>
        <v>1.1594555467840949E+17</v>
      </c>
      <c r="P669" s="2">
        <f t="shared" si="220"/>
        <v>4.6329826189648981E+21</v>
      </c>
      <c r="Q669" s="2">
        <f t="shared" si="215"/>
        <v>8.1809143815075634E+20</v>
      </c>
    </row>
    <row r="670" spans="1:17" x14ac:dyDescent="0.2">
      <c r="A670">
        <f t="shared" si="228"/>
        <v>421</v>
      </c>
      <c r="B670">
        <f t="shared" si="227"/>
        <v>421000</v>
      </c>
      <c r="C670" s="1">
        <f t="shared" si="212"/>
        <v>13629033000</v>
      </c>
      <c r="D670">
        <f t="shared" si="216"/>
        <v>1683.5</v>
      </c>
      <c r="E670" s="2">
        <f t="shared" si="213"/>
        <v>540000</v>
      </c>
      <c r="F670" s="2">
        <f t="shared" si="217"/>
        <v>720806.46200000006</v>
      </c>
      <c r="G670" s="2">
        <f t="shared" si="218"/>
        <v>13997.292399999998</v>
      </c>
      <c r="H670" s="2">
        <f t="shared" si="219"/>
        <v>48990.523399999998</v>
      </c>
      <c r="I670" s="2">
        <f t="shared" si="221"/>
        <v>38.578889728702109</v>
      </c>
      <c r="J670" s="2">
        <f t="shared" si="222"/>
        <v>14.713181488483547</v>
      </c>
      <c r="K670">
        <f t="shared" si="223"/>
        <v>5.6832783515320032E+16</v>
      </c>
      <c r="L670" s="13">
        <f t="shared" si="214"/>
        <v>2032874251.3588078</v>
      </c>
      <c r="M670" s="2">
        <f t="shared" si="224"/>
        <v>2453881.1905779266</v>
      </c>
      <c r="N670" s="2">
        <f t="shared" si="225"/>
        <v>3.7087601334142755E+19</v>
      </c>
      <c r="O670" s="2">
        <f t="shared" si="226"/>
        <v>1.1728129316819008E+17</v>
      </c>
      <c r="P670" s="2">
        <f t="shared" si="220"/>
        <v>4.6104289745003128E+21</v>
      </c>
      <c r="Q670" s="2">
        <f t="shared" si="215"/>
        <v>8.2331407180031721E+20</v>
      </c>
    </row>
    <row r="671" spans="1:17" x14ac:dyDescent="0.2">
      <c r="A671">
        <f t="shared" si="228"/>
        <v>420</v>
      </c>
      <c r="B671">
        <f t="shared" si="227"/>
        <v>420000</v>
      </c>
      <c r="C671" s="1">
        <f t="shared" si="212"/>
        <v>13596660000</v>
      </c>
      <c r="D671">
        <f t="shared" si="216"/>
        <v>1683</v>
      </c>
      <c r="E671" s="2">
        <f t="shared" si="213"/>
        <v>540000</v>
      </c>
      <c r="F671" s="2">
        <f t="shared" si="217"/>
        <v>720353.24</v>
      </c>
      <c r="G671" s="2">
        <f t="shared" si="218"/>
        <v>13993.135199999999</v>
      </c>
      <c r="H671" s="2">
        <f t="shared" si="219"/>
        <v>48975.973199999993</v>
      </c>
      <c r="I671" s="2">
        <f t="shared" si="221"/>
        <v>38.590351074432554</v>
      </c>
      <c r="J671" s="2">
        <f t="shared" si="222"/>
        <v>14.708298639790993</v>
      </c>
      <c r="K671">
        <f t="shared" si="223"/>
        <v>5.7487910844844936E+16</v>
      </c>
      <c r="L671" s="13">
        <f t="shared" si="214"/>
        <v>2045859701.9245684</v>
      </c>
      <c r="M671" s="2">
        <f t="shared" si="224"/>
        <v>2441928.4654372651</v>
      </c>
      <c r="N671" s="2">
        <f t="shared" si="225"/>
        <v>3.7515120447542706E+19</v>
      </c>
      <c r="O671" s="2">
        <f t="shared" si="226"/>
        <v>1.1863322730978974E+17</v>
      </c>
      <c r="P671" s="2">
        <f t="shared" si="220"/>
        <v>4.5879718194740886E+21</v>
      </c>
      <c r="Q671" s="2">
        <f t="shared" si="215"/>
        <v>8.2857317927945018E+20</v>
      </c>
    </row>
    <row r="672" spans="1:17" x14ac:dyDescent="0.2">
      <c r="A672">
        <f t="shared" si="228"/>
        <v>419</v>
      </c>
      <c r="B672">
        <f t="shared" si="227"/>
        <v>419000</v>
      </c>
      <c r="C672" s="1">
        <f t="shared" ref="C672:C735" si="229">$B$3*$B$1*B672</f>
        <v>13564287000</v>
      </c>
      <c r="D672">
        <f t="shared" si="216"/>
        <v>1682.5</v>
      </c>
      <c r="E672" s="2">
        <f t="shared" ref="E672:E735" si="230">+$B$19+$B$16*0</f>
        <v>540000</v>
      </c>
      <c r="F672" s="2">
        <f t="shared" si="217"/>
        <v>719900.01799999992</v>
      </c>
      <c r="G672" s="2">
        <f t="shared" si="218"/>
        <v>13988.977999999999</v>
      </c>
      <c r="H672" s="2">
        <f t="shared" si="219"/>
        <v>48961.422999999995</v>
      </c>
      <c r="I672" s="2">
        <f t="shared" si="221"/>
        <v>38.601819232255565</v>
      </c>
      <c r="J672" s="2">
        <f t="shared" si="222"/>
        <v>14.703412888959539</v>
      </c>
      <c r="K672">
        <f t="shared" si="223"/>
        <v>5.8150986138170616E+16</v>
      </c>
      <c r="L672" s="13">
        <f t="shared" ref="L672:L735" si="231">EXP((300*1000)/($B$17*D672))</f>
        <v>2058935892.0539434</v>
      </c>
      <c r="M672" s="2">
        <f t="shared" si="224"/>
        <v>2430026.9091010136</v>
      </c>
      <c r="N672" s="2">
        <f t="shared" si="225"/>
        <v>3.7947826196096328E+19</v>
      </c>
      <c r="O672" s="2">
        <f t="shared" si="226"/>
        <v>1.200015630318673E+17</v>
      </c>
      <c r="P672" s="2">
        <f t="shared" si="220"/>
        <v>4.5656108020030762E+21</v>
      </c>
      <c r="Q672" s="2">
        <f t="shared" ref="Q672:Q735" si="232">$B$12*L672</f>
        <v>8.3386903628184709E+20</v>
      </c>
    </row>
    <row r="673" spans="1:17" x14ac:dyDescent="0.2">
      <c r="A673">
        <f t="shared" si="228"/>
        <v>418</v>
      </c>
      <c r="B673">
        <f t="shared" si="227"/>
        <v>418000</v>
      </c>
      <c r="C673" s="1">
        <f t="shared" si="229"/>
        <v>13531914000</v>
      </c>
      <c r="D673">
        <f t="shared" si="216"/>
        <v>1682</v>
      </c>
      <c r="E673" s="2">
        <f t="shared" si="230"/>
        <v>540000</v>
      </c>
      <c r="F673" s="2">
        <f t="shared" si="217"/>
        <v>719446.79599999997</v>
      </c>
      <c r="G673" s="2">
        <f t="shared" si="218"/>
        <v>13984.820799999998</v>
      </c>
      <c r="H673" s="2">
        <f t="shared" si="219"/>
        <v>48946.872799999997</v>
      </c>
      <c r="I673" s="2">
        <f t="shared" si="221"/>
        <v>38.613294208246138</v>
      </c>
      <c r="J673" s="2">
        <f t="shared" si="222"/>
        <v>14.698524233401077</v>
      </c>
      <c r="K673">
        <f t="shared" si="223"/>
        <v>5.8822110511791488E+16</v>
      </c>
      <c r="L673" s="13">
        <f t="shared" si="231"/>
        <v>2072103507.9957147</v>
      </c>
      <c r="M673" s="2">
        <f t="shared" si="224"/>
        <v>2418176.3348338562</v>
      </c>
      <c r="N673" s="2">
        <f t="shared" si="225"/>
        <v>3.8385784565806793E+19</v>
      </c>
      <c r="O673" s="2">
        <f t="shared" si="226"/>
        <v>1.2138650900048645E+17</v>
      </c>
      <c r="P673" s="2">
        <f t="shared" si="220"/>
        <v>4.5433455712431049E+21</v>
      </c>
      <c r="Q673" s="2">
        <f t="shared" si="232"/>
        <v>8.3920192073826448E+20</v>
      </c>
    </row>
    <row r="674" spans="1:17" x14ac:dyDescent="0.2">
      <c r="A674">
        <f t="shared" si="228"/>
        <v>417</v>
      </c>
      <c r="B674">
        <f t="shared" si="227"/>
        <v>417000</v>
      </c>
      <c r="C674" s="1">
        <f t="shared" si="229"/>
        <v>13499541000</v>
      </c>
      <c r="D674">
        <f t="shared" si="216"/>
        <v>1681.5</v>
      </c>
      <c r="E674" s="2">
        <f t="shared" si="230"/>
        <v>540000</v>
      </c>
      <c r="F674" s="2">
        <f t="shared" si="217"/>
        <v>718993.57400000002</v>
      </c>
      <c r="G674" s="2">
        <f t="shared" si="218"/>
        <v>13980.663599999998</v>
      </c>
      <c r="H674" s="2">
        <f t="shared" si="219"/>
        <v>48932.322599999992</v>
      </c>
      <c r="I674" s="2">
        <f t="shared" si="221"/>
        <v>38.624776008486471</v>
      </c>
      <c r="J674" s="2">
        <f t="shared" si="222"/>
        <v>14.693632670524414</v>
      </c>
      <c r="K674">
        <f t="shared" si="223"/>
        <v>5.9501386427092512E+16</v>
      </c>
      <c r="L674" s="13">
        <f t="shared" si="231"/>
        <v>2085363241.5700588</v>
      </c>
      <c r="M674" s="2">
        <f t="shared" si="224"/>
        <v>2406376.5564522459</v>
      </c>
      <c r="N674" s="2">
        <f t="shared" si="225"/>
        <v>3.882906242031797E+19</v>
      </c>
      <c r="O674" s="2">
        <f t="shared" si="226"/>
        <v>1.2278827665705451E+17</v>
      </c>
      <c r="P674" s="2">
        <f t="shared" si="220"/>
        <v>4.5211757773866853E+21</v>
      </c>
      <c r="Q674" s="2">
        <f t="shared" si="232"/>
        <v>8.4457211283587387E+20</v>
      </c>
    </row>
    <row r="675" spans="1:17" x14ac:dyDescent="0.2">
      <c r="A675">
        <f t="shared" si="228"/>
        <v>416</v>
      </c>
      <c r="B675">
        <f t="shared" si="227"/>
        <v>416000</v>
      </c>
      <c r="C675" s="1">
        <f t="shared" si="229"/>
        <v>13467168000</v>
      </c>
      <c r="D675">
        <f t="shared" si="216"/>
        <v>1681</v>
      </c>
      <c r="E675" s="2">
        <f t="shared" si="230"/>
        <v>540000</v>
      </c>
      <c r="F675" s="2">
        <f t="shared" si="217"/>
        <v>718540.35199999996</v>
      </c>
      <c r="G675" s="2">
        <f t="shared" si="218"/>
        <v>13976.506399999998</v>
      </c>
      <c r="H675" s="2">
        <f t="shared" si="219"/>
        <v>48917.772399999994</v>
      </c>
      <c r="I675" s="2">
        <f t="shared" si="221"/>
        <v>38.636264639066027</v>
      </c>
      <c r="J675" s="2">
        <f t="shared" si="222"/>
        <v>14.688738197735269</v>
      </c>
      <c r="K675">
        <f t="shared" si="223"/>
        <v>6.018891770900352E+16</v>
      </c>
      <c r="L675" s="13">
        <f t="shared" si="231"/>
        <v>2098715790.2167912</v>
      </c>
      <c r="M675" s="2">
        <f t="shared" si="224"/>
        <v>2394627.388323219</v>
      </c>
      <c r="N675" s="2">
        <f t="shared" si="225"/>
        <v>3.9277727513087779E+19</v>
      </c>
      <c r="O675" s="2">
        <f t="shared" si="226"/>
        <v>1.2420708025681784E+17</v>
      </c>
      <c r="P675" s="2">
        <f t="shared" si="220"/>
        <v>4.4991010716607804E+21</v>
      </c>
      <c r="Q675" s="2">
        <f t="shared" si="232"/>
        <v>8.4997989503780048E+20</v>
      </c>
    </row>
    <row r="676" spans="1:17" x14ac:dyDescent="0.2">
      <c r="A676">
        <f t="shared" si="228"/>
        <v>415</v>
      </c>
      <c r="B676">
        <f t="shared" si="227"/>
        <v>415000</v>
      </c>
      <c r="C676" s="1">
        <f t="shared" si="229"/>
        <v>13434795000</v>
      </c>
      <c r="D676">
        <f t="shared" si="216"/>
        <v>1680.5</v>
      </c>
      <c r="E676" s="2">
        <f t="shared" si="230"/>
        <v>540000</v>
      </c>
      <c r="F676" s="2">
        <f t="shared" si="217"/>
        <v>718087.13</v>
      </c>
      <c r="G676" s="2">
        <f t="shared" si="218"/>
        <v>13972.349199999999</v>
      </c>
      <c r="H676" s="2">
        <f t="shared" si="219"/>
        <v>48903.222199999997</v>
      </c>
      <c r="I676" s="2">
        <f t="shared" si="221"/>
        <v>38.64776010608152</v>
      </c>
      <c r="J676" s="2">
        <f t="shared" si="222"/>
        <v>14.683840812436282</v>
      </c>
      <c r="K676">
        <f t="shared" si="223"/>
        <v>6.0884809564917184E+16</v>
      </c>
      <c r="L676" s="13">
        <f t="shared" si="231"/>
        <v>2112161857.0440621</v>
      </c>
      <c r="M676" s="2">
        <f t="shared" si="224"/>
        <v>2382928.6453632386</v>
      </c>
      <c r="N676" s="2">
        <f t="shared" si="225"/>
        <v>3.9731848499733553E+19</v>
      </c>
      <c r="O676" s="2">
        <f t="shared" si="226"/>
        <v>1.2564313690790138E+17</v>
      </c>
      <c r="P676" s="2">
        <f t="shared" si="220"/>
        <v>4.4771211063246334E+21</v>
      </c>
      <c r="Q676" s="2">
        <f t="shared" si="232"/>
        <v>8.5542555210284519E+20</v>
      </c>
    </row>
    <row r="677" spans="1:17" x14ac:dyDescent="0.2">
      <c r="A677">
        <f t="shared" si="228"/>
        <v>414</v>
      </c>
      <c r="B677">
        <f t="shared" si="227"/>
        <v>414000</v>
      </c>
      <c r="C677" s="1">
        <f t="shared" si="229"/>
        <v>13402422000</v>
      </c>
      <c r="D677">
        <f t="shared" si="216"/>
        <v>1680</v>
      </c>
      <c r="E677" s="2">
        <f t="shared" si="230"/>
        <v>540000</v>
      </c>
      <c r="F677" s="2">
        <f t="shared" si="217"/>
        <v>717633.90800000005</v>
      </c>
      <c r="G677" s="2">
        <f t="shared" si="218"/>
        <v>13968.191999999999</v>
      </c>
      <c r="H677" s="2">
        <f t="shared" si="219"/>
        <v>48888.671999999991</v>
      </c>
      <c r="I677" s="2">
        <f t="shared" si="221"/>
        <v>38.659262415636903</v>
      </c>
      <c r="J677" s="2">
        <f t="shared" si="222"/>
        <v>14.678940512027003</v>
      </c>
      <c r="K677">
        <f t="shared" si="223"/>
        <v>6.1589168603880792E+16</v>
      </c>
      <c r="L677" s="13">
        <f t="shared" si="231"/>
        <v>2125702150.8774848</v>
      </c>
      <c r="M677" s="2">
        <f t="shared" si="224"/>
        <v>2371280.1430370016</v>
      </c>
      <c r="N677" s="2">
        <f t="shared" si="225"/>
        <v>4.0191494950556082E+19</v>
      </c>
      <c r="O677" s="2">
        <f t="shared" si="226"/>
        <v>1.2709666661091315E+17</v>
      </c>
      <c r="P677" s="2">
        <f t="shared" si="220"/>
        <v>4.4552355346675275E+21</v>
      </c>
      <c r="Q677" s="2">
        <f t="shared" si="232"/>
        <v>8.6090937110538132E+20</v>
      </c>
    </row>
    <row r="678" spans="1:17" x14ac:dyDescent="0.2">
      <c r="A678">
        <f t="shared" si="228"/>
        <v>413</v>
      </c>
      <c r="B678">
        <f t="shared" si="227"/>
        <v>413000</v>
      </c>
      <c r="C678" s="1">
        <f t="shared" si="229"/>
        <v>13370049000</v>
      </c>
      <c r="D678">
        <f t="shared" si="216"/>
        <v>1679.5</v>
      </c>
      <c r="E678" s="2">
        <f t="shared" si="230"/>
        <v>540000</v>
      </c>
      <c r="F678" s="2">
        <f t="shared" si="217"/>
        <v>717180.68599999999</v>
      </c>
      <c r="G678" s="2">
        <f t="shared" si="218"/>
        <v>13964.034799999998</v>
      </c>
      <c r="H678" s="2">
        <f t="shared" si="219"/>
        <v>48874.121799999994</v>
      </c>
      <c r="I678" s="2">
        <f t="shared" si="221"/>
        <v>38.670771573843403</v>
      </c>
      <c r="J678" s="2">
        <f t="shared" si="222"/>
        <v>14.674037293903869</v>
      </c>
      <c r="K678">
        <f t="shared" si="223"/>
        <v>6.230210285606784E+16</v>
      </c>
      <c r="L678" s="13">
        <f t="shared" si="231"/>
        <v>2139337386.309716</v>
      </c>
      <c r="M678" s="2">
        <f t="shared" si="224"/>
        <v>2359681.6973562045</v>
      </c>
      <c r="N678" s="2">
        <f t="shared" si="225"/>
        <v>4.0656737363246301E+19</v>
      </c>
      <c r="O678" s="2">
        <f t="shared" si="226"/>
        <v>1.2856789229912627E+17</v>
      </c>
      <c r="P678" s="2">
        <f t="shared" si="220"/>
        <v>4.4334440110064654E+21</v>
      </c>
      <c r="Q678" s="2">
        <f t="shared" si="232"/>
        <v>8.6643164145543492E+20</v>
      </c>
    </row>
    <row r="679" spans="1:17" x14ac:dyDescent="0.2">
      <c r="A679">
        <f t="shared" si="228"/>
        <v>412</v>
      </c>
      <c r="B679">
        <f t="shared" si="227"/>
        <v>412000</v>
      </c>
      <c r="C679" s="1">
        <f t="shared" si="229"/>
        <v>13337676000</v>
      </c>
      <c r="D679">
        <f t="shared" si="216"/>
        <v>1679</v>
      </c>
      <c r="E679" s="2">
        <f t="shared" si="230"/>
        <v>540000</v>
      </c>
      <c r="F679" s="2">
        <f t="shared" si="217"/>
        <v>716727.46399999992</v>
      </c>
      <c r="G679" s="2">
        <f t="shared" si="218"/>
        <v>13959.877599999998</v>
      </c>
      <c r="H679" s="2">
        <f t="shared" si="219"/>
        <v>48859.571599999996</v>
      </c>
      <c r="I679" s="2">
        <f t="shared" si="221"/>
        <v>38.682287586819534</v>
      </c>
      <c r="J679" s="2">
        <f t="shared" si="222"/>
        <v>14.669131155460233</v>
      </c>
      <c r="K679">
        <f t="shared" si="223"/>
        <v>6.3023721792529192E+16</v>
      </c>
      <c r="L679" s="13">
        <f t="shared" si="231"/>
        <v>2153068283.7505054</v>
      </c>
      <c r="M679" s="2">
        <f t="shared" si="224"/>
        <v>2348133.1248784536</v>
      </c>
      <c r="N679" s="2">
        <f t="shared" si="225"/>
        <v>4.1127647175774355E+19</v>
      </c>
      <c r="O679" s="2">
        <f t="shared" si="226"/>
        <v>1.3005703987923779E+17</v>
      </c>
      <c r="P679" s="2">
        <f t="shared" si="220"/>
        <v>4.4117461906841209E+21</v>
      </c>
      <c r="Q679" s="2">
        <f t="shared" si="232"/>
        <v>8.7199265491895465E+20</v>
      </c>
    </row>
    <row r="680" spans="1:17" x14ac:dyDescent="0.2">
      <c r="A680">
        <f t="shared" si="228"/>
        <v>411</v>
      </c>
      <c r="B680">
        <f t="shared" si="227"/>
        <v>411000</v>
      </c>
      <c r="C680" s="1">
        <f t="shared" si="229"/>
        <v>13305303000</v>
      </c>
      <c r="D680">
        <f t="shared" si="216"/>
        <v>1678.5</v>
      </c>
      <c r="E680" s="2">
        <f t="shared" si="230"/>
        <v>540000</v>
      </c>
      <c r="F680" s="2">
        <f t="shared" si="217"/>
        <v>716274.24199999997</v>
      </c>
      <c r="G680" s="2">
        <f t="shared" si="218"/>
        <v>13955.720399999998</v>
      </c>
      <c r="H680" s="2">
        <f t="shared" si="219"/>
        <v>48845.021399999998</v>
      </c>
      <c r="I680" s="2">
        <f t="shared" si="221"/>
        <v>38.69381046069109</v>
      </c>
      <c r="J680" s="2">
        <f t="shared" si="222"/>
        <v>14.664222094086337</v>
      </c>
      <c r="K680">
        <f t="shared" si="223"/>
        <v>6.3754136345229336E+16</v>
      </c>
      <c r="L680" s="13">
        <f t="shared" si="231"/>
        <v>2166895569.4771938</v>
      </c>
      <c r="M680" s="2">
        <f t="shared" si="224"/>
        <v>2336634.2427060143</v>
      </c>
      <c r="N680" s="2">
        <f t="shared" si="225"/>
        <v>4.1604296779464745E+19</v>
      </c>
      <c r="O680" s="2">
        <f t="shared" si="226"/>
        <v>1.3156433827271603E+17</v>
      </c>
      <c r="P680" s="2">
        <f t="shared" si="220"/>
        <v>4.3901417300664931E+21</v>
      </c>
      <c r="Q680" s="2">
        <f t="shared" si="232"/>
        <v>8.7759270563826355E+20</v>
      </c>
    </row>
    <row r="681" spans="1:17" x14ac:dyDescent="0.2">
      <c r="A681">
        <f t="shared" si="228"/>
        <v>410</v>
      </c>
      <c r="B681">
        <f t="shared" si="227"/>
        <v>410000</v>
      </c>
      <c r="C681" s="1">
        <f t="shared" si="229"/>
        <v>13272930000</v>
      </c>
      <c r="D681">
        <f t="shared" si="216"/>
        <v>1678</v>
      </c>
      <c r="E681" s="2">
        <f t="shared" si="230"/>
        <v>540000</v>
      </c>
      <c r="F681" s="2">
        <f t="shared" si="217"/>
        <v>715821.02</v>
      </c>
      <c r="G681" s="2">
        <f t="shared" si="218"/>
        <v>13951.563199999999</v>
      </c>
      <c r="H681" s="2">
        <f t="shared" si="219"/>
        <v>48830.471199999993</v>
      </c>
      <c r="I681" s="2">
        <f t="shared" si="221"/>
        <v>38.705340201591177</v>
      </c>
      <c r="J681" s="2">
        <f t="shared" si="222"/>
        <v>14.659310107169315</v>
      </c>
      <c r="K681">
        <f t="shared" si="223"/>
        <v>6.4493458927374336E+16</v>
      </c>
      <c r="L681" s="13">
        <f t="shared" si="231"/>
        <v>2180819975.6856761</v>
      </c>
      <c r="M681" s="2">
        <f t="shared" si="224"/>
        <v>2325184.8684846661</v>
      </c>
      <c r="N681" s="2">
        <f t="shared" si="225"/>
        <v>4.2086759532261843E+19</v>
      </c>
      <c r="O681" s="2">
        <f t="shared" si="226"/>
        <v>1.3309001945774962E+17</v>
      </c>
      <c r="P681" s="2">
        <f t="shared" si="220"/>
        <v>4.3686302865407497E+21</v>
      </c>
      <c r="Q681" s="2">
        <f t="shared" si="232"/>
        <v>8.8323209015269877E+20</v>
      </c>
    </row>
    <row r="682" spans="1:17" x14ac:dyDescent="0.2">
      <c r="A682">
        <f t="shared" si="228"/>
        <v>409</v>
      </c>
      <c r="B682">
        <f t="shared" si="227"/>
        <v>409000</v>
      </c>
      <c r="C682" s="1">
        <f t="shared" si="229"/>
        <v>13240557000</v>
      </c>
      <c r="D682">
        <f t="shared" si="216"/>
        <v>1677.5</v>
      </c>
      <c r="E682" s="2">
        <f t="shared" si="230"/>
        <v>540000</v>
      </c>
      <c r="F682" s="2">
        <f t="shared" si="217"/>
        <v>715367.79799999995</v>
      </c>
      <c r="G682" s="2">
        <f t="shared" si="218"/>
        <v>13947.405999999999</v>
      </c>
      <c r="H682" s="2">
        <f t="shared" si="219"/>
        <v>48815.920999999995</v>
      </c>
      <c r="I682" s="2">
        <f t="shared" si="221"/>
        <v>38.716876815660207</v>
      </c>
      <c r="J682" s="2">
        <f t="shared" si="222"/>
        <v>14.654395192093171</v>
      </c>
      <c r="K682">
        <f t="shared" si="223"/>
        <v>6.5241803454031592E+16</v>
      </c>
      <c r="L682" s="13">
        <f t="shared" si="231"/>
        <v>2194842240.5418439</v>
      </c>
      <c r="M682" s="2">
        <f t="shared" si="224"/>
        <v>2313784.8204024811</v>
      </c>
      <c r="N682" s="2">
        <f t="shared" si="225"/>
        <v>4.2575109772185788E+19</v>
      </c>
      <c r="O682" s="2">
        <f t="shared" si="226"/>
        <v>1.3463431851179898E+17</v>
      </c>
      <c r="P682" s="2">
        <f t="shared" si="220"/>
        <v>4.3472115185129368E+21</v>
      </c>
      <c r="Q682" s="2">
        <f t="shared" si="232"/>
        <v>8.8891110741944684E+20</v>
      </c>
    </row>
    <row r="683" spans="1:17" x14ac:dyDescent="0.2">
      <c r="A683">
        <f t="shared" si="228"/>
        <v>408</v>
      </c>
      <c r="B683">
        <f t="shared" si="227"/>
        <v>408000</v>
      </c>
      <c r="C683" s="1">
        <f t="shared" si="229"/>
        <v>13208184000</v>
      </c>
      <c r="D683">
        <f t="shared" si="216"/>
        <v>1677</v>
      </c>
      <c r="E683" s="2">
        <f t="shared" si="230"/>
        <v>540000</v>
      </c>
      <c r="F683" s="2">
        <f t="shared" si="217"/>
        <v>714914.576</v>
      </c>
      <c r="G683" s="2">
        <f t="shared" si="218"/>
        <v>13943.248799999999</v>
      </c>
      <c r="H683" s="2">
        <f t="shared" si="219"/>
        <v>48801.370799999997</v>
      </c>
      <c r="I683" s="2">
        <f t="shared" si="221"/>
        <v>38.728420309045909</v>
      </c>
      <c r="J683" s="2">
        <f t="shared" si="222"/>
        <v>14.649477346238807</v>
      </c>
      <c r="K683">
        <f t="shared" si="223"/>
        <v>6.5999285363049672E+16</v>
      </c>
      <c r="L683" s="13">
        <f t="shared" si="231"/>
        <v>2208963108.2335033</v>
      </c>
      <c r="M683" s="2">
        <f t="shared" si="224"/>
        <v>2302433.9171887194</v>
      </c>
      <c r="N683" s="2">
        <f t="shared" si="225"/>
        <v>4.3069422830984241E+19</v>
      </c>
      <c r="O683" s="2">
        <f t="shared" si="226"/>
        <v>1.361974736547668E+17</v>
      </c>
      <c r="P683" s="2">
        <f t="shared" si="220"/>
        <v>4.3258850854058999E+21</v>
      </c>
      <c r="Q683" s="2">
        <f t="shared" si="232"/>
        <v>8.9463005883456881E+20</v>
      </c>
    </row>
    <row r="684" spans="1:17" x14ac:dyDescent="0.2">
      <c r="A684">
        <f t="shared" si="228"/>
        <v>407</v>
      </c>
      <c r="B684">
        <f t="shared" si="227"/>
        <v>407000</v>
      </c>
      <c r="C684" s="1">
        <f t="shared" si="229"/>
        <v>13175811000</v>
      </c>
      <c r="D684">
        <f t="shared" si="216"/>
        <v>1676.5</v>
      </c>
      <c r="E684" s="2">
        <f t="shared" si="230"/>
        <v>540000</v>
      </c>
      <c r="F684" s="2">
        <f t="shared" si="217"/>
        <v>714461.35400000005</v>
      </c>
      <c r="G684" s="2">
        <f t="shared" si="218"/>
        <v>13939.091599999998</v>
      </c>
      <c r="H684" s="2">
        <f t="shared" si="219"/>
        <v>48786.820599999992</v>
      </c>
      <c r="I684" s="2">
        <f t="shared" si="221"/>
        <v>38.739970687903373</v>
      </c>
      <c r="J684" s="2">
        <f t="shared" si="222"/>
        <v>14.644556566983997</v>
      </c>
      <c r="K684">
        <f t="shared" si="223"/>
        <v>6.6766021636283048E+16</v>
      </c>
      <c r="L684" s="13">
        <f t="shared" si="231"/>
        <v>2223183329.0227566</v>
      </c>
      <c r="M684" s="2">
        <f t="shared" si="224"/>
        <v>2291131.9781126026</v>
      </c>
      <c r="N684" s="2">
        <f t="shared" si="225"/>
        <v>4.3569775047983088E+19</v>
      </c>
      <c r="O684" s="2">
        <f t="shared" si="226"/>
        <v>1.3777972629279795E+17</v>
      </c>
      <c r="P684" s="2">
        <f t="shared" si="220"/>
        <v>4.3046506476569824E+21</v>
      </c>
      <c r="Q684" s="2">
        <f t="shared" si="232"/>
        <v>9.0038924825421637E+20</v>
      </c>
    </row>
    <row r="685" spans="1:17" x14ac:dyDescent="0.2">
      <c r="A685">
        <f t="shared" si="228"/>
        <v>406</v>
      </c>
      <c r="B685">
        <f t="shared" si="227"/>
        <v>406000</v>
      </c>
      <c r="C685" s="1">
        <f t="shared" si="229"/>
        <v>13143438000</v>
      </c>
      <c r="D685">
        <f t="shared" si="216"/>
        <v>1676</v>
      </c>
      <c r="E685" s="2">
        <f t="shared" si="230"/>
        <v>540000</v>
      </c>
      <c r="F685" s="2">
        <f t="shared" si="217"/>
        <v>714008.13199999998</v>
      </c>
      <c r="G685" s="2">
        <f t="shared" si="218"/>
        <v>13934.934399999998</v>
      </c>
      <c r="H685" s="2">
        <f t="shared" si="219"/>
        <v>48772.270399999994</v>
      </c>
      <c r="I685" s="2">
        <f t="shared" si="221"/>
        <v>38.751527958394988</v>
      </c>
      <c r="J685" s="2">
        <f t="shared" si="222"/>
        <v>14.639632851703375</v>
      </c>
      <c r="K685">
        <f t="shared" si="223"/>
        <v>6.754213082111748E+16</v>
      </c>
      <c r="L685" s="13">
        <f t="shared" si="231"/>
        <v>2237503659.2988396</v>
      </c>
      <c r="M685" s="2">
        <f t="shared" si="224"/>
        <v>2279878.8229821348</v>
      </c>
      <c r="N685" s="2">
        <f t="shared" si="225"/>
        <v>4.4076243784133353E+19</v>
      </c>
      <c r="O685" s="2">
        <f t="shared" si="226"/>
        <v>1.3938132106269966E+17</v>
      </c>
      <c r="P685" s="2">
        <f t="shared" si="220"/>
        <v>4.2835078667158086E+21</v>
      </c>
      <c r="Q685" s="2">
        <f t="shared" si="232"/>
        <v>9.0618898201603002E+20</v>
      </c>
    </row>
    <row r="686" spans="1:17" x14ac:dyDescent="0.2">
      <c r="A686">
        <f t="shared" si="228"/>
        <v>405</v>
      </c>
      <c r="B686">
        <f t="shared" si="227"/>
        <v>405000</v>
      </c>
      <c r="C686" s="1">
        <f t="shared" si="229"/>
        <v>13111065000</v>
      </c>
      <c r="D686">
        <f t="shared" si="216"/>
        <v>1675.5</v>
      </c>
      <c r="E686" s="2">
        <f t="shared" si="230"/>
        <v>540000</v>
      </c>
      <c r="F686" s="2">
        <f t="shared" si="217"/>
        <v>713554.91</v>
      </c>
      <c r="G686" s="2">
        <f t="shared" si="218"/>
        <v>13930.777199999999</v>
      </c>
      <c r="H686" s="2">
        <f t="shared" si="219"/>
        <v>48757.720199999996</v>
      </c>
      <c r="I686" s="2">
        <f t="shared" si="221"/>
        <v>38.763092126690537</v>
      </c>
      <c r="J686" s="2">
        <f t="shared" si="222"/>
        <v>14.634706197768454</v>
      </c>
      <c r="K686">
        <f t="shared" si="223"/>
        <v>6.8327733052318488E+16</v>
      </c>
      <c r="L686" s="13">
        <f t="shared" si="231"/>
        <v>2251924861.6315718</v>
      </c>
      <c r="M686" s="2">
        <f t="shared" si="224"/>
        <v>2268674.2721429723</v>
      </c>
      <c r="N686" s="2">
        <f t="shared" si="225"/>
        <v>4.4588907436268954E+19</v>
      </c>
      <c r="O686" s="2">
        <f t="shared" si="226"/>
        <v>1.410025058770284E+17</v>
      </c>
      <c r="P686" s="2">
        <f t="shared" si="220"/>
        <v>4.2624564050421613E+21</v>
      </c>
      <c r="Q686" s="2">
        <f t="shared" si="232"/>
        <v>9.120295689607866E+20</v>
      </c>
    </row>
    <row r="687" spans="1:17" x14ac:dyDescent="0.2">
      <c r="A687">
        <f t="shared" si="228"/>
        <v>404</v>
      </c>
      <c r="B687">
        <f t="shared" si="227"/>
        <v>404000</v>
      </c>
      <c r="C687" s="1">
        <f t="shared" si="229"/>
        <v>13078692000</v>
      </c>
      <c r="D687">
        <f t="shared" si="216"/>
        <v>1675</v>
      </c>
      <c r="E687" s="2">
        <f t="shared" si="230"/>
        <v>540000</v>
      </c>
      <c r="F687" s="2">
        <f t="shared" si="217"/>
        <v>713101.68799999997</v>
      </c>
      <c r="G687" s="2">
        <f t="shared" si="218"/>
        <v>13926.619999999999</v>
      </c>
      <c r="H687" s="2">
        <f t="shared" si="219"/>
        <v>48743.17</v>
      </c>
      <c r="I687" s="2">
        <f t="shared" si="221"/>
        <v>38.774663198967161</v>
      </c>
      <c r="J687" s="2">
        <f t="shared" si="222"/>
        <v>14.629776602547597</v>
      </c>
      <c r="K687">
        <f t="shared" si="223"/>
        <v>6.91229500741874E+16</v>
      </c>
      <c r="L687" s="13">
        <f t="shared" si="231"/>
        <v>2266447704.8251181</v>
      </c>
      <c r="M687" s="2">
        <f t="shared" si="224"/>
        <v>2257518.1464772099</v>
      </c>
      <c r="N687" s="2">
        <f t="shared" si="225"/>
        <v>4.5107845451565146E+19</v>
      </c>
      <c r="O687" s="2">
        <f t="shared" si="226"/>
        <v>1.4264353196981166E+17</v>
      </c>
      <c r="P687" s="2">
        <f t="shared" si="220"/>
        <v>4.2414959261036986E+21</v>
      </c>
      <c r="Q687" s="2">
        <f t="shared" si="232"/>
        <v>9.1791132045417277E+20</v>
      </c>
    </row>
    <row r="688" spans="1:17" x14ac:dyDescent="0.2">
      <c r="A688">
        <f t="shared" si="228"/>
        <v>403</v>
      </c>
      <c r="B688">
        <f t="shared" si="227"/>
        <v>403000</v>
      </c>
      <c r="C688" s="1">
        <f t="shared" si="229"/>
        <v>13046319000</v>
      </c>
      <c r="D688">
        <f t="shared" si="216"/>
        <v>1674.5</v>
      </c>
      <c r="E688" s="2">
        <f t="shared" si="230"/>
        <v>540000</v>
      </c>
      <c r="F688" s="2">
        <f t="shared" si="217"/>
        <v>712648.46600000001</v>
      </c>
      <c r="G688" s="2">
        <f t="shared" si="218"/>
        <v>13922.462799999999</v>
      </c>
      <c r="H688" s="2">
        <f t="shared" si="219"/>
        <v>48728.619799999993</v>
      </c>
      <c r="I688" s="2">
        <f t="shared" si="221"/>
        <v>38.786241181409373</v>
      </c>
      <c r="J688" s="2">
        <f t="shared" si="222"/>
        <v>14.624844063406043</v>
      </c>
      <c r="K688">
        <f t="shared" si="223"/>
        <v>6.9927905263043384E+16</v>
      </c>
      <c r="L688" s="13">
        <f t="shared" si="231"/>
        <v>2281072963.9724069</v>
      </c>
      <c r="M688" s="2">
        <f t="shared" si="224"/>
        <v>2246410.267402262</v>
      </c>
      <c r="N688" s="2">
        <f t="shared" si="225"/>
        <v>4.5633138342209733E+19</v>
      </c>
      <c r="O688" s="2">
        <f t="shared" si="226"/>
        <v>1.443046539429423E+17</v>
      </c>
      <c r="P688" s="2">
        <f t="shared" si="220"/>
        <v>4.2206260943738566E+21</v>
      </c>
      <c r="Q688" s="2">
        <f t="shared" si="232"/>
        <v>9.2383455040882475E+20</v>
      </c>
    </row>
    <row r="689" spans="1:17" x14ac:dyDescent="0.2">
      <c r="A689">
        <f t="shared" si="228"/>
        <v>402</v>
      </c>
      <c r="B689">
        <f t="shared" si="227"/>
        <v>402000</v>
      </c>
      <c r="C689" s="1">
        <f t="shared" si="229"/>
        <v>13013946000</v>
      </c>
      <c r="D689">
        <f t="shared" si="216"/>
        <v>1674</v>
      </c>
      <c r="E689" s="2">
        <f t="shared" si="230"/>
        <v>540000</v>
      </c>
      <c r="F689" s="2">
        <f t="shared" si="217"/>
        <v>712195.24399999995</v>
      </c>
      <c r="G689" s="2">
        <f t="shared" si="218"/>
        <v>13918.305599999998</v>
      </c>
      <c r="H689" s="2">
        <f t="shared" si="219"/>
        <v>48714.069599999995</v>
      </c>
      <c r="I689" s="2">
        <f t="shared" si="221"/>
        <v>38.797826080209077</v>
      </c>
      <c r="J689" s="2">
        <f t="shared" si="222"/>
        <v>14.619908577705855</v>
      </c>
      <c r="K689">
        <f t="shared" si="223"/>
        <v>7.0742723650031608E+16</v>
      </c>
      <c r="L689" s="13">
        <f t="shared" si="231"/>
        <v>2295801420.5099487</v>
      </c>
      <c r="M689" s="2">
        <f t="shared" si="224"/>
        <v>2235350.4568696115</v>
      </c>
      <c r="N689" s="2">
        <f t="shared" si="225"/>
        <v>4.6164867700287054E+19</v>
      </c>
      <c r="O689" s="2">
        <f t="shared" si="226"/>
        <v>1.4598612981324589E+17</v>
      </c>
      <c r="P689" s="2">
        <f t="shared" si="220"/>
        <v>4.1998465753294947E+21</v>
      </c>
      <c r="Q689" s="2">
        <f t="shared" si="232"/>
        <v>9.2979957530652928E+20</v>
      </c>
    </row>
    <row r="690" spans="1:17" x14ac:dyDescent="0.2">
      <c r="A690">
        <f t="shared" si="228"/>
        <v>401</v>
      </c>
      <c r="B690">
        <f t="shared" si="227"/>
        <v>401000</v>
      </c>
      <c r="C690" s="1">
        <f t="shared" si="229"/>
        <v>12981573000</v>
      </c>
      <c r="D690">
        <f t="shared" si="216"/>
        <v>1673.5</v>
      </c>
      <c r="E690" s="2">
        <f t="shared" si="230"/>
        <v>540000</v>
      </c>
      <c r="F690" s="2">
        <f t="shared" si="217"/>
        <v>711742.022</v>
      </c>
      <c r="G690" s="2">
        <f t="shared" si="218"/>
        <v>13914.148399999998</v>
      </c>
      <c r="H690" s="2">
        <f t="shared" si="219"/>
        <v>48699.519399999997</v>
      </c>
      <c r="I690" s="2">
        <f t="shared" si="221"/>
        <v>38.809417901565581</v>
      </c>
      <c r="J690" s="2">
        <f t="shared" si="222"/>
        <v>14.614970142805969</v>
      </c>
      <c r="K690">
        <f t="shared" si="223"/>
        <v>7.1567531944262984E+16</v>
      </c>
      <c r="L690" s="13">
        <f t="shared" si="231"/>
        <v>2310633862.273191</v>
      </c>
      <c r="M690" s="2">
        <f t="shared" si="224"/>
        <v>2224338.5373637415</v>
      </c>
      <c r="N690" s="2">
        <f t="shared" si="225"/>
        <v>4.670311621287841E+19</v>
      </c>
      <c r="O690" s="2">
        <f t="shared" si="226"/>
        <v>1.4768822106023238E+17</v>
      </c>
      <c r="P690" s="2">
        <f t="shared" si="220"/>
        <v>4.17915703544889E+21</v>
      </c>
      <c r="Q690" s="2">
        <f t="shared" si="232"/>
        <v>9.358067142206423E+20</v>
      </c>
    </row>
    <row r="691" spans="1:17" x14ac:dyDescent="0.2">
      <c r="A691">
        <f t="shared" si="228"/>
        <v>400</v>
      </c>
      <c r="B691">
        <f t="shared" si="227"/>
        <v>400000</v>
      </c>
      <c r="C691" s="1">
        <f t="shared" si="229"/>
        <v>12949200000</v>
      </c>
      <c r="D691">
        <f t="shared" ref="D691:D754" si="233">IF(A691&gt;$B$4,$B$2+(A691-$B$4)*$B$5,$B$6+(($B$2-$B$6)/$B$4)*(A691))</f>
        <v>1673</v>
      </c>
      <c r="E691" s="2">
        <f t="shared" si="230"/>
        <v>540000</v>
      </c>
      <c r="F691" s="2">
        <f t="shared" ref="F691:F754" si="234">+$F$20+$H$15*C691*(0.000001)</f>
        <v>711288.8</v>
      </c>
      <c r="G691" s="2">
        <f t="shared" ref="G691:G754" si="235">+$B$17*D691</f>
        <v>13909.991199999999</v>
      </c>
      <c r="H691" s="2">
        <f t="shared" ref="H691:H754" si="236">+$B$23*$B$17*D691</f>
        <v>48684.969199999992</v>
      </c>
      <c r="I691" s="2">
        <f t="shared" si="221"/>
        <v>38.821016651685589</v>
      </c>
      <c r="J691" s="2">
        <f t="shared" si="222"/>
        <v>14.610028756062151</v>
      </c>
      <c r="K691">
        <f t="shared" si="223"/>
        <v>7.2402458556288928E+16</v>
      </c>
      <c r="L691" s="13">
        <f t="shared" si="231"/>
        <v>2325571083.5524516</v>
      </c>
      <c r="M691" s="2">
        <f t="shared" si="224"/>
        <v>2213374.3319008993</v>
      </c>
      <c r="N691" s="2">
        <f t="shared" si="225"/>
        <v>4.7247967677381067E+19</v>
      </c>
      <c r="O691" s="2">
        <f t="shared" si="226"/>
        <v>1.4941119267453914E+17</v>
      </c>
      <c r="P691" s="2">
        <f t="shared" ref="P691:P754" si="237">(1000000)*($F$18^(-1/$B$23))*($F$19^((1/$B$23)-1))*M691</f>
        <v>4.1585571422094146E+21</v>
      </c>
      <c r="Q691" s="2">
        <f t="shared" si="232"/>
        <v>9.4185628883874297E+20</v>
      </c>
    </row>
    <row r="692" spans="1:17" x14ac:dyDescent="0.2">
      <c r="A692">
        <f t="shared" si="228"/>
        <v>399</v>
      </c>
      <c r="B692">
        <f t="shared" si="227"/>
        <v>399000</v>
      </c>
      <c r="C692" s="1">
        <f t="shared" si="229"/>
        <v>12916827000</v>
      </c>
      <c r="D692">
        <f t="shared" si="233"/>
        <v>1672.5</v>
      </c>
      <c r="E692" s="2">
        <f t="shared" si="230"/>
        <v>540000</v>
      </c>
      <c r="F692" s="2">
        <f t="shared" si="234"/>
        <v>710835.57799999998</v>
      </c>
      <c r="G692" s="2">
        <f t="shared" si="235"/>
        <v>13905.833999999999</v>
      </c>
      <c r="H692" s="2">
        <f t="shared" si="236"/>
        <v>48670.418999999994</v>
      </c>
      <c r="I692" s="2">
        <f t="shared" ref="I692:I755" si="238">+E692/G692</f>
        <v>38.832622336783253</v>
      </c>
      <c r="J692" s="2">
        <f t="shared" ref="J692:J755" si="239">+F692/H692</f>
        <v>14.605084414827003</v>
      </c>
      <c r="K692">
        <f t="shared" ref="K692:K755" si="240">+EXP(I692)</f>
        <v>7.3247633621921712E+16</v>
      </c>
      <c r="L692" s="13">
        <f t="shared" si="231"/>
        <v>2340613885.1492276</v>
      </c>
      <c r="M692" s="2">
        <f t="shared" ref="M692:M755" si="241">+EXP(J692)</f>
        <v>2202457.6640279461</v>
      </c>
      <c r="N692" s="2">
        <f t="shared" ref="N692:N755" si="242">+$B$13*(($B$15/$B$21)^($B$23-1))*K692</f>
        <v>4.7799507017052815E+19</v>
      </c>
      <c r="O692" s="2">
        <f t="shared" ref="O692:O755" si="243">+$B$13*(($B$15/$B$22)^($B$23-1))*K692</f>
        <v>1.511553132070871E+17</v>
      </c>
      <c r="P692" s="2">
        <f t="shared" si="237"/>
        <v>4.1380465640853749E+21</v>
      </c>
      <c r="Q692" s="2">
        <f t="shared" si="232"/>
        <v>9.4794862348543721E+20</v>
      </c>
    </row>
    <row r="693" spans="1:17" x14ac:dyDescent="0.2">
      <c r="A693">
        <f t="shared" si="228"/>
        <v>398</v>
      </c>
      <c r="B693">
        <f t="shared" si="227"/>
        <v>398000</v>
      </c>
      <c r="C693" s="1">
        <f t="shared" si="229"/>
        <v>12884454000</v>
      </c>
      <c r="D693">
        <f t="shared" si="233"/>
        <v>1672</v>
      </c>
      <c r="E693" s="2">
        <f t="shared" si="230"/>
        <v>540000</v>
      </c>
      <c r="F693" s="2">
        <f t="shared" si="234"/>
        <v>710382.35600000003</v>
      </c>
      <c r="G693" s="2">
        <f t="shared" si="235"/>
        <v>13901.676799999999</v>
      </c>
      <c r="H693" s="2">
        <f t="shared" si="236"/>
        <v>48655.868799999997</v>
      </c>
      <c r="I693" s="2">
        <f t="shared" si="238"/>
        <v>38.84423496308014</v>
      </c>
      <c r="J693" s="2">
        <f t="shared" si="239"/>
        <v>14.60013711644997</v>
      </c>
      <c r="K693">
        <f t="shared" si="240"/>
        <v>7.4103189026396128E+16</v>
      </c>
      <c r="L693" s="13">
        <f t="shared" si="231"/>
        <v>2355763074.4331899</v>
      </c>
      <c r="M693" s="2">
        <f t="shared" si="241"/>
        <v>2191588.3578212312</v>
      </c>
      <c r="N693" s="2">
        <f t="shared" si="242"/>
        <v>4.8357820296779203E+19</v>
      </c>
      <c r="O693" s="2">
        <f t="shared" si="243"/>
        <v>1.5292085481894122E+17</v>
      </c>
      <c r="P693" s="2">
        <f t="shared" si="237"/>
        <v>4.1176249705458964E+21</v>
      </c>
      <c r="Q693" s="2">
        <f t="shared" si="232"/>
        <v>9.5408404514544196E+20</v>
      </c>
    </row>
    <row r="694" spans="1:17" x14ac:dyDescent="0.2">
      <c r="A694">
        <f t="shared" si="228"/>
        <v>397</v>
      </c>
      <c r="B694">
        <f t="shared" si="227"/>
        <v>397000</v>
      </c>
      <c r="C694" s="1">
        <f t="shared" si="229"/>
        <v>12852081000</v>
      </c>
      <c r="D694">
        <f t="shared" si="233"/>
        <v>1671.5</v>
      </c>
      <c r="E694" s="2">
        <f t="shared" si="230"/>
        <v>540000</v>
      </c>
      <c r="F694" s="2">
        <f t="shared" si="234"/>
        <v>709929.13399999996</v>
      </c>
      <c r="G694" s="2">
        <f t="shared" si="235"/>
        <v>13897.519599999998</v>
      </c>
      <c r="H694" s="2">
        <f t="shared" si="236"/>
        <v>48641.318599999991</v>
      </c>
      <c r="I694" s="2">
        <f t="shared" si="238"/>
        <v>38.855854536805268</v>
      </c>
      <c r="J694" s="2">
        <f t="shared" si="239"/>
        <v>14.595186858277318</v>
      </c>
      <c r="K694">
        <f t="shared" si="240"/>
        <v>7.4969258428887168E+16</v>
      </c>
      <c r="L694" s="13">
        <f t="shared" si="231"/>
        <v>2371019465.3995824</v>
      </c>
      <c r="M694" s="2">
        <f t="shared" si="241"/>
        <v>2180766.2378853788</v>
      </c>
      <c r="N694" s="2">
        <f t="shared" si="242"/>
        <v>4.8922994739073212E+19</v>
      </c>
      <c r="O694" s="2">
        <f t="shared" si="243"/>
        <v>1.5470809333190566E+17</v>
      </c>
      <c r="P694" s="2">
        <f t="shared" si="237"/>
        <v>4.0972920320526432E+21</v>
      </c>
      <c r="Q694" s="2">
        <f t="shared" si="232"/>
        <v>9.6026288348683082E+20</v>
      </c>
    </row>
    <row r="695" spans="1:17" x14ac:dyDescent="0.2">
      <c r="A695">
        <f t="shared" si="228"/>
        <v>396</v>
      </c>
      <c r="B695">
        <f t="shared" si="227"/>
        <v>396000</v>
      </c>
      <c r="C695" s="1">
        <f t="shared" si="229"/>
        <v>12819708000</v>
      </c>
      <c r="D695">
        <f t="shared" si="233"/>
        <v>1671</v>
      </c>
      <c r="E695" s="2">
        <f t="shared" si="230"/>
        <v>540000</v>
      </c>
      <c r="F695" s="2">
        <f t="shared" si="234"/>
        <v>709475.91200000001</v>
      </c>
      <c r="G695" s="2">
        <f t="shared" si="235"/>
        <v>13893.362399999998</v>
      </c>
      <c r="H695" s="2">
        <f t="shared" si="236"/>
        <v>48626.768399999994</v>
      </c>
      <c r="I695" s="2">
        <f t="shared" si="238"/>
        <v>38.86748106419509</v>
      </c>
      <c r="J695" s="2">
        <f t="shared" si="239"/>
        <v>14.590233637652139</v>
      </c>
      <c r="K695">
        <f t="shared" si="240"/>
        <v>7.58459772873824E+16</v>
      </c>
      <c r="L695" s="13">
        <f t="shared" si="231"/>
        <v>2386383878.7271733</v>
      </c>
      <c r="M695" s="2">
        <f t="shared" si="241"/>
        <v>2169991.1293521579</v>
      </c>
      <c r="N695" s="2">
        <f t="shared" si="242"/>
        <v>4.9495118740306248E+19</v>
      </c>
      <c r="O695" s="2">
        <f t="shared" si="243"/>
        <v>1.5651730827985104E+17</v>
      </c>
      <c r="P695" s="2">
        <f t="shared" si="237"/>
        <v>4.0770474200576966E+21</v>
      </c>
      <c r="Q695" s="2">
        <f t="shared" si="232"/>
        <v>9.6648547088450519E+20</v>
      </c>
    </row>
    <row r="696" spans="1:17" x14ac:dyDescent="0.2">
      <c r="A696">
        <f t="shared" si="228"/>
        <v>395</v>
      </c>
      <c r="B696">
        <f t="shared" ref="B696:B759" si="244">A696*1000</f>
        <v>395000</v>
      </c>
      <c r="C696" s="1">
        <f t="shared" si="229"/>
        <v>12787335000</v>
      </c>
      <c r="D696">
        <f t="shared" si="233"/>
        <v>1670.5</v>
      </c>
      <c r="E696" s="2">
        <f t="shared" si="230"/>
        <v>540000</v>
      </c>
      <c r="F696" s="2">
        <f t="shared" si="234"/>
        <v>709022.69</v>
      </c>
      <c r="G696" s="2">
        <f t="shared" si="235"/>
        <v>13889.205199999999</v>
      </c>
      <c r="H696" s="2">
        <f t="shared" si="236"/>
        <v>48612.218199999996</v>
      </c>
      <c r="I696" s="2">
        <f t="shared" si="238"/>
        <v>38.879114551493565</v>
      </c>
      <c r="J696" s="2">
        <f t="shared" si="239"/>
        <v>14.585277451914342</v>
      </c>
      <c r="K696">
        <f t="shared" si="240"/>
        <v>7.6733482883922496E+16</v>
      </c>
      <c r="L696" s="13">
        <f t="shared" si="231"/>
        <v>2401857141.8368382</v>
      </c>
      <c r="M696" s="2">
        <f t="shared" si="241"/>
        <v>2159262.8578793136</v>
      </c>
      <c r="N696" s="2">
        <f t="shared" si="242"/>
        <v>5.0074281887179506E+19</v>
      </c>
      <c r="O696" s="2">
        <f t="shared" si="243"/>
        <v>1.5834878296080115E+17</v>
      </c>
      <c r="P696" s="2">
        <f t="shared" si="237"/>
        <v>4.056890807001358E+21</v>
      </c>
      <c r="Q696" s="2">
        <f t="shared" si="232"/>
        <v>9.7275214244391944E+20</v>
      </c>
    </row>
    <row r="697" spans="1:17" x14ac:dyDescent="0.2">
      <c r="A697">
        <f t="shared" si="228"/>
        <v>394</v>
      </c>
      <c r="B697">
        <f t="shared" si="244"/>
        <v>394000</v>
      </c>
      <c r="C697" s="1">
        <f t="shared" si="229"/>
        <v>12754962000</v>
      </c>
      <c r="D697">
        <f t="shared" si="233"/>
        <v>1670</v>
      </c>
      <c r="E697" s="2">
        <f t="shared" si="230"/>
        <v>540000</v>
      </c>
      <c r="F697" s="2">
        <f t="shared" si="234"/>
        <v>708569.46799999999</v>
      </c>
      <c r="G697" s="2">
        <f t="shared" si="235"/>
        <v>13885.047999999999</v>
      </c>
      <c r="H697" s="2">
        <f t="shared" si="236"/>
        <v>48597.667999999998</v>
      </c>
      <c r="I697" s="2">
        <f t="shared" si="238"/>
        <v>38.890755004952091</v>
      </c>
      <c r="J697" s="2">
        <f t="shared" si="239"/>
        <v>14.580318298400655</v>
      </c>
      <c r="K697">
        <f t="shared" si="240"/>
        <v>7.7631914350200352E+16</v>
      </c>
      <c r="L697" s="13">
        <f t="shared" si="231"/>
        <v>2417440088.9505696</v>
      </c>
      <c r="M697" s="2">
        <f t="shared" si="241"/>
        <v>2148581.249649419</v>
      </c>
      <c r="N697" s="2">
        <f t="shared" si="242"/>
        <v>5.0660574973429285E+19</v>
      </c>
      <c r="O697" s="2">
        <f t="shared" si="243"/>
        <v>1.6020280448976E+17</v>
      </c>
      <c r="P697" s="2">
        <f t="shared" si="237"/>
        <v>4.0368218663099921E+21</v>
      </c>
      <c r="Q697" s="2">
        <f t="shared" si="232"/>
        <v>9.7906323602498073E+20</v>
      </c>
    </row>
    <row r="698" spans="1:17" x14ac:dyDescent="0.2">
      <c r="A698">
        <f t="shared" si="228"/>
        <v>393</v>
      </c>
      <c r="B698">
        <f t="shared" si="244"/>
        <v>393000</v>
      </c>
      <c r="C698" s="1">
        <f t="shared" si="229"/>
        <v>12722589000</v>
      </c>
      <c r="D698">
        <f t="shared" si="233"/>
        <v>1669.5</v>
      </c>
      <c r="E698" s="2">
        <f t="shared" si="230"/>
        <v>540000</v>
      </c>
      <c r="F698" s="2">
        <f t="shared" si="234"/>
        <v>708116.24600000004</v>
      </c>
      <c r="G698" s="2">
        <f t="shared" si="235"/>
        <v>13880.890799999999</v>
      </c>
      <c r="H698" s="2">
        <f t="shared" si="236"/>
        <v>48583.117799999993</v>
      </c>
      <c r="I698" s="2">
        <f t="shared" si="238"/>
        <v>38.902402430829582</v>
      </c>
      <c r="J698" s="2">
        <f t="shared" si="239"/>
        <v>14.575356174444616</v>
      </c>
      <c r="K698">
        <f t="shared" si="240"/>
        <v>7.8541412693544736E+16</v>
      </c>
      <c r="L698" s="13">
        <f t="shared" si="231"/>
        <v>2433133561.1511002</v>
      </c>
      <c r="M698" s="2">
        <f t="shared" si="241"/>
        <v>2137946.1313687139</v>
      </c>
      <c r="N698" s="2">
        <f t="shared" si="242"/>
        <v>5.1254090016783221E+19</v>
      </c>
      <c r="O698" s="2">
        <f t="shared" si="243"/>
        <v>1.62079663852332E+17</v>
      </c>
      <c r="P698" s="2">
        <f t="shared" si="237"/>
        <v>4.0168402723938448E+21</v>
      </c>
      <c r="Q698" s="2">
        <f t="shared" si="232"/>
        <v>9.8541909226619562E+20</v>
      </c>
    </row>
    <row r="699" spans="1:17" x14ac:dyDescent="0.2">
      <c r="A699">
        <f t="shared" si="228"/>
        <v>392</v>
      </c>
      <c r="B699">
        <f t="shared" si="244"/>
        <v>392000</v>
      </c>
      <c r="C699" s="1">
        <f t="shared" si="229"/>
        <v>12690216000</v>
      </c>
      <c r="D699">
        <f t="shared" si="233"/>
        <v>1669</v>
      </c>
      <c r="E699" s="2">
        <f t="shared" si="230"/>
        <v>540000</v>
      </c>
      <c r="F699" s="2">
        <f t="shared" si="234"/>
        <v>707663.02399999998</v>
      </c>
      <c r="G699" s="2">
        <f t="shared" si="235"/>
        <v>13876.733599999998</v>
      </c>
      <c r="H699" s="2">
        <f t="shared" si="236"/>
        <v>48568.567599999995</v>
      </c>
      <c r="I699" s="2">
        <f t="shared" si="238"/>
        <v>38.914056835392451</v>
      </c>
      <c r="J699" s="2">
        <f t="shared" si="239"/>
        <v>14.570391077376556</v>
      </c>
      <c r="K699">
        <f t="shared" si="240"/>
        <v>7.9462120823275904E+16</v>
      </c>
      <c r="L699" s="13">
        <f t="shared" si="231"/>
        <v>2448938406.4420419</v>
      </c>
      <c r="M699" s="2">
        <f t="shared" si="241"/>
        <v>2127357.3302659234</v>
      </c>
      <c r="N699" s="2">
        <f t="shared" si="242"/>
        <v>5.1854920276159283E+19</v>
      </c>
      <c r="O699" s="2">
        <f t="shared" si="243"/>
        <v>1.6397965595911011E+17</v>
      </c>
      <c r="P699" s="2">
        <f t="shared" si="237"/>
        <v>3.9969457006448235E+21</v>
      </c>
      <c r="Q699" s="2">
        <f t="shared" si="232"/>
        <v>9.9182005460902701E+20</v>
      </c>
    </row>
    <row r="700" spans="1:17" x14ac:dyDescent="0.2">
      <c r="A700">
        <f t="shared" si="228"/>
        <v>391</v>
      </c>
      <c r="B700">
        <f t="shared" si="244"/>
        <v>391000</v>
      </c>
      <c r="C700" s="1">
        <f t="shared" si="229"/>
        <v>12657843000</v>
      </c>
      <c r="D700">
        <f t="shared" si="233"/>
        <v>1668.5</v>
      </c>
      <c r="E700" s="2">
        <f t="shared" si="230"/>
        <v>540000</v>
      </c>
      <c r="F700" s="2">
        <f t="shared" si="234"/>
        <v>707209.80200000003</v>
      </c>
      <c r="G700" s="2">
        <f t="shared" si="235"/>
        <v>13872.576399999998</v>
      </c>
      <c r="H700" s="2">
        <f t="shared" si="236"/>
        <v>48554.017399999997</v>
      </c>
      <c r="I700" s="2">
        <f t="shared" si="238"/>
        <v>38.92571822491459</v>
      </c>
      <c r="J700" s="2">
        <f t="shared" si="239"/>
        <v>14.56542300452362</v>
      </c>
      <c r="K700">
        <f t="shared" si="240"/>
        <v>8.0394183577446832E+16</v>
      </c>
      <c r="L700" s="13">
        <f t="shared" si="231"/>
        <v>2464855479.8086233</v>
      </c>
      <c r="M700" s="2">
        <f t="shared" si="241"/>
        <v>2116814.6740911608</v>
      </c>
      <c r="N700" s="2">
        <f t="shared" si="242"/>
        <v>5.2463160269116457E+19</v>
      </c>
      <c r="O700" s="2">
        <f t="shared" si="243"/>
        <v>1.6590307970085952E+17</v>
      </c>
      <c r="P700" s="2">
        <f t="shared" si="237"/>
        <v>3.9771378274344365E+21</v>
      </c>
      <c r="Q700" s="2">
        <f t="shared" si="232"/>
        <v>9.9826646932249248E+20</v>
      </c>
    </row>
    <row r="701" spans="1:17" x14ac:dyDescent="0.2">
      <c r="A701">
        <f t="shared" si="228"/>
        <v>390</v>
      </c>
      <c r="B701">
        <f t="shared" si="244"/>
        <v>390000</v>
      </c>
      <c r="C701" s="1">
        <f t="shared" si="229"/>
        <v>12625470000</v>
      </c>
      <c r="D701">
        <f t="shared" si="233"/>
        <v>1668</v>
      </c>
      <c r="E701" s="2">
        <f t="shared" si="230"/>
        <v>540000</v>
      </c>
      <c r="F701" s="2">
        <f t="shared" si="234"/>
        <v>706756.58</v>
      </c>
      <c r="G701" s="2">
        <f t="shared" si="235"/>
        <v>13868.419199999998</v>
      </c>
      <c r="H701" s="2">
        <f t="shared" si="236"/>
        <v>48539.467199999992</v>
      </c>
      <c r="I701" s="2">
        <f t="shared" si="238"/>
        <v>38.937386605677453</v>
      </c>
      <c r="J701" s="2">
        <f t="shared" si="239"/>
        <v>14.560451953209739</v>
      </c>
      <c r="K701">
        <f t="shared" si="240"/>
        <v>8.133774774998288E+16</v>
      </c>
      <c r="L701" s="13">
        <f t="shared" si="231"/>
        <v>2480885643.278976</v>
      </c>
      <c r="M701" s="2">
        <f t="shared" si="241"/>
        <v>2106317.9911147221</v>
      </c>
      <c r="N701" s="2">
        <f t="shared" si="242"/>
        <v>5.3078905789565297E+19</v>
      </c>
      <c r="O701" s="2">
        <f t="shared" si="243"/>
        <v>1.6785023800452365E+17</v>
      </c>
      <c r="P701" s="2">
        <f t="shared" si="237"/>
        <v>3.9574163301115285E+21</v>
      </c>
      <c r="Q701" s="2">
        <f t="shared" si="232"/>
        <v>1.0047586855279852E+21</v>
      </c>
    </row>
    <row r="702" spans="1:17" x14ac:dyDescent="0.2">
      <c r="A702">
        <f t="shared" si="228"/>
        <v>389</v>
      </c>
      <c r="B702">
        <f t="shared" si="244"/>
        <v>389000</v>
      </c>
      <c r="C702" s="1">
        <f t="shared" si="229"/>
        <v>12593097000</v>
      </c>
      <c r="D702">
        <f t="shared" si="233"/>
        <v>1667.5</v>
      </c>
      <c r="E702" s="2">
        <f t="shared" si="230"/>
        <v>540000</v>
      </c>
      <c r="F702" s="2">
        <f t="shared" si="234"/>
        <v>706303.35800000001</v>
      </c>
      <c r="G702" s="2">
        <f t="shared" si="235"/>
        <v>13864.261999999999</v>
      </c>
      <c r="H702" s="2">
        <f t="shared" si="236"/>
        <v>48524.916999999994</v>
      </c>
      <c r="I702" s="2">
        <f t="shared" si="238"/>
        <v>38.949061983970012</v>
      </c>
      <c r="J702" s="2">
        <f t="shared" si="239"/>
        <v>14.555477920755642</v>
      </c>
      <c r="K702">
        <f t="shared" si="240"/>
        <v>8.2292962118208944E+16</v>
      </c>
      <c r="L702" s="13">
        <f t="shared" si="231"/>
        <v>2497029765.9859829</v>
      </c>
      <c r="M702" s="2">
        <f t="shared" si="241"/>
        <v>2095867.1101259689</v>
      </c>
      <c r="N702" s="2">
        <f t="shared" si="242"/>
        <v>5.3702253925731525E+19</v>
      </c>
      <c r="O702" s="2">
        <f t="shared" si="243"/>
        <v>1.6982143789002966E+17</v>
      </c>
      <c r="P702" s="2">
        <f t="shared" si="237"/>
        <v>3.9377808870001795E+21</v>
      </c>
      <c r="Q702" s="2">
        <f t="shared" si="232"/>
        <v>1.0112970552243231E+21</v>
      </c>
    </row>
    <row r="703" spans="1:17" x14ac:dyDescent="0.2">
      <c r="A703">
        <f t="shared" si="228"/>
        <v>388</v>
      </c>
      <c r="B703">
        <f t="shared" si="244"/>
        <v>388000</v>
      </c>
      <c r="C703" s="1">
        <f t="shared" si="229"/>
        <v>12560724000</v>
      </c>
      <c r="D703">
        <f t="shared" si="233"/>
        <v>1667</v>
      </c>
      <c r="E703" s="2">
        <f t="shared" si="230"/>
        <v>540000</v>
      </c>
      <c r="F703" s="2">
        <f t="shared" si="234"/>
        <v>705850.13599999994</v>
      </c>
      <c r="G703" s="2">
        <f t="shared" si="235"/>
        <v>13860.104799999999</v>
      </c>
      <c r="H703" s="2">
        <f t="shared" si="236"/>
        <v>48510.366799999996</v>
      </c>
      <c r="I703" s="2">
        <f t="shared" si="238"/>
        <v>38.960744366088775</v>
      </c>
      <c r="J703" s="2">
        <f t="shared" si="239"/>
        <v>14.550500904478834</v>
      </c>
      <c r="K703">
        <f t="shared" si="240"/>
        <v>8.3259977470784608E+16</v>
      </c>
      <c r="L703" s="13">
        <f t="shared" si="231"/>
        <v>2513288724.2297139</v>
      </c>
      <c r="M703" s="2">
        <f t="shared" si="241"/>
        <v>2085461.860432151</v>
      </c>
      <c r="N703" s="2">
        <f t="shared" si="242"/>
        <v>5.4333303078385713E+19</v>
      </c>
      <c r="O703" s="2">
        <f t="shared" si="243"/>
        <v>1.7181699052793619E+17</v>
      </c>
      <c r="P703" s="2">
        <f t="shared" si="237"/>
        <v>3.9182311773974949E+21</v>
      </c>
      <c r="Q703" s="2">
        <f t="shared" si="232"/>
        <v>1.0178819333130342E+21</v>
      </c>
    </row>
    <row r="704" spans="1:17" x14ac:dyDescent="0.2">
      <c r="A704">
        <f t="shared" si="228"/>
        <v>387</v>
      </c>
      <c r="B704">
        <f t="shared" si="244"/>
        <v>387000</v>
      </c>
      <c r="C704" s="1">
        <f t="shared" si="229"/>
        <v>12528351000</v>
      </c>
      <c r="D704">
        <f t="shared" si="233"/>
        <v>1666.5</v>
      </c>
      <c r="E704" s="2">
        <f t="shared" si="230"/>
        <v>540000</v>
      </c>
      <c r="F704" s="2">
        <f t="shared" si="234"/>
        <v>705396.91399999999</v>
      </c>
      <c r="G704" s="2">
        <f t="shared" si="235"/>
        <v>13855.947599999998</v>
      </c>
      <c r="H704" s="2">
        <f t="shared" si="236"/>
        <v>48495.816599999998</v>
      </c>
      <c r="I704" s="2">
        <f t="shared" si="238"/>
        <v>38.972433758337836</v>
      </c>
      <c r="J704" s="2">
        <f t="shared" si="239"/>
        <v>14.545520901693612</v>
      </c>
      <c r="K704">
        <f t="shared" si="240"/>
        <v>8.4238946636050352E+16</v>
      </c>
      <c r="L704" s="13">
        <f t="shared" si="231"/>
        <v>2529663401.5404463</v>
      </c>
      <c r="M704" s="2">
        <f t="shared" si="241"/>
        <v>2075102.0718572924</v>
      </c>
      <c r="N704" s="2">
        <f t="shared" si="242"/>
        <v>5.4972152979341337E+19</v>
      </c>
      <c r="O704" s="2">
        <f t="shared" si="243"/>
        <v>1.7383721129792893E+17</v>
      </c>
      <c r="P704" s="2">
        <f t="shared" si="237"/>
        <v>3.8987668815715117E+21</v>
      </c>
      <c r="Q704" s="2">
        <f t="shared" si="232"/>
        <v>1.0245136776238807E+21</v>
      </c>
    </row>
    <row r="705" spans="1:17" x14ac:dyDescent="0.2">
      <c r="A705">
        <f t="shared" ref="A705:A768" si="245">+A704-1</f>
        <v>386</v>
      </c>
      <c r="B705">
        <f t="shared" si="244"/>
        <v>386000</v>
      </c>
      <c r="C705" s="1">
        <f t="shared" si="229"/>
        <v>12495978000</v>
      </c>
      <c r="D705">
        <f t="shared" si="233"/>
        <v>1666</v>
      </c>
      <c r="E705" s="2">
        <f t="shared" si="230"/>
        <v>540000</v>
      </c>
      <c r="F705" s="2">
        <f t="shared" si="234"/>
        <v>704943.69200000004</v>
      </c>
      <c r="G705" s="2">
        <f t="shared" si="235"/>
        <v>13851.790399999998</v>
      </c>
      <c r="H705" s="2">
        <f t="shared" si="236"/>
        <v>48481.266399999993</v>
      </c>
      <c r="I705" s="2">
        <f t="shared" si="238"/>
        <v>38.984130167028809</v>
      </c>
      <c r="J705" s="2">
        <f t="shared" si="239"/>
        <v>14.540537909711041</v>
      </c>
      <c r="K705">
        <f t="shared" si="240"/>
        <v>8.52300245107808E+16</v>
      </c>
      <c r="L705" s="13">
        <f t="shared" si="231"/>
        <v>2546154688.7422171</v>
      </c>
      <c r="M705" s="2">
        <f t="shared" si="241"/>
        <v>2064787.5747410133</v>
      </c>
      <c r="N705" s="2">
        <f t="shared" si="242"/>
        <v>5.5618904710218359E+19</v>
      </c>
      <c r="O705" s="2">
        <f t="shared" si="243"/>
        <v>1.7588241984815658E+17</v>
      </c>
      <c r="P705" s="2">
        <f t="shared" si="237"/>
        <v>3.8793876807589843E+21</v>
      </c>
      <c r="Q705" s="2">
        <f t="shared" si="232"/>
        <v>1.0311926489405979E+21</v>
      </c>
    </row>
    <row r="706" spans="1:17" x14ac:dyDescent="0.2">
      <c r="A706">
        <f t="shared" si="245"/>
        <v>385</v>
      </c>
      <c r="B706">
        <f t="shared" si="244"/>
        <v>385000</v>
      </c>
      <c r="C706" s="1">
        <f t="shared" si="229"/>
        <v>12463605000</v>
      </c>
      <c r="D706">
        <f t="shared" si="233"/>
        <v>1665.5</v>
      </c>
      <c r="E706" s="2">
        <f t="shared" si="230"/>
        <v>540000</v>
      </c>
      <c r="F706" s="2">
        <f t="shared" si="234"/>
        <v>704490.47</v>
      </c>
      <c r="G706" s="2">
        <f t="shared" si="235"/>
        <v>13847.633199999998</v>
      </c>
      <c r="H706" s="2">
        <f t="shared" si="236"/>
        <v>48466.716199999995</v>
      </c>
      <c r="I706" s="2">
        <f t="shared" si="238"/>
        <v>38.995833598480935</v>
      </c>
      <c r="J706" s="2">
        <f t="shared" si="239"/>
        <v>14.535551925838954</v>
      </c>
      <c r="K706">
        <f t="shared" si="240"/>
        <v>8.6233368089372848E+16</v>
      </c>
      <c r="L706" s="13">
        <f t="shared" si="231"/>
        <v>2562763484.0170989</v>
      </c>
      <c r="M706" s="2">
        <f t="shared" si="241"/>
        <v>2054518.1999373846</v>
      </c>
      <c r="N706" s="2">
        <f t="shared" si="242"/>
        <v>5.6273660721490674E+19</v>
      </c>
      <c r="O706" s="2">
        <f t="shared" si="243"/>
        <v>1.7795294015546397E+17</v>
      </c>
      <c r="P706" s="2">
        <f t="shared" si="237"/>
        <v>3.8600932571632343E+21</v>
      </c>
      <c r="Q706" s="2">
        <f t="shared" si="232"/>
        <v>1.0379192110269251E+21</v>
      </c>
    </row>
    <row r="707" spans="1:17" x14ac:dyDescent="0.2">
      <c r="A707">
        <f t="shared" si="245"/>
        <v>384</v>
      </c>
      <c r="B707">
        <f t="shared" si="244"/>
        <v>384000</v>
      </c>
      <c r="C707" s="1">
        <f t="shared" si="229"/>
        <v>12431232000</v>
      </c>
      <c r="D707">
        <f t="shared" si="233"/>
        <v>1665</v>
      </c>
      <c r="E707" s="2">
        <f t="shared" si="230"/>
        <v>540000</v>
      </c>
      <c r="F707" s="2">
        <f t="shared" si="234"/>
        <v>704037.24800000002</v>
      </c>
      <c r="G707" s="2">
        <f t="shared" si="235"/>
        <v>13843.475999999999</v>
      </c>
      <c r="H707" s="2">
        <f t="shared" si="236"/>
        <v>48452.165999999997</v>
      </c>
      <c r="I707" s="2">
        <f t="shared" si="238"/>
        <v>39.007544059021015</v>
      </c>
      <c r="J707" s="2">
        <f t="shared" si="239"/>
        <v>14.530562947381961</v>
      </c>
      <c r="K707">
        <f t="shared" si="240"/>
        <v>8.7249136493448016E+16</v>
      </c>
      <c r="L707" s="13">
        <f t="shared" si="231"/>
        <v>2579490692.9699221</v>
      </c>
      <c r="M707" s="2">
        <f t="shared" si="241"/>
        <v>2044293.7788138224</v>
      </c>
      <c r="N707" s="2">
        <f t="shared" si="242"/>
        <v>5.6936524851803824E+19</v>
      </c>
      <c r="O707" s="2">
        <f t="shared" si="243"/>
        <v>1.8004910058648016E+17</v>
      </c>
      <c r="P707" s="2">
        <f t="shared" si="237"/>
        <v>3.8408832939520725E+21</v>
      </c>
      <c r="Q707" s="2">
        <f t="shared" si="232"/>
        <v>1.0446937306528184E+21</v>
      </c>
    </row>
    <row r="708" spans="1:17" x14ac:dyDescent="0.2">
      <c r="A708">
        <f t="shared" si="245"/>
        <v>383</v>
      </c>
      <c r="B708">
        <f t="shared" si="244"/>
        <v>383000</v>
      </c>
      <c r="C708" s="1">
        <f t="shared" si="229"/>
        <v>12398859000</v>
      </c>
      <c r="D708">
        <f t="shared" si="233"/>
        <v>1664.5</v>
      </c>
      <c r="E708" s="2">
        <f t="shared" si="230"/>
        <v>540000</v>
      </c>
      <c r="F708" s="2">
        <f t="shared" si="234"/>
        <v>703584.02599999995</v>
      </c>
      <c r="G708" s="2">
        <f t="shared" si="235"/>
        <v>13839.318799999999</v>
      </c>
      <c r="H708" s="2">
        <f t="shared" si="236"/>
        <v>48437.615799999992</v>
      </c>
      <c r="I708" s="2">
        <f t="shared" si="238"/>
        <v>39.019261554983473</v>
      </c>
      <c r="J708" s="2">
        <f t="shared" si="239"/>
        <v>14.525570971641425</v>
      </c>
      <c r="K708">
        <f t="shared" si="240"/>
        <v>8.8277491001900432E+16</v>
      </c>
      <c r="L708" s="13">
        <f t="shared" si="231"/>
        <v>2596337228.6937218</v>
      </c>
      <c r="M708" s="2">
        <f t="shared" si="241"/>
        <v>2034114.1432498966</v>
      </c>
      <c r="N708" s="2">
        <f t="shared" si="242"/>
        <v>5.7607602347583537E+19</v>
      </c>
      <c r="O708" s="2">
        <f t="shared" si="243"/>
        <v>1.8217123395962608E+17</v>
      </c>
      <c r="P708" s="2">
        <f t="shared" si="237"/>
        <v>3.8217574752555594E+21</v>
      </c>
      <c r="Q708" s="2">
        <f t="shared" si="232"/>
        <v>1.0515165776209573E+21</v>
      </c>
    </row>
    <row r="709" spans="1:17" x14ac:dyDescent="0.2">
      <c r="A709">
        <f t="shared" si="245"/>
        <v>382</v>
      </c>
      <c r="B709">
        <f t="shared" si="244"/>
        <v>382000</v>
      </c>
      <c r="C709" s="1">
        <f t="shared" si="229"/>
        <v>12366486000</v>
      </c>
      <c r="D709">
        <f t="shared" si="233"/>
        <v>1664</v>
      </c>
      <c r="E709" s="2">
        <f t="shared" si="230"/>
        <v>540000</v>
      </c>
      <c r="F709" s="2">
        <f t="shared" si="234"/>
        <v>703130.804</v>
      </c>
      <c r="G709" s="2">
        <f t="shared" si="235"/>
        <v>13835.161599999999</v>
      </c>
      <c r="H709" s="2">
        <f t="shared" si="236"/>
        <v>48423.065599999994</v>
      </c>
      <c r="I709" s="2">
        <f t="shared" si="238"/>
        <v>39.030986092710329</v>
      </c>
      <c r="J709" s="2">
        <f t="shared" si="239"/>
        <v>14.520575995915468</v>
      </c>
      <c r="K709">
        <f t="shared" si="240"/>
        <v>8.931859508137808E+16</v>
      </c>
      <c r="L709" s="13">
        <f t="shared" si="231"/>
        <v>2613304011.835712</v>
      </c>
      <c r="M709" s="2">
        <f t="shared" si="241"/>
        <v>2023979.1256362174</v>
      </c>
      <c r="N709" s="2">
        <f t="shared" si="242"/>
        <v>5.8286999882926998E+19</v>
      </c>
      <c r="O709" s="2">
        <f t="shared" si="243"/>
        <v>1.8431967760801616E+17</v>
      </c>
      <c r="P709" s="2">
        <f t="shared" si="237"/>
        <v>3.8027154861639147E+21</v>
      </c>
      <c r="Q709" s="2">
        <f t="shared" si="232"/>
        <v>1.0583881247934634E+21</v>
      </c>
    </row>
    <row r="710" spans="1:17" x14ac:dyDescent="0.2">
      <c r="A710">
        <f t="shared" si="245"/>
        <v>381</v>
      </c>
      <c r="B710">
        <f t="shared" si="244"/>
        <v>381000</v>
      </c>
      <c r="C710" s="1">
        <f t="shared" si="229"/>
        <v>12334113000</v>
      </c>
      <c r="D710">
        <f t="shared" si="233"/>
        <v>1663.5</v>
      </c>
      <c r="E710" s="2">
        <f t="shared" si="230"/>
        <v>540000</v>
      </c>
      <c r="F710" s="2">
        <f t="shared" si="234"/>
        <v>702677.58199999994</v>
      </c>
      <c r="G710" s="2">
        <f t="shared" si="235"/>
        <v>13831.004399999998</v>
      </c>
      <c r="H710" s="2">
        <f t="shared" si="236"/>
        <v>48408.515399999997</v>
      </c>
      <c r="I710" s="2">
        <f t="shared" si="238"/>
        <v>39.042717678551249</v>
      </c>
      <c r="J710" s="2">
        <f t="shared" si="239"/>
        <v>14.515578017498962</v>
      </c>
      <c r="K710">
        <f t="shared" si="240"/>
        <v>9.0372614417218784E+16</v>
      </c>
      <c r="L710" s="13">
        <f t="shared" si="231"/>
        <v>2630391970.6639433</v>
      </c>
      <c r="M710" s="2">
        <f t="shared" si="241"/>
        <v>2013888.5588732834</v>
      </c>
      <c r="N710" s="2">
        <f t="shared" si="242"/>
        <v>5.897482557979086E+19</v>
      </c>
      <c r="O710" s="2">
        <f t="shared" si="243"/>
        <v>1.8649477344329846E+17</v>
      </c>
      <c r="P710" s="2">
        <f t="shared" si="237"/>
        <v>3.7837570127253518E+21</v>
      </c>
      <c r="Q710" s="2">
        <f t="shared" si="232"/>
        <v>1.0653087481188971E+21</v>
      </c>
    </row>
    <row r="711" spans="1:17" x14ac:dyDescent="0.2">
      <c r="A711">
        <f t="shared" si="245"/>
        <v>380</v>
      </c>
      <c r="B711">
        <f t="shared" si="244"/>
        <v>380000</v>
      </c>
      <c r="C711" s="1">
        <f t="shared" si="229"/>
        <v>12301740000</v>
      </c>
      <c r="D711">
        <f t="shared" si="233"/>
        <v>1663</v>
      </c>
      <c r="E711" s="2">
        <f t="shared" si="230"/>
        <v>540000</v>
      </c>
      <c r="F711" s="2">
        <f t="shared" si="234"/>
        <v>702224.36</v>
      </c>
      <c r="G711" s="2">
        <f t="shared" si="235"/>
        <v>13826.847199999998</v>
      </c>
      <c r="H711" s="2">
        <f t="shared" si="236"/>
        <v>48393.965199999991</v>
      </c>
      <c r="I711" s="2">
        <f t="shared" si="238"/>
        <v>39.054456318863501</v>
      </c>
      <c r="J711" s="2">
        <f t="shared" si="239"/>
        <v>14.510577033683532</v>
      </c>
      <c r="K711">
        <f t="shared" si="240"/>
        <v>9.143971694483296E+16</v>
      </c>
      <c r="L711" s="13">
        <f t="shared" si="231"/>
        <v>2647602041.1345062</v>
      </c>
      <c r="M711" s="2">
        <f t="shared" si="241"/>
        <v>2003842.2763703635</v>
      </c>
      <c r="N711" s="2">
        <f t="shared" si="242"/>
        <v>5.9671189028470833E+19</v>
      </c>
      <c r="O711" s="2">
        <f t="shared" si="243"/>
        <v>1.8869686802041696E+17</v>
      </c>
      <c r="P711" s="2">
        <f t="shared" si="237"/>
        <v>3.7648817419439781E+21</v>
      </c>
      <c r="Q711" s="2">
        <f t="shared" si="232"/>
        <v>1.072278826659475E+21</v>
      </c>
    </row>
    <row r="712" spans="1:17" x14ac:dyDescent="0.2">
      <c r="A712">
        <f t="shared" si="245"/>
        <v>379</v>
      </c>
      <c r="B712">
        <f t="shared" si="244"/>
        <v>379000</v>
      </c>
      <c r="C712" s="1">
        <f t="shared" si="229"/>
        <v>12269367000</v>
      </c>
      <c r="D712">
        <f t="shared" si="233"/>
        <v>1662.5</v>
      </c>
      <c r="E712" s="2">
        <f t="shared" si="230"/>
        <v>540000</v>
      </c>
      <c r="F712" s="2">
        <f t="shared" si="234"/>
        <v>701771.13800000004</v>
      </c>
      <c r="G712" s="2">
        <f t="shared" si="235"/>
        <v>13822.689999999999</v>
      </c>
      <c r="H712" s="2">
        <f t="shared" si="236"/>
        <v>48379.414999999994</v>
      </c>
      <c r="I712" s="2">
        <f t="shared" si="238"/>
        <v>39.066202020012028</v>
      </c>
      <c r="J712" s="2">
        <f t="shared" si="239"/>
        <v>14.505573041757536</v>
      </c>
      <c r="K712">
        <f t="shared" si="240"/>
        <v>9.2520072881558128E+16</v>
      </c>
      <c r="L712" s="13">
        <f t="shared" si="231"/>
        <v>2664935166.9594588</v>
      </c>
      <c r="M712" s="2">
        <f t="shared" si="241"/>
        <v>1993840.1120443223</v>
      </c>
      <c r="N712" s="2">
        <f t="shared" si="242"/>
        <v>6.0376201308389106E+19</v>
      </c>
      <c r="O712" s="2">
        <f t="shared" si="243"/>
        <v>1.9092631260334688E+17</v>
      </c>
      <c r="P712" s="2">
        <f t="shared" si="237"/>
        <v>3.7460893617775884E+21</v>
      </c>
      <c r="Q712" s="2">
        <f t="shared" si="232"/>
        <v>1.0792987426185808E+21</v>
      </c>
    </row>
    <row r="713" spans="1:17" x14ac:dyDescent="0.2">
      <c r="A713">
        <f t="shared" si="245"/>
        <v>378</v>
      </c>
      <c r="B713">
        <f t="shared" si="244"/>
        <v>378000</v>
      </c>
      <c r="C713" s="1">
        <f t="shared" si="229"/>
        <v>12236994000</v>
      </c>
      <c r="D713">
        <f t="shared" si="233"/>
        <v>1662</v>
      </c>
      <c r="E713" s="2">
        <f t="shared" si="230"/>
        <v>540000</v>
      </c>
      <c r="F713" s="2">
        <f t="shared" si="234"/>
        <v>701317.91599999997</v>
      </c>
      <c r="G713" s="2">
        <f t="shared" si="235"/>
        <v>13818.532799999999</v>
      </c>
      <c r="H713" s="2">
        <f t="shared" si="236"/>
        <v>48364.864799999996</v>
      </c>
      <c r="I713" s="2">
        <f t="shared" si="238"/>
        <v>39.077954788369432</v>
      </c>
      <c r="J713" s="2">
        <f t="shared" si="239"/>
        <v>14.500566039006069</v>
      </c>
      <c r="K713">
        <f t="shared" si="240"/>
        <v>9.3613854758974736E+16</v>
      </c>
      <c r="L713" s="13">
        <f t="shared" si="231"/>
        <v>2682392299.6753268</v>
      </c>
      <c r="M713" s="2">
        <f t="shared" si="241"/>
        <v>1983881.9003185043</v>
      </c>
      <c r="N713" s="2">
        <f t="shared" si="242"/>
        <v>6.1089975009182802E+19</v>
      </c>
      <c r="O713" s="2">
        <f t="shared" si="243"/>
        <v>1.931834632317825E+17</v>
      </c>
      <c r="P713" s="2">
        <f t="shared" si="237"/>
        <v>3.7273795611355665E+21</v>
      </c>
      <c r="Q713" s="2">
        <f t="shared" si="232"/>
        <v>1.0863688813685074E+21</v>
      </c>
    </row>
    <row r="714" spans="1:17" x14ac:dyDescent="0.2">
      <c r="A714">
        <f t="shared" si="245"/>
        <v>377</v>
      </c>
      <c r="B714">
        <f t="shared" si="244"/>
        <v>377000</v>
      </c>
      <c r="C714" s="1">
        <f t="shared" si="229"/>
        <v>12204621000</v>
      </c>
      <c r="D714">
        <f t="shared" si="233"/>
        <v>1661.5</v>
      </c>
      <c r="E714" s="2">
        <f t="shared" si="230"/>
        <v>540000</v>
      </c>
      <c r="F714" s="2">
        <f t="shared" si="234"/>
        <v>700864.69400000002</v>
      </c>
      <c r="G714" s="2">
        <f t="shared" si="235"/>
        <v>13814.375599999999</v>
      </c>
      <c r="H714" s="2">
        <f t="shared" si="236"/>
        <v>48350.314599999998</v>
      </c>
      <c r="I714" s="2">
        <f t="shared" si="238"/>
        <v>39.089714630315974</v>
      </c>
      <c r="J714" s="2">
        <f t="shared" si="239"/>
        <v>14.495556022710968</v>
      </c>
      <c r="K714">
        <f t="shared" si="240"/>
        <v>9.472123745569912E+16</v>
      </c>
      <c r="L714" s="13">
        <f t="shared" si="231"/>
        <v>2699974398.7122602</v>
      </c>
      <c r="M714" s="2">
        <f t="shared" si="241"/>
        <v>1973967.4761216242</v>
      </c>
      <c r="N714" s="2">
        <f t="shared" si="242"/>
        <v>6.1812624252103852E+19</v>
      </c>
      <c r="O714" s="2">
        <f t="shared" si="243"/>
        <v>1.9546868078880931E+17</v>
      </c>
      <c r="P714" s="2">
        <f t="shared" si="237"/>
        <v>3.7087520298768028E+21</v>
      </c>
      <c r="Q714" s="2">
        <f t="shared" si="232"/>
        <v>1.0934896314784654E+21</v>
      </c>
    </row>
    <row r="715" spans="1:17" x14ac:dyDescent="0.2">
      <c r="A715">
        <f t="shared" si="245"/>
        <v>376</v>
      </c>
      <c r="B715">
        <f t="shared" si="244"/>
        <v>376000</v>
      </c>
      <c r="C715" s="1">
        <f t="shared" si="229"/>
        <v>12172248000</v>
      </c>
      <c r="D715">
        <f t="shared" si="233"/>
        <v>1661</v>
      </c>
      <c r="E715" s="2">
        <f t="shared" si="230"/>
        <v>540000</v>
      </c>
      <c r="F715" s="2">
        <f t="shared" si="234"/>
        <v>700411.47199999995</v>
      </c>
      <c r="G715" s="2">
        <f t="shared" si="235"/>
        <v>13810.218399999998</v>
      </c>
      <c r="H715" s="2">
        <f t="shared" si="236"/>
        <v>48335.764399999993</v>
      </c>
      <c r="I715" s="2">
        <f t="shared" si="238"/>
        <v>39.101481552239612</v>
      </c>
      <c r="J715" s="2">
        <f t="shared" si="239"/>
        <v>14.490542990150789</v>
      </c>
      <c r="K715">
        <f t="shared" si="240"/>
        <v>9.5842398230663008E+16</v>
      </c>
      <c r="L715" s="13">
        <f t="shared" si="231"/>
        <v>2717682431.4638305</v>
      </c>
      <c r="M715" s="2">
        <f t="shared" si="241"/>
        <v>1964096.674886588</v>
      </c>
      <c r="N715" s="2">
        <f t="shared" si="242"/>
        <v>6.2544264711736287E+19</v>
      </c>
      <c r="O715" s="2">
        <f t="shared" si="243"/>
        <v>1.9778233106958026E+17</v>
      </c>
      <c r="P715" s="2">
        <f t="shared" si="237"/>
        <v>3.6902064588074768E+21</v>
      </c>
      <c r="Q715" s="2">
        <f t="shared" si="232"/>
        <v>1.1006613847428513E+21</v>
      </c>
    </row>
    <row r="716" spans="1:17" x14ac:dyDescent="0.2">
      <c r="A716">
        <f t="shared" si="245"/>
        <v>375</v>
      </c>
      <c r="B716">
        <f t="shared" si="244"/>
        <v>375000</v>
      </c>
      <c r="C716" s="1">
        <f t="shared" si="229"/>
        <v>12139875000</v>
      </c>
      <c r="D716">
        <f t="shared" si="233"/>
        <v>1660.5</v>
      </c>
      <c r="E716" s="2">
        <f t="shared" si="230"/>
        <v>540000</v>
      </c>
      <c r="F716" s="2">
        <f t="shared" si="234"/>
        <v>699958.25</v>
      </c>
      <c r="G716" s="2">
        <f t="shared" si="235"/>
        <v>13806.061199999998</v>
      </c>
      <c r="H716" s="2">
        <f t="shared" si="236"/>
        <v>48321.214199999995</v>
      </c>
      <c r="I716" s="2">
        <f t="shared" si="238"/>
        <v>39.113255560535983</v>
      </c>
      <c r="J716" s="2">
        <f t="shared" si="239"/>
        <v>14.485526938600811</v>
      </c>
      <c r="K716">
        <f t="shared" si="240"/>
        <v>9.697751675687904E+16</v>
      </c>
      <c r="L716" s="13">
        <f t="shared" si="231"/>
        <v>2735517373.3574648</v>
      </c>
      <c r="M716" s="2">
        <f t="shared" si="241"/>
        <v>1954269.3325493836</v>
      </c>
      <c r="N716" s="2">
        <f t="shared" si="242"/>
        <v>6.3285013638030762E+19</v>
      </c>
      <c r="O716" s="2">
        <f t="shared" si="243"/>
        <v>2.0012478485099501E+17</v>
      </c>
      <c r="P716" s="2">
        <f t="shared" si="237"/>
        <v>3.6717425396789758E+21</v>
      </c>
      <c r="Q716" s="2">
        <f t="shared" si="232"/>
        <v>1.1078845362097733E+21</v>
      </c>
    </row>
    <row r="717" spans="1:17" x14ac:dyDescent="0.2">
      <c r="A717">
        <f t="shared" si="245"/>
        <v>374</v>
      </c>
      <c r="B717">
        <f t="shared" si="244"/>
        <v>374000</v>
      </c>
      <c r="C717" s="1">
        <f t="shared" si="229"/>
        <v>12107502000</v>
      </c>
      <c r="D717">
        <f t="shared" si="233"/>
        <v>1660</v>
      </c>
      <c r="E717" s="2">
        <f t="shared" si="230"/>
        <v>540000</v>
      </c>
      <c r="F717" s="2">
        <f t="shared" si="234"/>
        <v>699505.02799999993</v>
      </c>
      <c r="G717" s="2">
        <f t="shared" si="235"/>
        <v>13801.903999999999</v>
      </c>
      <c r="H717" s="2">
        <f t="shared" si="236"/>
        <v>48306.663999999997</v>
      </c>
      <c r="I717" s="2">
        <f t="shared" si="238"/>
        <v>39.125036661608434</v>
      </c>
      <c r="J717" s="2">
        <f t="shared" si="239"/>
        <v>14.480507865333031</v>
      </c>
      <c r="K717">
        <f t="shared" si="240"/>
        <v>9.8126775155708384E+16</v>
      </c>
      <c r="L717" s="13">
        <f t="shared" si="231"/>
        <v>2753480207.925633</v>
      </c>
      <c r="M717" s="2">
        <f t="shared" si="241"/>
        <v>1944485.2855479508</v>
      </c>
      <c r="N717" s="2">
        <f t="shared" si="242"/>
        <v>6.403498987866674E+19</v>
      </c>
      <c r="O717" s="2">
        <f t="shared" si="243"/>
        <v>2.024964179624152E+17</v>
      </c>
      <c r="P717" s="2">
        <f t="shared" si="237"/>
        <v>3.6533599651857684E+21</v>
      </c>
      <c r="Q717" s="2">
        <f t="shared" si="232"/>
        <v>1.1151594842098813E+21</v>
      </c>
    </row>
    <row r="718" spans="1:17" x14ac:dyDescent="0.2">
      <c r="A718">
        <f t="shared" si="245"/>
        <v>373</v>
      </c>
      <c r="B718">
        <f t="shared" si="244"/>
        <v>373000</v>
      </c>
      <c r="C718" s="1">
        <f t="shared" si="229"/>
        <v>12075129000</v>
      </c>
      <c r="D718">
        <f t="shared" si="233"/>
        <v>1659.5</v>
      </c>
      <c r="E718" s="2">
        <f t="shared" si="230"/>
        <v>540000</v>
      </c>
      <c r="F718" s="2">
        <f t="shared" si="234"/>
        <v>699051.80599999998</v>
      </c>
      <c r="G718" s="2">
        <f t="shared" si="235"/>
        <v>13797.746799999999</v>
      </c>
      <c r="H718" s="2">
        <f t="shared" si="236"/>
        <v>48292.113799999992</v>
      </c>
      <c r="I718" s="2">
        <f t="shared" si="238"/>
        <v>39.136824861868028</v>
      </c>
      <c r="J718" s="2">
        <f t="shared" si="239"/>
        <v>14.475485767616163</v>
      </c>
      <c r="K718">
        <f t="shared" si="240"/>
        <v>9.9290358031632144E+16</v>
      </c>
      <c r="L718" s="13">
        <f t="shared" si="231"/>
        <v>2771571926.8775911</v>
      </c>
      <c r="M718" s="2">
        <f t="shared" si="241"/>
        <v>1934744.3708210592</v>
      </c>
      <c r="N718" s="2">
        <f t="shared" si="242"/>
        <v>6.4794313901743366E+19</v>
      </c>
      <c r="O718" s="2">
        <f t="shared" si="243"/>
        <v>2.0489761135741958E+17</v>
      </c>
      <c r="P718" s="2">
        <f t="shared" si="237"/>
        <v>3.6350584289632993E+21</v>
      </c>
      <c r="Q718" s="2">
        <f t="shared" si="232"/>
        <v>1.1224866303854244E+21</v>
      </c>
    </row>
    <row r="719" spans="1:17" x14ac:dyDescent="0.2">
      <c r="A719">
        <f t="shared" si="245"/>
        <v>372</v>
      </c>
      <c r="B719">
        <f t="shared" si="244"/>
        <v>372000</v>
      </c>
      <c r="C719" s="1">
        <f t="shared" si="229"/>
        <v>12042756000</v>
      </c>
      <c r="D719">
        <f t="shared" si="233"/>
        <v>1659</v>
      </c>
      <c r="E719" s="2">
        <f t="shared" si="230"/>
        <v>540000</v>
      </c>
      <c r="F719" s="2">
        <f t="shared" si="234"/>
        <v>698598.58400000003</v>
      </c>
      <c r="G719" s="2">
        <f t="shared" si="235"/>
        <v>13793.589599999999</v>
      </c>
      <c r="H719" s="2">
        <f t="shared" si="236"/>
        <v>48277.563599999994</v>
      </c>
      <c r="I719" s="2">
        <f t="shared" si="238"/>
        <v>39.148620167733569</v>
      </c>
      <c r="J719" s="2">
        <f t="shared" si="239"/>
        <v>14.470460642715619</v>
      </c>
      <c r="K719">
        <f t="shared" si="240"/>
        <v>1.0046845250753768E+17</v>
      </c>
      <c r="L719" s="13">
        <f t="shared" si="231"/>
        <v>2789793530.1718354</v>
      </c>
      <c r="M719" s="2">
        <f t="shared" si="241"/>
        <v>1925046.4258071478</v>
      </c>
      <c r="N719" s="2">
        <f t="shared" si="242"/>
        <v>6.5563107818806436E+19</v>
      </c>
      <c r="O719" s="2">
        <f t="shared" si="243"/>
        <v>2.0732875118662144E+17</v>
      </c>
      <c r="P719" s="2">
        <f t="shared" si="237"/>
        <v>3.6168376255858066E+21</v>
      </c>
      <c r="Q719" s="2">
        <f t="shared" si="232"/>
        <v>1.1298663797195933E+21</v>
      </c>
    </row>
    <row r="720" spans="1:17" x14ac:dyDescent="0.2">
      <c r="A720">
        <f t="shared" si="245"/>
        <v>371</v>
      </c>
      <c r="B720">
        <f t="shared" si="244"/>
        <v>371000</v>
      </c>
      <c r="C720" s="1">
        <f t="shared" si="229"/>
        <v>12010383000</v>
      </c>
      <c r="D720">
        <f t="shared" si="233"/>
        <v>1658.5</v>
      </c>
      <c r="E720" s="2">
        <f t="shared" si="230"/>
        <v>540000</v>
      </c>
      <c r="F720" s="2">
        <f t="shared" si="234"/>
        <v>698145.36199999996</v>
      </c>
      <c r="G720" s="2">
        <f t="shared" si="235"/>
        <v>13789.432399999998</v>
      </c>
      <c r="H720" s="2">
        <f t="shared" si="236"/>
        <v>48263.013399999996</v>
      </c>
      <c r="I720" s="2">
        <f t="shared" si="238"/>
        <v>39.160422585631594</v>
      </c>
      <c r="J720" s="2">
        <f t="shared" si="239"/>
        <v>14.465432487893514</v>
      </c>
      <c r="K720">
        <f t="shared" si="240"/>
        <v>1.0166124826052424E+17</v>
      </c>
      <c r="L720" s="13">
        <f t="shared" si="231"/>
        <v>2808146026.0892873</v>
      </c>
      <c r="M720" s="2">
        <f t="shared" si="241"/>
        <v>1915391.2884432282</v>
      </c>
      <c r="N720" s="2">
        <f t="shared" si="242"/>
        <v>6.6341495408214213E+19</v>
      </c>
      <c r="O720" s="2">
        <f t="shared" si="243"/>
        <v>2.0979022887155798E+17</v>
      </c>
      <c r="P720" s="2">
        <f t="shared" si="237"/>
        <v>3.5986972505642631E+21</v>
      </c>
      <c r="Q720" s="2">
        <f t="shared" si="232"/>
        <v>1.1372991405661613E+21</v>
      </c>
    </row>
    <row r="721" spans="1:17" x14ac:dyDescent="0.2">
      <c r="A721">
        <f t="shared" si="245"/>
        <v>370</v>
      </c>
      <c r="B721">
        <f t="shared" si="244"/>
        <v>370000</v>
      </c>
      <c r="C721" s="1">
        <f t="shared" si="229"/>
        <v>11978010000</v>
      </c>
      <c r="D721">
        <f t="shared" si="233"/>
        <v>1658</v>
      </c>
      <c r="E721" s="2">
        <f t="shared" si="230"/>
        <v>540000</v>
      </c>
      <c r="F721" s="2">
        <f t="shared" si="234"/>
        <v>697692.14</v>
      </c>
      <c r="G721" s="2">
        <f t="shared" si="235"/>
        <v>13785.275199999998</v>
      </c>
      <c r="H721" s="2">
        <f t="shared" si="236"/>
        <v>48248.463199999998</v>
      </c>
      <c r="I721" s="2">
        <f t="shared" si="238"/>
        <v>39.17223212199638</v>
      </c>
      <c r="J721" s="2">
        <f t="shared" si="239"/>
        <v>14.460401300408673</v>
      </c>
      <c r="K721">
        <f t="shared" si="240"/>
        <v>1.0286893755823784E+17</v>
      </c>
      <c r="L721" s="13">
        <f t="shared" si="231"/>
        <v>2826630431.307055</v>
      </c>
      <c r="M721" s="2">
        <f t="shared" si="241"/>
        <v>1905778.7971637698</v>
      </c>
      <c r="N721" s="2">
        <f t="shared" si="242"/>
        <v>6.7129602138848641E+19</v>
      </c>
      <c r="O721" s="2">
        <f t="shared" si="243"/>
        <v>2.1228244117967155E+17</v>
      </c>
      <c r="P721" s="2">
        <f t="shared" si="237"/>
        <v>3.5806370003442802E+21</v>
      </c>
      <c r="Q721" s="2">
        <f t="shared" si="232"/>
        <v>1.1447853246793573E+21</v>
      </c>
    </row>
    <row r="722" spans="1:17" x14ac:dyDescent="0.2">
      <c r="A722">
        <f t="shared" si="245"/>
        <v>369</v>
      </c>
      <c r="B722">
        <f t="shared" si="244"/>
        <v>369000</v>
      </c>
      <c r="C722" s="1">
        <f t="shared" si="229"/>
        <v>11945637000</v>
      </c>
      <c r="D722">
        <f t="shared" si="233"/>
        <v>1657.5</v>
      </c>
      <c r="E722" s="2">
        <f t="shared" si="230"/>
        <v>540000</v>
      </c>
      <c r="F722" s="2">
        <f t="shared" si="234"/>
        <v>697238.91800000006</v>
      </c>
      <c r="G722" s="2">
        <f t="shared" si="235"/>
        <v>13781.117999999999</v>
      </c>
      <c r="H722" s="2">
        <f t="shared" si="236"/>
        <v>48233.912999999993</v>
      </c>
      <c r="I722" s="2">
        <f t="shared" si="238"/>
        <v>39.184048783269979</v>
      </c>
      <c r="J722" s="2">
        <f t="shared" si="239"/>
        <v>14.455367077516605</v>
      </c>
      <c r="K722">
        <f t="shared" si="240"/>
        <v>1.0409171529574725E+17</v>
      </c>
      <c r="L722" s="13">
        <f t="shared" si="231"/>
        <v>2845247770.9730535</v>
      </c>
      <c r="M722" s="2">
        <f t="shared" si="241"/>
        <v>1896208.7908995436</v>
      </c>
      <c r="N722" s="2">
        <f t="shared" si="242"/>
        <v>6.7927555194179625E+19</v>
      </c>
      <c r="O722" s="2">
        <f t="shared" si="243"/>
        <v>2.1480579030040781E+17</v>
      </c>
      <c r="P722" s="2">
        <f t="shared" si="237"/>
        <v>3.5626565723039371E+21</v>
      </c>
      <c r="Q722" s="2">
        <f t="shared" si="232"/>
        <v>1.1523253472440867E+21</v>
      </c>
    </row>
    <row r="723" spans="1:17" x14ac:dyDescent="0.2">
      <c r="A723">
        <f t="shared" si="245"/>
        <v>368</v>
      </c>
      <c r="B723">
        <f t="shared" si="244"/>
        <v>368000</v>
      </c>
      <c r="C723" s="1">
        <f t="shared" si="229"/>
        <v>11913264000</v>
      </c>
      <c r="D723">
        <f t="shared" si="233"/>
        <v>1657</v>
      </c>
      <c r="E723" s="2">
        <f t="shared" si="230"/>
        <v>540000</v>
      </c>
      <c r="F723" s="2">
        <f t="shared" si="234"/>
        <v>696785.696</v>
      </c>
      <c r="G723" s="2">
        <f t="shared" si="235"/>
        <v>13776.960799999999</v>
      </c>
      <c r="H723" s="2">
        <f t="shared" si="236"/>
        <v>48219.362799999995</v>
      </c>
      <c r="I723" s="2">
        <f t="shared" si="238"/>
        <v>39.195872575902229</v>
      </c>
      <c r="J723" s="2">
        <f t="shared" si="239"/>
        <v>14.450329816469496</v>
      </c>
      <c r="K723">
        <f t="shared" si="240"/>
        <v>1.0532977903296374E+17</v>
      </c>
      <c r="L723" s="13">
        <f t="shared" si="231"/>
        <v>2863999078.7811399</v>
      </c>
      <c r="M723" s="2">
        <f t="shared" si="241"/>
        <v>1886681.1090764916</v>
      </c>
      <c r="N723" s="2">
        <f t="shared" si="242"/>
        <v>6.8735483496684225E+19</v>
      </c>
      <c r="O723" s="2">
        <f t="shared" si="243"/>
        <v>2.1736068392243587E+17</v>
      </c>
      <c r="P723" s="2">
        <f t="shared" si="237"/>
        <v>3.5447556647516551E+21</v>
      </c>
      <c r="Q723" s="2">
        <f t="shared" si="232"/>
        <v>1.1599196269063617E+21</v>
      </c>
    </row>
    <row r="724" spans="1:17" x14ac:dyDescent="0.2">
      <c r="A724">
        <f t="shared" si="245"/>
        <v>367</v>
      </c>
      <c r="B724">
        <f t="shared" si="244"/>
        <v>367000</v>
      </c>
      <c r="C724" s="1">
        <f t="shared" si="229"/>
        <v>11880891000</v>
      </c>
      <c r="D724">
        <f t="shared" si="233"/>
        <v>1656.5</v>
      </c>
      <c r="E724" s="2">
        <f t="shared" si="230"/>
        <v>540000</v>
      </c>
      <c r="F724" s="2">
        <f t="shared" si="234"/>
        <v>696332.47399999993</v>
      </c>
      <c r="G724" s="2">
        <f t="shared" si="235"/>
        <v>13772.803599999999</v>
      </c>
      <c r="H724" s="2">
        <f t="shared" si="236"/>
        <v>48204.812599999997</v>
      </c>
      <c r="I724" s="2">
        <f t="shared" si="238"/>
        <v>39.207703506350732</v>
      </c>
      <c r="J724" s="2">
        <f t="shared" si="239"/>
        <v>14.445289514516233</v>
      </c>
      <c r="K724">
        <f t="shared" si="240"/>
        <v>1.0658332903261117E+17</v>
      </c>
      <c r="L724" s="13">
        <f t="shared" si="231"/>
        <v>2882885397.0471129</v>
      </c>
      <c r="M724" s="2">
        <f t="shared" si="241"/>
        <v>1877195.5916146643</v>
      </c>
      <c r="N724" s="2">
        <f t="shared" si="242"/>
        <v>6.9553517732624933E+19</v>
      </c>
      <c r="O724" s="2">
        <f t="shared" si="243"/>
        <v>2.1994753531200406E+17</v>
      </c>
      <c r="P724" s="2">
        <f t="shared" si="237"/>
        <v>3.526933976924203E+21</v>
      </c>
      <c r="Q724" s="2">
        <f t="shared" si="232"/>
        <v>1.1675685858040807E+21</v>
      </c>
    </row>
    <row r="725" spans="1:17" x14ac:dyDescent="0.2">
      <c r="A725">
        <f t="shared" si="245"/>
        <v>366</v>
      </c>
      <c r="B725">
        <f t="shared" si="244"/>
        <v>366000</v>
      </c>
      <c r="C725" s="1">
        <f t="shared" si="229"/>
        <v>11848518000</v>
      </c>
      <c r="D725">
        <f t="shared" si="233"/>
        <v>1656</v>
      </c>
      <c r="E725" s="2">
        <f t="shared" si="230"/>
        <v>540000</v>
      </c>
      <c r="F725" s="2">
        <f t="shared" si="234"/>
        <v>695879.25199999998</v>
      </c>
      <c r="G725" s="2">
        <f t="shared" si="235"/>
        <v>13768.646399999998</v>
      </c>
      <c r="H725" s="2">
        <f t="shared" si="236"/>
        <v>48190.262399999992</v>
      </c>
      <c r="I725" s="2">
        <f t="shared" si="238"/>
        <v>39.219541581080918</v>
      </c>
      <c r="J725" s="2">
        <f t="shared" si="239"/>
        <v>14.440246168902373</v>
      </c>
      <c r="K725">
        <f t="shared" si="240"/>
        <v>1.0785256829876678E+17</v>
      </c>
      <c r="L725" s="13">
        <f t="shared" si="231"/>
        <v>2901907776.785346</v>
      </c>
      <c r="M725" s="2">
        <f t="shared" si="241"/>
        <v>1867752.0789270508</v>
      </c>
      <c r="N725" s="2">
        <f t="shared" si="242"/>
        <v>7.0381790377200402E+19</v>
      </c>
      <c r="O725" s="2">
        <f t="shared" si="243"/>
        <v>2.2256676339247366E+17</v>
      </c>
      <c r="P725" s="2">
        <f t="shared" si="237"/>
        <v>3.5091912089844963E+21</v>
      </c>
      <c r="Q725" s="2">
        <f t="shared" si="232"/>
        <v>1.1752726495980652E+21</v>
      </c>
    </row>
    <row r="726" spans="1:17" x14ac:dyDescent="0.2">
      <c r="A726">
        <f t="shared" si="245"/>
        <v>365</v>
      </c>
      <c r="B726">
        <f t="shared" si="244"/>
        <v>365000</v>
      </c>
      <c r="C726" s="1">
        <f t="shared" si="229"/>
        <v>11816145000</v>
      </c>
      <c r="D726">
        <f t="shared" si="233"/>
        <v>1655.5</v>
      </c>
      <c r="E726" s="2">
        <f t="shared" si="230"/>
        <v>540000</v>
      </c>
      <c r="F726" s="2">
        <f t="shared" si="234"/>
        <v>695426.03</v>
      </c>
      <c r="G726" s="2">
        <f t="shared" si="235"/>
        <v>13764.489199999998</v>
      </c>
      <c r="H726" s="2">
        <f t="shared" si="236"/>
        <v>48175.712199999994</v>
      </c>
      <c r="I726" s="2">
        <f t="shared" si="238"/>
        <v>39.231386806565993</v>
      </c>
      <c r="J726" s="2">
        <f t="shared" si="239"/>
        <v>14.435199776870141</v>
      </c>
      <c r="K726">
        <f t="shared" si="240"/>
        <v>1.0913770261596299E+17</v>
      </c>
      <c r="L726" s="13">
        <f t="shared" si="231"/>
        <v>2921067277.7861304</v>
      </c>
      <c r="M726" s="2">
        <f t="shared" si="241"/>
        <v>1858350.4119184611</v>
      </c>
      <c r="N726" s="2">
        <f t="shared" si="242"/>
        <v>7.1220435720062255E+19</v>
      </c>
      <c r="O726" s="2">
        <f t="shared" si="243"/>
        <v>2.2521879282500992E+17</v>
      </c>
      <c r="P726" s="2">
        <f t="shared" si="237"/>
        <v>3.4915270620195015E+21</v>
      </c>
      <c r="Q726" s="2">
        <f t="shared" si="232"/>
        <v>1.1830322475033829E+21</v>
      </c>
    </row>
    <row r="727" spans="1:17" x14ac:dyDescent="0.2">
      <c r="A727">
        <f t="shared" si="245"/>
        <v>364</v>
      </c>
      <c r="B727">
        <f t="shared" si="244"/>
        <v>364000</v>
      </c>
      <c r="C727" s="1">
        <f t="shared" si="229"/>
        <v>11783772000</v>
      </c>
      <c r="D727">
        <f t="shared" si="233"/>
        <v>1655</v>
      </c>
      <c r="E727" s="2">
        <f t="shared" si="230"/>
        <v>540000</v>
      </c>
      <c r="F727" s="2">
        <f t="shared" si="234"/>
        <v>694972.80799999996</v>
      </c>
      <c r="G727" s="2">
        <f t="shared" si="235"/>
        <v>13760.331999999999</v>
      </c>
      <c r="H727" s="2">
        <f t="shared" si="236"/>
        <v>48161.161999999997</v>
      </c>
      <c r="I727" s="2">
        <f t="shared" si="238"/>
        <v>39.24323918928701</v>
      </c>
      <c r="J727" s="2">
        <f t="shared" si="239"/>
        <v>14.43015033565843</v>
      </c>
      <c r="K727">
        <f t="shared" si="240"/>
        <v>1.1043894058888045E+17</v>
      </c>
      <c r="L727" s="13">
        <f t="shared" si="231"/>
        <v>2940364968.6938105</v>
      </c>
      <c r="M727" s="2">
        <f t="shared" si="241"/>
        <v>1848990.4319844281</v>
      </c>
      <c r="N727" s="2">
        <f t="shared" si="242"/>
        <v>7.2069589891217736E+19</v>
      </c>
      <c r="O727" s="2">
        <f t="shared" si="243"/>
        <v>2.279040540904937E+17</v>
      </c>
      <c r="P727" s="2">
        <f t="shared" si="237"/>
        <v>3.4739412380381683E+21</v>
      </c>
      <c r="Q727" s="2">
        <f t="shared" si="232"/>
        <v>1.1908478123209932E+21</v>
      </c>
    </row>
    <row r="728" spans="1:17" x14ac:dyDescent="0.2">
      <c r="A728">
        <f t="shared" si="245"/>
        <v>363</v>
      </c>
      <c r="B728">
        <f t="shared" si="244"/>
        <v>363000</v>
      </c>
      <c r="C728" s="1">
        <f t="shared" si="229"/>
        <v>11751399000</v>
      </c>
      <c r="D728">
        <f t="shared" si="233"/>
        <v>1654.5</v>
      </c>
      <c r="E728" s="2">
        <f t="shared" si="230"/>
        <v>540000</v>
      </c>
      <c r="F728" s="2">
        <f t="shared" si="234"/>
        <v>694519.58600000001</v>
      </c>
      <c r="G728" s="2">
        <f t="shared" si="235"/>
        <v>13756.174799999999</v>
      </c>
      <c r="H728" s="2">
        <f t="shared" si="236"/>
        <v>48146.611799999991</v>
      </c>
      <c r="I728" s="2">
        <f t="shared" si="238"/>
        <v>39.255098735732844</v>
      </c>
      <c r="J728" s="2">
        <f t="shared" si="239"/>
        <v>14.425097842502806</v>
      </c>
      <c r="K728">
        <f t="shared" si="240"/>
        <v>1.1175649368262112E+17</v>
      </c>
      <c r="L728" s="13">
        <f t="shared" si="231"/>
        <v>2959801927.0856371</v>
      </c>
      <c r="M728" s="2">
        <f t="shared" si="241"/>
        <v>1839671.9810100968</v>
      </c>
      <c r="N728" s="2">
        <f t="shared" si="242"/>
        <v>7.2929390887310926E+19</v>
      </c>
      <c r="O728" s="2">
        <f t="shared" si="243"/>
        <v>2.3062298357262966E+17</v>
      </c>
      <c r="P728" s="2">
        <f t="shared" si="237"/>
        <v>3.4564334399693468E+21</v>
      </c>
      <c r="Q728" s="2">
        <f t="shared" si="232"/>
        <v>1.198719780469683E+21</v>
      </c>
    </row>
    <row r="729" spans="1:17" x14ac:dyDescent="0.2">
      <c r="A729">
        <f t="shared" si="245"/>
        <v>362</v>
      </c>
      <c r="B729">
        <f t="shared" si="244"/>
        <v>362000</v>
      </c>
      <c r="C729" s="1">
        <f t="shared" si="229"/>
        <v>11719026000</v>
      </c>
      <c r="D729">
        <f t="shared" si="233"/>
        <v>1654</v>
      </c>
      <c r="E729" s="2">
        <f t="shared" si="230"/>
        <v>540000</v>
      </c>
      <c r="F729" s="2">
        <f t="shared" si="234"/>
        <v>694066.36400000006</v>
      </c>
      <c r="G729" s="2">
        <f t="shared" si="235"/>
        <v>13752.017599999999</v>
      </c>
      <c r="H729" s="2">
        <f t="shared" si="236"/>
        <v>48132.061599999994</v>
      </c>
      <c r="I729" s="2">
        <f t="shared" si="238"/>
        <v>39.266965452400235</v>
      </c>
      <c r="J729" s="2">
        <f t="shared" si="239"/>
        <v>14.420042294635477</v>
      </c>
      <c r="K729">
        <f t="shared" si="240"/>
        <v>1.1309057626358632E+17</v>
      </c>
      <c r="L729" s="13">
        <f t="shared" si="231"/>
        <v>2979379239.551322</v>
      </c>
      <c r="M729" s="2">
        <f t="shared" si="241"/>
        <v>1830394.9013690751</v>
      </c>
      <c r="N729" s="2">
        <f t="shared" si="242"/>
        <v>7.3799978598298616E+19</v>
      </c>
      <c r="O729" s="2">
        <f t="shared" si="243"/>
        <v>2.3337602364230317E+17</v>
      </c>
      <c r="P729" s="2">
        <f t="shared" si="237"/>
        <v>3.4390033716596258E+21</v>
      </c>
      <c r="Q729" s="2">
        <f t="shared" si="232"/>
        <v>1.2066485920182855E+21</v>
      </c>
    </row>
    <row r="730" spans="1:17" x14ac:dyDescent="0.2">
      <c r="A730">
        <f t="shared" si="245"/>
        <v>361</v>
      </c>
      <c r="B730">
        <f t="shared" si="244"/>
        <v>361000</v>
      </c>
      <c r="C730" s="1">
        <f t="shared" si="229"/>
        <v>11686653000</v>
      </c>
      <c r="D730">
        <f t="shared" si="233"/>
        <v>1653.5</v>
      </c>
      <c r="E730" s="2">
        <f t="shared" si="230"/>
        <v>540000</v>
      </c>
      <c r="F730" s="2">
        <f t="shared" si="234"/>
        <v>693613.14199999999</v>
      </c>
      <c r="G730" s="2">
        <f t="shared" si="235"/>
        <v>13747.860399999998</v>
      </c>
      <c r="H730" s="2">
        <f t="shared" si="236"/>
        <v>48117.511399999996</v>
      </c>
      <c r="I730" s="2">
        <f t="shared" si="238"/>
        <v>39.27883934579377</v>
      </c>
      <c r="J730" s="2">
        <f t="shared" si="239"/>
        <v>14.414983689285313</v>
      </c>
      <c r="K730">
        <f t="shared" si="240"/>
        <v>1.1444140564095502E+17</v>
      </c>
      <c r="L730" s="13">
        <f t="shared" si="231"/>
        <v>2999098001.7733765</v>
      </c>
      <c r="M730" s="2">
        <f t="shared" si="241"/>
        <v>1821159.0359223571</v>
      </c>
      <c r="N730" s="2">
        <f t="shared" si="242"/>
        <v>7.4681494834518049E+19</v>
      </c>
      <c r="O730" s="2">
        <f t="shared" si="243"/>
        <v>2.3616362274317558E+17</v>
      </c>
      <c r="P730" s="2">
        <f t="shared" si="237"/>
        <v>3.42165073787131E+21</v>
      </c>
      <c r="Q730" s="2">
        <f t="shared" si="232"/>
        <v>1.2146346907182175E+21</v>
      </c>
    </row>
    <row r="731" spans="1:17" x14ac:dyDescent="0.2">
      <c r="A731">
        <f t="shared" si="245"/>
        <v>360</v>
      </c>
      <c r="B731">
        <f t="shared" si="244"/>
        <v>360000</v>
      </c>
      <c r="C731" s="1">
        <f t="shared" si="229"/>
        <v>11654280000</v>
      </c>
      <c r="D731">
        <f t="shared" si="233"/>
        <v>1653</v>
      </c>
      <c r="E731" s="2">
        <f t="shared" si="230"/>
        <v>540000</v>
      </c>
      <c r="F731" s="2">
        <f t="shared" si="234"/>
        <v>693159.91999999993</v>
      </c>
      <c r="G731" s="2">
        <f t="shared" si="235"/>
        <v>13743.703199999998</v>
      </c>
      <c r="H731" s="2">
        <f t="shared" si="236"/>
        <v>48102.961199999998</v>
      </c>
      <c r="I731" s="2">
        <f t="shared" si="238"/>
        <v>39.290720422425892</v>
      </c>
      <c r="J731" s="2">
        <f t="shared" si="239"/>
        <v>14.409922023677826</v>
      </c>
      <c r="K731">
        <f t="shared" si="240"/>
        <v>1.1580920210878278E+17</v>
      </c>
      <c r="L731" s="13">
        <f t="shared" si="231"/>
        <v>3018959318.6082077</v>
      </c>
      <c r="M731" s="2">
        <f t="shared" si="241"/>
        <v>1811964.2280171933</v>
      </c>
      <c r="N731" s="2">
        <f t="shared" si="242"/>
        <v>7.557408335415953E+19</v>
      </c>
      <c r="O731" s="2">
        <f t="shared" si="243"/>
        <v>2.3898623547856061E+17</v>
      </c>
      <c r="P731" s="2">
        <f t="shared" si="237"/>
        <v>3.4043752442802985E+21</v>
      </c>
      <c r="Q731" s="2">
        <f t="shared" si="232"/>
        <v>1.222678524036324E+21</v>
      </c>
    </row>
    <row r="732" spans="1:17" x14ac:dyDescent="0.2">
      <c r="A732">
        <f t="shared" si="245"/>
        <v>359</v>
      </c>
      <c r="B732">
        <f t="shared" si="244"/>
        <v>359000</v>
      </c>
      <c r="C732" s="1">
        <f t="shared" si="229"/>
        <v>11621907000</v>
      </c>
      <c r="D732">
        <f t="shared" si="233"/>
        <v>1652.5</v>
      </c>
      <c r="E732" s="2">
        <f t="shared" si="230"/>
        <v>540000</v>
      </c>
      <c r="F732" s="2">
        <f t="shared" si="234"/>
        <v>692706.69799999997</v>
      </c>
      <c r="G732" s="2">
        <f t="shared" si="235"/>
        <v>13739.545999999998</v>
      </c>
      <c r="H732" s="2">
        <f t="shared" si="236"/>
        <v>48088.410999999993</v>
      </c>
      <c r="I732" s="2">
        <f t="shared" si="238"/>
        <v>39.302608688816939</v>
      </c>
      <c r="J732" s="2">
        <f t="shared" si="239"/>
        <v>14.404857295035182</v>
      </c>
      <c r="K732">
        <f t="shared" si="240"/>
        <v>1.1719418898872917E+17</v>
      </c>
      <c r="L732" s="13">
        <f t="shared" si="231"/>
        <v>3038964304.168015</v>
      </c>
      <c r="M732" s="2">
        <f t="shared" si="241"/>
        <v>1802810.3214860016</v>
      </c>
      <c r="N732" s="2">
        <f t="shared" si="242"/>
        <v>7.6477889891149283E+19</v>
      </c>
      <c r="O732" s="2">
        <f t="shared" si="243"/>
        <v>2.4184432269959744E+17</v>
      </c>
      <c r="P732" s="2">
        <f t="shared" si="237"/>
        <v>3.387176597474039E+21</v>
      </c>
      <c r="Q732" s="2">
        <f t="shared" si="232"/>
        <v>1.2307805431880462E+21</v>
      </c>
    </row>
    <row r="733" spans="1:17" x14ac:dyDescent="0.2">
      <c r="A733">
        <f t="shared" si="245"/>
        <v>358</v>
      </c>
      <c r="B733">
        <f t="shared" si="244"/>
        <v>358000</v>
      </c>
      <c r="C733" s="1">
        <f t="shared" si="229"/>
        <v>11589534000</v>
      </c>
      <c r="D733">
        <f t="shared" si="233"/>
        <v>1652</v>
      </c>
      <c r="E733" s="2">
        <f t="shared" si="230"/>
        <v>540000</v>
      </c>
      <c r="F733" s="2">
        <f t="shared" si="234"/>
        <v>692253.47600000002</v>
      </c>
      <c r="G733" s="2">
        <f t="shared" si="235"/>
        <v>13735.388799999999</v>
      </c>
      <c r="H733" s="2">
        <f t="shared" si="236"/>
        <v>48073.860799999995</v>
      </c>
      <c r="I733" s="2">
        <f t="shared" si="238"/>
        <v>39.314504151495157</v>
      </c>
      <c r="J733" s="2">
        <f t="shared" si="239"/>
        <v>14.399789500576166</v>
      </c>
      <c r="K733">
        <f t="shared" si="240"/>
        <v>1.1859659267341888E+17</v>
      </c>
      <c r="L733" s="13">
        <f t="shared" si="231"/>
        <v>3059114081.9033856</v>
      </c>
      <c r="M733" s="2">
        <f t="shared" si="241"/>
        <v>1793697.1606452095</v>
      </c>
      <c r="N733" s="2">
        <f t="shared" si="242"/>
        <v>7.7393062183445758E+19</v>
      </c>
      <c r="O733" s="2">
        <f t="shared" si="243"/>
        <v>2.4473835159473165E+17</v>
      </c>
      <c r="P733" s="2">
        <f t="shared" si="237"/>
        <v>3.3700545049493499E+21</v>
      </c>
      <c r="Q733" s="2">
        <f t="shared" si="232"/>
        <v>1.2389412031708712E+21</v>
      </c>
    </row>
    <row r="734" spans="1:17" x14ac:dyDescent="0.2">
      <c r="A734">
        <f t="shared" si="245"/>
        <v>357</v>
      </c>
      <c r="B734">
        <f t="shared" si="244"/>
        <v>357000</v>
      </c>
      <c r="C734" s="1">
        <f t="shared" si="229"/>
        <v>11557161000</v>
      </c>
      <c r="D734">
        <f t="shared" si="233"/>
        <v>1651.5</v>
      </c>
      <c r="E734" s="2">
        <f t="shared" si="230"/>
        <v>540000</v>
      </c>
      <c r="F734" s="2">
        <f t="shared" si="234"/>
        <v>691800.25399999996</v>
      </c>
      <c r="G734" s="2">
        <f t="shared" si="235"/>
        <v>13731.231599999999</v>
      </c>
      <c r="H734" s="2">
        <f t="shared" si="236"/>
        <v>48059.310599999997</v>
      </c>
      <c r="I734" s="2">
        <f t="shared" si="238"/>
        <v>39.326406816996666</v>
      </c>
      <c r="J734" s="2">
        <f t="shared" si="239"/>
        <v>14.394718637516203</v>
      </c>
      <c r="K734">
        <f t="shared" si="240"/>
        <v>1.2001664267044251E+17</v>
      </c>
      <c r="L734" s="13">
        <f t="shared" si="231"/>
        <v>3079409784.6867266</v>
      </c>
      <c r="M734" s="2">
        <f t="shared" si="241"/>
        <v>1784624.5902941939</v>
      </c>
      <c r="N734" s="2">
        <f t="shared" si="242"/>
        <v>7.8319750001753424E+19</v>
      </c>
      <c r="O734" s="2">
        <f t="shared" si="243"/>
        <v>2.476687957805161E+17</v>
      </c>
      <c r="P734" s="2">
        <f t="shared" si="237"/>
        <v>3.3530086751104312E+21</v>
      </c>
      <c r="Q734" s="2">
        <f t="shared" si="232"/>
        <v>1.2471609627981243E+21</v>
      </c>
    </row>
    <row r="735" spans="1:17" x14ac:dyDescent="0.2">
      <c r="A735">
        <f t="shared" si="245"/>
        <v>356</v>
      </c>
      <c r="B735">
        <f t="shared" si="244"/>
        <v>356000</v>
      </c>
      <c r="C735" s="1">
        <f t="shared" si="229"/>
        <v>11524788000</v>
      </c>
      <c r="D735">
        <f t="shared" si="233"/>
        <v>1651</v>
      </c>
      <c r="E735" s="2">
        <f t="shared" si="230"/>
        <v>540000</v>
      </c>
      <c r="F735" s="2">
        <f t="shared" si="234"/>
        <v>691347.03200000001</v>
      </c>
      <c r="G735" s="2">
        <f t="shared" si="235"/>
        <v>13727.074399999998</v>
      </c>
      <c r="H735" s="2">
        <f t="shared" si="236"/>
        <v>48044.760399999992</v>
      </c>
      <c r="I735" s="2">
        <f t="shared" si="238"/>
        <v>39.338316691865536</v>
      </c>
      <c r="J735" s="2">
        <f t="shared" si="239"/>
        <v>14.389644703067352</v>
      </c>
      <c r="K735">
        <f t="shared" si="240"/>
        <v>1.214545716470263E+17</v>
      </c>
      <c r="L735" s="13">
        <f t="shared" si="231"/>
        <v>3099852554.8964858</v>
      </c>
      <c r="M735" s="2">
        <f t="shared" si="241"/>
        <v>1775592.4557141727</v>
      </c>
      <c r="N735" s="2">
        <f t="shared" si="242"/>
        <v>7.9258105178673021E+19</v>
      </c>
      <c r="O735" s="2">
        <f t="shared" si="243"/>
        <v>2.5063613539379229E+17</v>
      </c>
      <c r="P735" s="2">
        <f t="shared" si="237"/>
        <v>3.3360388172667803E+21</v>
      </c>
      <c r="Q735" s="2">
        <f t="shared" si="232"/>
        <v>1.2554402847330767E+21</v>
      </c>
    </row>
    <row r="736" spans="1:17" x14ac:dyDescent="0.2">
      <c r="A736">
        <f t="shared" si="245"/>
        <v>355</v>
      </c>
      <c r="B736">
        <f t="shared" si="244"/>
        <v>355000</v>
      </c>
      <c r="C736" s="1">
        <f t="shared" ref="C736:C799" si="246">$B$3*$B$1*B736</f>
        <v>11492415000</v>
      </c>
      <c r="D736">
        <f t="shared" si="233"/>
        <v>1650.5</v>
      </c>
      <c r="E736" s="2">
        <f t="shared" ref="E736:E799" si="247">+$B$19+$B$16*0</f>
        <v>540000</v>
      </c>
      <c r="F736" s="2">
        <f t="shared" si="234"/>
        <v>690893.81</v>
      </c>
      <c r="G736" s="2">
        <f t="shared" si="235"/>
        <v>13722.917199999998</v>
      </c>
      <c r="H736" s="2">
        <f t="shared" si="236"/>
        <v>48030.210199999994</v>
      </c>
      <c r="I736" s="2">
        <f t="shared" si="238"/>
        <v>39.350233782653739</v>
      </c>
      <c r="J736" s="2">
        <f t="shared" si="239"/>
        <v>14.384567694438283</v>
      </c>
      <c r="K736">
        <f t="shared" si="240"/>
        <v>1.229106154753527E+17</v>
      </c>
      <c r="L736" s="13">
        <f t="shared" ref="L736:L799" si="248">EXP((300*1000)/($B$17*D736))</f>
        <v>3120443544.50214</v>
      </c>
      <c r="M736" s="2">
        <f t="shared" si="241"/>
        <v>1766600.6026670621</v>
      </c>
      <c r="N736" s="2">
        <f t="shared" si="242"/>
        <v>8.0208281638276694E+19</v>
      </c>
      <c r="O736" s="2">
        <f t="shared" si="243"/>
        <v>2.5364085718521485E+17</v>
      </c>
      <c r="P736" s="2">
        <f t="shared" si="237"/>
        <v>3.3191446416310461E+21</v>
      </c>
      <c r="Q736" s="2">
        <f t="shared" ref="Q736:Q799" si="249">$B$12*L736</f>
        <v>1.2637796355233667E+21</v>
      </c>
    </row>
    <row r="737" spans="1:17" x14ac:dyDescent="0.2">
      <c r="A737">
        <f t="shared" si="245"/>
        <v>354</v>
      </c>
      <c r="B737">
        <f t="shared" si="244"/>
        <v>354000</v>
      </c>
      <c r="C737" s="1">
        <f t="shared" si="246"/>
        <v>11460042000</v>
      </c>
      <c r="D737">
        <f t="shared" si="233"/>
        <v>1650</v>
      </c>
      <c r="E737" s="2">
        <f t="shared" si="247"/>
        <v>540000</v>
      </c>
      <c r="F737" s="2">
        <f t="shared" si="234"/>
        <v>690440.58799999999</v>
      </c>
      <c r="G737" s="2">
        <f t="shared" si="235"/>
        <v>13718.759999999998</v>
      </c>
      <c r="H737" s="2">
        <f t="shared" si="236"/>
        <v>48015.659999999996</v>
      </c>
      <c r="I737" s="2">
        <f t="shared" si="238"/>
        <v>39.36215809592121</v>
      </c>
      <c r="J737" s="2">
        <f t="shared" si="239"/>
        <v>14.379487608834285</v>
      </c>
      <c r="K737">
        <f t="shared" si="240"/>
        <v>1.2438501327857034E+17</v>
      </c>
      <c r="L737" s="13">
        <f t="shared" si="248"/>
        <v>3141183915.1500301</v>
      </c>
      <c r="M737" s="2">
        <f t="shared" si="241"/>
        <v>1757648.8773944073</v>
      </c>
      <c r="N737" s="2">
        <f t="shared" si="242"/>
        <v>8.1170435426132804E+19</v>
      </c>
      <c r="O737" s="2">
        <f t="shared" si="243"/>
        <v>2.5668345461419859E+17</v>
      </c>
      <c r="P737" s="2">
        <f t="shared" si="237"/>
        <v>3.3023258593170198E+21</v>
      </c>
      <c r="Q737" s="2">
        <f t="shared" si="249"/>
        <v>1.2721794856357622E+21</v>
      </c>
    </row>
    <row r="738" spans="1:17" x14ac:dyDescent="0.2">
      <c r="A738">
        <f t="shared" si="245"/>
        <v>353</v>
      </c>
      <c r="B738">
        <f t="shared" si="244"/>
        <v>353000</v>
      </c>
      <c r="C738" s="1">
        <f t="shared" si="246"/>
        <v>11427669000</v>
      </c>
      <c r="D738">
        <f t="shared" si="233"/>
        <v>1649.5</v>
      </c>
      <c r="E738" s="2">
        <f t="shared" si="247"/>
        <v>540000</v>
      </c>
      <c r="F738" s="2">
        <f t="shared" si="234"/>
        <v>689987.36599999992</v>
      </c>
      <c r="G738" s="2">
        <f t="shared" si="235"/>
        <v>13714.602799999999</v>
      </c>
      <c r="H738" s="2">
        <f t="shared" si="236"/>
        <v>48001.109799999998</v>
      </c>
      <c r="I738" s="2">
        <f t="shared" si="238"/>
        <v>39.374089638235823</v>
      </c>
      <c r="J738" s="2">
        <f t="shared" si="239"/>
        <v>14.374404443457262</v>
      </c>
      <c r="K738">
        <f t="shared" si="240"/>
        <v>1.2587800747747965E+17</v>
      </c>
      <c r="L738" s="13">
        <f t="shared" si="248"/>
        <v>3162074838.2499576</v>
      </c>
      <c r="M738" s="2">
        <f t="shared" si="241"/>
        <v>1748737.1266162745</v>
      </c>
      <c r="N738" s="2">
        <f t="shared" si="242"/>
        <v>8.2144724739771826E+19</v>
      </c>
      <c r="O738" s="2">
        <f t="shared" si="243"/>
        <v>2.5976442794526003E+17</v>
      </c>
      <c r="P738" s="2">
        <f t="shared" si="237"/>
        <v>3.2855821823375515E+21</v>
      </c>
      <c r="Q738" s="2">
        <f t="shared" si="249"/>
        <v>1.2806403094912329E+21</v>
      </c>
    </row>
    <row r="739" spans="1:17" x14ac:dyDescent="0.2">
      <c r="A739">
        <f t="shared" si="245"/>
        <v>352</v>
      </c>
      <c r="B739">
        <f t="shared" si="244"/>
        <v>352000</v>
      </c>
      <c r="C739" s="1">
        <f t="shared" si="246"/>
        <v>11395296000</v>
      </c>
      <c r="D739">
        <f t="shared" si="233"/>
        <v>1649</v>
      </c>
      <c r="E739" s="2">
        <f t="shared" si="247"/>
        <v>540000</v>
      </c>
      <c r="F739" s="2">
        <f t="shared" si="234"/>
        <v>689534.14399999997</v>
      </c>
      <c r="G739" s="2">
        <f t="shared" si="235"/>
        <v>13710.445599999999</v>
      </c>
      <c r="H739" s="2">
        <f t="shared" si="236"/>
        <v>47986.559599999993</v>
      </c>
      <c r="I739" s="2">
        <f t="shared" si="238"/>
        <v>39.386028416173431</v>
      </c>
      <c r="J739" s="2">
        <f t="shared" si="239"/>
        <v>14.369318195505729</v>
      </c>
      <c r="K739">
        <f t="shared" si="240"/>
        <v>1.2738984383792414E+17</v>
      </c>
      <c r="L739" s="13">
        <f t="shared" si="248"/>
        <v>3183117495.0626788</v>
      </c>
      <c r="M739" s="2">
        <f t="shared" si="241"/>
        <v>1739865.1975301539</v>
      </c>
      <c r="N739" s="2">
        <f t="shared" si="242"/>
        <v>8.3131309959612629E+19</v>
      </c>
      <c r="O739" s="2">
        <f t="shared" si="243"/>
        <v>2.6288428434581491E+17</v>
      </c>
      <c r="P739" s="2">
        <f t="shared" si="237"/>
        <v>3.2689133236024928E+21</v>
      </c>
      <c r="Q739" s="2">
        <f t="shared" si="249"/>
        <v>1.289162585500385E+21</v>
      </c>
    </row>
    <row r="740" spans="1:17" x14ac:dyDescent="0.2">
      <c r="A740">
        <f t="shared" si="245"/>
        <v>351</v>
      </c>
      <c r="B740">
        <f t="shared" si="244"/>
        <v>351000</v>
      </c>
      <c r="C740" s="1">
        <f t="shared" si="246"/>
        <v>11362923000</v>
      </c>
      <c r="D740">
        <f t="shared" si="233"/>
        <v>1648.5</v>
      </c>
      <c r="E740" s="2">
        <f t="shared" si="247"/>
        <v>540000</v>
      </c>
      <c r="F740" s="2">
        <f t="shared" si="234"/>
        <v>689080.92200000002</v>
      </c>
      <c r="G740" s="2">
        <f t="shared" si="235"/>
        <v>13706.288399999999</v>
      </c>
      <c r="H740" s="2">
        <f t="shared" si="236"/>
        <v>47972.009399999995</v>
      </c>
      <c r="I740" s="2">
        <f t="shared" si="238"/>
        <v>39.39797443631786</v>
      </c>
      <c r="J740" s="2">
        <f t="shared" si="239"/>
        <v>14.364228862174786</v>
      </c>
      <c r="K740">
        <f t="shared" si="240"/>
        <v>1.2892077151888368E+17</v>
      </c>
      <c r="L740" s="13">
        <f t="shared" si="248"/>
        <v>3204313076.7881551</v>
      </c>
      <c r="M740" s="2">
        <f t="shared" si="241"/>
        <v>1731032.9378098259</v>
      </c>
      <c r="N740" s="2">
        <f t="shared" si="242"/>
        <v>8.4130353680346907E+19</v>
      </c>
      <c r="O740" s="2">
        <f t="shared" si="243"/>
        <v>2.6604353798542438E+17</v>
      </c>
      <c r="P740" s="2">
        <f t="shared" si="237"/>
        <v>3.252318996916561E+21</v>
      </c>
      <c r="Q740" s="2">
        <f t="shared" si="249"/>
        <v>1.2977467960992027E+21</v>
      </c>
    </row>
    <row r="741" spans="1:17" x14ac:dyDescent="0.2">
      <c r="A741">
        <f t="shared" si="245"/>
        <v>350</v>
      </c>
      <c r="B741">
        <f t="shared" si="244"/>
        <v>350000</v>
      </c>
      <c r="C741" s="1">
        <f t="shared" si="246"/>
        <v>11330550000</v>
      </c>
      <c r="D741">
        <f t="shared" si="233"/>
        <v>1648</v>
      </c>
      <c r="E741" s="2">
        <f t="shared" si="247"/>
        <v>540000</v>
      </c>
      <c r="F741" s="2">
        <f t="shared" si="234"/>
        <v>688627.7</v>
      </c>
      <c r="G741" s="2">
        <f t="shared" si="235"/>
        <v>13702.131199999998</v>
      </c>
      <c r="H741" s="2">
        <f t="shared" si="236"/>
        <v>47957.459199999998</v>
      </c>
      <c r="I741" s="2">
        <f t="shared" si="238"/>
        <v>39.40992770526092</v>
      </c>
      <c r="J741" s="2">
        <f t="shared" si="239"/>
        <v>14.359136440656139</v>
      </c>
      <c r="K741">
        <f t="shared" si="240"/>
        <v>1.304710431212891E+17</v>
      </c>
      <c r="L741" s="13">
        <f t="shared" si="248"/>
        <v>3225662784.6546702</v>
      </c>
      <c r="M741" s="2">
        <f t="shared" si="241"/>
        <v>1722240.1956043064</v>
      </c>
      <c r="N741" s="2">
        <f t="shared" si="242"/>
        <v>8.5142020742794346E+19</v>
      </c>
      <c r="O741" s="2">
        <f t="shared" si="243"/>
        <v>2.6924271013653008E+17</v>
      </c>
      <c r="P741" s="2">
        <f t="shared" si="237"/>
        <v>3.2357989169773643E+21</v>
      </c>
      <c r="Q741" s="2">
        <f t="shared" si="249"/>
        <v>1.3063934277851415E+21</v>
      </c>
    </row>
    <row r="742" spans="1:17" x14ac:dyDescent="0.2">
      <c r="A742">
        <f t="shared" si="245"/>
        <v>349</v>
      </c>
      <c r="B742">
        <f t="shared" si="244"/>
        <v>349000</v>
      </c>
      <c r="C742" s="1">
        <f t="shared" si="246"/>
        <v>11298177000</v>
      </c>
      <c r="D742">
        <f t="shared" si="233"/>
        <v>1647.5</v>
      </c>
      <c r="E742" s="2">
        <f t="shared" si="247"/>
        <v>540000</v>
      </c>
      <c r="F742" s="2">
        <f t="shared" si="234"/>
        <v>688174.478</v>
      </c>
      <c r="G742" s="2">
        <f t="shared" si="235"/>
        <v>13697.973999999998</v>
      </c>
      <c r="H742" s="2">
        <f t="shared" si="236"/>
        <v>47942.908999999992</v>
      </c>
      <c r="I742" s="2">
        <f t="shared" si="238"/>
        <v>39.421888229602423</v>
      </c>
      <c r="J742" s="2">
        <f t="shared" si="239"/>
        <v>14.354040928138092</v>
      </c>
      <c r="K742">
        <f t="shared" si="240"/>
        <v>1.3204091473756723E+17</v>
      </c>
      <c r="L742" s="13">
        <f t="shared" si="248"/>
        <v>3247167830.0087752</v>
      </c>
      <c r="M742" s="2">
        <f t="shared" si="241"/>
        <v>1713486.8195367462</v>
      </c>
      <c r="N742" s="2">
        <f t="shared" si="242"/>
        <v>8.6166478266234388E+19</v>
      </c>
      <c r="O742" s="2">
        <f t="shared" si="243"/>
        <v>2.7248232927669597E+17</v>
      </c>
      <c r="P742" s="2">
        <f t="shared" si="237"/>
        <v>3.2193527993733281E+21</v>
      </c>
      <c r="Q742" s="2">
        <f t="shared" si="249"/>
        <v>1.3151029711535541E+21</v>
      </c>
    </row>
    <row r="743" spans="1:17" x14ac:dyDescent="0.2">
      <c r="A743">
        <f t="shared" si="245"/>
        <v>348</v>
      </c>
      <c r="B743">
        <f t="shared" si="244"/>
        <v>348000</v>
      </c>
      <c r="C743" s="1">
        <f t="shared" si="246"/>
        <v>11265804000</v>
      </c>
      <c r="D743">
        <f t="shared" si="233"/>
        <v>1647</v>
      </c>
      <c r="E743" s="2">
        <f t="shared" si="247"/>
        <v>540000</v>
      </c>
      <c r="F743" s="2">
        <f t="shared" si="234"/>
        <v>687721.25600000005</v>
      </c>
      <c r="G743" s="2">
        <f t="shared" si="235"/>
        <v>13693.816799999999</v>
      </c>
      <c r="H743" s="2">
        <f t="shared" si="236"/>
        <v>47928.358799999995</v>
      </c>
      <c r="I743" s="2">
        <f t="shared" si="238"/>
        <v>39.433856015950212</v>
      </c>
      <c r="J743" s="2">
        <f t="shared" si="239"/>
        <v>14.348942321805522</v>
      </c>
      <c r="K743">
        <f t="shared" si="240"/>
        <v>1.3363064600192894E+17</v>
      </c>
      <c r="L743" s="13">
        <f t="shared" si="248"/>
        <v>3268829434.4061804</v>
      </c>
      <c r="M743" s="2">
        <f t="shared" si="241"/>
        <v>1704772.6587032985</v>
      </c>
      <c r="N743" s="2">
        <f t="shared" si="242"/>
        <v>8.7203895681222984E+19</v>
      </c>
      <c r="O743" s="2">
        <f t="shared" si="243"/>
        <v>2.7576293119238403E+17</v>
      </c>
      <c r="P743" s="2">
        <f t="shared" si="237"/>
        <v>3.2029803605815701E+21</v>
      </c>
      <c r="Q743" s="2">
        <f t="shared" si="249"/>
        <v>1.3238759209345029E+21</v>
      </c>
    </row>
    <row r="744" spans="1:17" x14ac:dyDescent="0.2">
      <c r="A744">
        <f t="shared" si="245"/>
        <v>347</v>
      </c>
      <c r="B744">
        <f t="shared" si="244"/>
        <v>347000</v>
      </c>
      <c r="C744" s="1">
        <f t="shared" si="246"/>
        <v>11233431000</v>
      </c>
      <c r="D744">
        <f t="shared" si="233"/>
        <v>1646.5</v>
      </c>
      <c r="E744" s="2">
        <f t="shared" si="247"/>
        <v>540000</v>
      </c>
      <c r="F744" s="2">
        <f t="shared" si="234"/>
        <v>687268.03399999999</v>
      </c>
      <c r="G744" s="2">
        <f t="shared" si="235"/>
        <v>13689.659599999999</v>
      </c>
      <c r="H744" s="2">
        <f t="shared" si="236"/>
        <v>47913.808599999997</v>
      </c>
      <c r="I744" s="2">
        <f t="shared" si="238"/>
        <v>39.445831070920129</v>
      </c>
      <c r="J744" s="2">
        <f t="shared" si="239"/>
        <v>14.34384061883989</v>
      </c>
      <c r="K744">
        <f t="shared" si="240"/>
        <v>1.3524050014140288E+17</v>
      </c>
      <c r="L744" s="13">
        <f t="shared" si="248"/>
        <v>3290648829.703383</v>
      </c>
      <c r="M744" s="2">
        <f t="shared" si="241"/>
        <v>1696097.5626720602</v>
      </c>
      <c r="N744" s="2">
        <f t="shared" si="242"/>
        <v>8.8254444762895794E+19</v>
      </c>
      <c r="O744" s="2">
        <f t="shared" si="243"/>
        <v>2.7908505908426832E+17</v>
      </c>
      <c r="P744" s="2">
        <f t="shared" si="237"/>
        <v>3.186681317965911E+21</v>
      </c>
      <c r="Q744" s="2">
        <f t="shared" si="249"/>
        <v>1.3327127760298702E+21</v>
      </c>
    </row>
    <row r="745" spans="1:17" x14ac:dyDescent="0.2">
      <c r="A745">
        <f t="shared" si="245"/>
        <v>346</v>
      </c>
      <c r="B745">
        <f t="shared" si="244"/>
        <v>346000</v>
      </c>
      <c r="C745" s="1">
        <f t="shared" si="246"/>
        <v>11201058000</v>
      </c>
      <c r="D745">
        <f t="shared" si="233"/>
        <v>1646</v>
      </c>
      <c r="E745" s="2">
        <f t="shared" si="247"/>
        <v>540000</v>
      </c>
      <c r="F745" s="2">
        <f t="shared" si="234"/>
        <v>686814.81200000003</v>
      </c>
      <c r="G745" s="2">
        <f t="shared" si="235"/>
        <v>13685.502399999999</v>
      </c>
      <c r="H745" s="2">
        <f t="shared" si="236"/>
        <v>47899.258399999992</v>
      </c>
      <c r="I745" s="2">
        <f t="shared" si="238"/>
        <v>39.457813401136086</v>
      </c>
      <c r="J745" s="2">
        <f t="shared" si="239"/>
        <v>14.33873581641924</v>
      </c>
      <c r="K745">
        <f t="shared" si="240"/>
        <v>1.368707440276469E+17</v>
      </c>
      <c r="L745" s="13">
        <f t="shared" si="248"/>
        <v>3312627258.150229</v>
      </c>
      <c r="M745" s="2">
        <f t="shared" si="241"/>
        <v>1687461.3814819797</v>
      </c>
      <c r="N745" s="2">
        <f t="shared" si="242"/>
        <v>8.9318299664779018E+19</v>
      </c>
      <c r="O745" s="2">
        <f t="shared" si="243"/>
        <v>2.8244926367415427E+17</v>
      </c>
      <c r="P745" s="2">
        <f t="shared" si="237"/>
        <v>3.1704553897748222E+21</v>
      </c>
      <c r="Q745" s="2">
        <f t="shared" si="249"/>
        <v>1.3416140395508426E+21</v>
      </c>
    </row>
    <row r="746" spans="1:17" x14ac:dyDescent="0.2">
      <c r="A746">
        <f t="shared" si="245"/>
        <v>345</v>
      </c>
      <c r="B746">
        <f t="shared" si="244"/>
        <v>345000</v>
      </c>
      <c r="C746" s="1">
        <f t="shared" si="246"/>
        <v>11168685000</v>
      </c>
      <c r="D746">
        <f t="shared" si="233"/>
        <v>1645.5</v>
      </c>
      <c r="E746" s="2">
        <f t="shared" si="247"/>
        <v>540000</v>
      </c>
      <c r="F746" s="2">
        <f t="shared" si="234"/>
        <v>686361.59</v>
      </c>
      <c r="G746" s="2">
        <f t="shared" si="235"/>
        <v>13681.345199999998</v>
      </c>
      <c r="H746" s="2">
        <f t="shared" si="236"/>
        <v>47884.708199999994</v>
      </c>
      <c r="I746" s="2">
        <f t="shared" si="238"/>
        <v>39.46980301323002</v>
      </c>
      <c r="J746" s="2">
        <f t="shared" si="239"/>
        <v>14.333627911718173</v>
      </c>
      <c r="K746">
        <f t="shared" si="240"/>
        <v>1.3852164822951992E+17</v>
      </c>
      <c r="L746" s="13">
        <f t="shared" si="248"/>
        <v>3334765972.483377</v>
      </c>
      <c r="M746" s="2">
        <f t="shared" si="241"/>
        <v>1678863.9656417347</v>
      </c>
      <c r="N746" s="2">
        <f t="shared" si="242"/>
        <v>9.0395636953096487E+19</v>
      </c>
      <c r="O746" s="2">
        <f t="shared" si="243"/>
        <v>2.8585610331346694E+17</v>
      </c>
      <c r="P746" s="2">
        <f t="shared" si="237"/>
        <v>3.1543022951393159E+21</v>
      </c>
      <c r="Q746" s="2">
        <f t="shared" si="249"/>
        <v>1.3505802188557677E+21</v>
      </c>
    </row>
    <row r="747" spans="1:17" x14ac:dyDescent="0.2">
      <c r="A747">
        <f t="shared" si="245"/>
        <v>344</v>
      </c>
      <c r="B747">
        <f t="shared" si="244"/>
        <v>344000</v>
      </c>
      <c r="C747" s="1">
        <f t="shared" si="246"/>
        <v>11136312000</v>
      </c>
      <c r="D747">
        <f t="shared" si="233"/>
        <v>1645</v>
      </c>
      <c r="E747" s="2">
        <f t="shared" si="247"/>
        <v>540000</v>
      </c>
      <c r="F747" s="2">
        <f t="shared" si="234"/>
        <v>685908.36800000002</v>
      </c>
      <c r="G747" s="2">
        <f t="shared" si="235"/>
        <v>13677.187999999998</v>
      </c>
      <c r="H747" s="2">
        <f t="shared" si="236"/>
        <v>47870.157999999996</v>
      </c>
      <c r="I747" s="2">
        <f t="shared" si="238"/>
        <v>39.481799913841947</v>
      </c>
      <c r="J747" s="2">
        <f t="shared" si="239"/>
        <v>14.328516901907866</v>
      </c>
      <c r="K747">
        <f t="shared" si="240"/>
        <v>1.401934870664567E+17</v>
      </c>
      <c r="L747" s="13">
        <f t="shared" si="248"/>
        <v>3357066236.0206175</v>
      </c>
      <c r="M747" s="2">
        <f t="shared" si="241"/>
        <v>1670305.1661286796</v>
      </c>
      <c r="N747" s="2">
        <f t="shared" si="242"/>
        <v>9.1486635641600524E+19</v>
      </c>
      <c r="O747" s="2">
        <f t="shared" si="243"/>
        <v>2.8930614409339622E+17</v>
      </c>
      <c r="P747" s="2">
        <f t="shared" si="237"/>
        <v>3.1382217540709709E+21</v>
      </c>
      <c r="Q747" s="2">
        <f t="shared" si="249"/>
        <v>1.35961182558835E+21</v>
      </c>
    </row>
    <row r="748" spans="1:17" x14ac:dyDescent="0.2">
      <c r="A748">
        <f t="shared" si="245"/>
        <v>343</v>
      </c>
      <c r="B748">
        <f t="shared" si="244"/>
        <v>343000</v>
      </c>
      <c r="C748" s="1">
        <f t="shared" si="246"/>
        <v>11103939000</v>
      </c>
      <c r="D748">
        <f t="shared" si="233"/>
        <v>1644.5</v>
      </c>
      <c r="E748" s="2">
        <f t="shared" si="247"/>
        <v>540000</v>
      </c>
      <c r="F748" s="2">
        <f t="shared" si="234"/>
        <v>685455.14599999995</v>
      </c>
      <c r="G748" s="2">
        <f t="shared" si="235"/>
        <v>13673.030799999999</v>
      </c>
      <c r="H748" s="2">
        <f t="shared" si="236"/>
        <v>47855.607799999998</v>
      </c>
      <c r="I748" s="2">
        <f t="shared" si="238"/>
        <v>39.493804109619944</v>
      </c>
      <c r="J748" s="2">
        <f t="shared" si="239"/>
        <v>14.32340278415605</v>
      </c>
      <c r="K748">
        <f t="shared" si="240"/>
        <v>1.4188653866263384E+17</v>
      </c>
      <c r="L748" s="13">
        <f t="shared" si="248"/>
        <v>3379529322.7560816</v>
      </c>
      <c r="M748" s="2">
        <f t="shared" si="241"/>
        <v>1661784.834387732</v>
      </c>
      <c r="N748" s="2">
        <f t="shared" si="242"/>
        <v>9.2591477226919412E+19</v>
      </c>
      <c r="O748" s="2">
        <f t="shared" si="243"/>
        <v>2.927999599566752E+17</v>
      </c>
      <c r="P748" s="2">
        <f t="shared" si="237"/>
        <v>3.1222134874598361E+21</v>
      </c>
      <c r="Q748" s="2">
        <f t="shared" si="249"/>
        <v>1.3687093757162131E+21</v>
      </c>
    </row>
    <row r="749" spans="1:17" x14ac:dyDescent="0.2">
      <c r="A749">
        <f t="shared" si="245"/>
        <v>342</v>
      </c>
      <c r="B749">
        <f t="shared" si="244"/>
        <v>342000</v>
      </c>
      <c r="C749" s="1">
        <f t="shared" si="246"/>
        <v>11071566000</v>
      </c>
      <c r="D749">
        <f t="shared" si="233"/>
        <v>1644</v>
      </c>
      <c r="E749" s="2">
        <f t="shared" si="247"/>
        <v>540000</v>
      </c>
      <c r="F749" s="2">
        <f t="shared" si="234"/>
        <v>685001.924</v>
      </c>
      <c r="G749" s="2">
        <f t="shared" si="235"/>
        <v>13668.873599999999</v>
      </c>
      <c r="H749" s="2">
        <f t="shared" si="236"/>
        <v>47841.057599999993</v>
      </c>
      <c r="I749" s="2">
        <f t="shared" si="238"/>
        <v>39.505815607220192</v>
      </c>
      <c r="J749" s="2">
        <f t="shared" si="239"/>
        <v>14.318285555627016</v>
      </c>
      <c r="K749">
        <f t="shared" si="240"/>
        <v>1.4360108500195603E+17</v>
      </c>
      <c r="L749" s="13">
        <f t="shared" si="248"/>
        <v>3402156517.4564161</v>
      </c>
      <c r="M749" s="2">
        <f t="shared" si="241"/>
        <v>1653302.8223303042</v>
      </c>
      <c r="N749" s="2">
        <f t="shared" si="242"/>
        <v>9.3710345724439937E+19</v>
      </c>
      <c r="O749" s="2">
        <f t="shared" si="243"/>
        <v>2.963381328110505E+17</v>
      </c>
      <c r="P749" s="2">
        <f t="shared" si="237"/>
        <v>3.1062772170724276E+21</v>
      </c>
      <c r="Q749" s="2">
        <f t="shared" si="249"/>
        <v>1.3778733895698486E+21</v>
      </c>
    </row>
    <row r="750" spans="1:17" x14ac:dyDescent="0.2">
      <c r="A750">
        <f t="shared" si="245"/>
        <v>341</v>
      </c>
      <c r="B750">
        <f t="shared" si="244"/>
        <v>341000</v>
      </c>
      <c r="C750" s="1">
        <f t="shared" si="246"/>
        <v>11039193000</v>
      </c>
      <c r="D750">
        <f t="shared" si="233"/>
        <v>1643.5</v>
      </c>
      <c r="E750" s="2">
        <f t="shared" si="247"/>
        <v>540000</v>
      </c>
      <c r="F750" s="2">
        <f t="shared" si="234"/>
        <v>684548.70200000005</v>
      </c>
      <c r="G750" s="2">
        <f t="shared" si="235"/>
        <v>13664.716399999999</v>
      </c>
      <c r="H750" s="2">
        <f t="shared" si="236"/>
        <v>47826.507399999995</v>
      </c>
      <c r="I750" s="2">
        <f t="shared" si="238"/>
        <v>39.517834413306964</v>
      </c>
      <c r="J750" s="2">
        <f t="shared" si="239"/>
        <v>14.313165213481597</v>
      </c>
      <c r="K750">
        <f t="shared" si="240"/>
        <v>1.453374119838623E+17</v>
      </c>
      <c r="L750" s="13">
        <f t="shared" si="248"/>
        <v>3424949115.757854</v>
      </c>
      <c r="M750" s="2">
        <f t="shared" si="241"/>
        <v>1644858.9823331959</v>
      </c>
      <c r="N750" s="2">
        <f t="shared" si="242"/>
        <v>9.4843427704725078E+19</v>
      </c>
      <c r="O750" s="2">
        <f t="shared" si="243"/>
        <v>2.999212526444455E+17</v>
      </c>
      <c r="P750" s="2">
        <f t="shared" si="237"/>
        <v>3.0904126655496438E+21</v>
      </c>
      <c r="Q750" s="2">
        <f t="shared" si="249"/>
        <v>1.3871043918819308E+21</v>
      </c>
    </row>
    <row r="751" spans="1:17" x14ac:dyDescent="0.2">
      <c r="A751">
        <f t="shared" si="245"/>
        <v>340</v>
      </c>
      <c r="B751">
        <f t="shared" si="244"/>
        <v>340000</v>
      </c>
      <c r="C751" s="1">
        <f t="shared" si="246"/>
        <v>11006820000</v>
      </c>
      <c r="D751">
        <f t="shared" si="233"/>
        <v>1643</v>
      </c>
      <c r="E751" s="2">
        <f t="shared" si="247"/>
        <v>540000</v>
      </c>
      <c r="F751" s="2">
        <f t="shared" si="234"/>
        <v>684095.48</v>
      </c>
      <c r="G751" s="2">
        <f t="shared" si="235"/>
        <v>13660.559199999998</v>
      </c>
      <c r="H751" s="2">
        <f t="shared" si="236"/>
        <v>47811.957199999997</v>
      </c>
      <c r="I751" s="2">
        <f t="shared" si="238"/>
        <v>39.529860534552647</v>
      </c>
      <c r="J751" s="2">
        <f t="shared" si="239"/>
        <v>14.308041754877168</v>
      </c>
      <c r="K751">
        <f t="shared" si="240"/>
        <v>1.4709580947997517E+17</v>
      </c>
      <c r="L751" s="13">
        <f t="shared" si="248"/>
        <v>3447908424.2641134</v>
      </c>
      <c r="M751" s="2">
        <f t="shared" si="241"/>
        <v>1636453.1672375211</v>
      </c>
      <c r="N751" s="2">
        <f t="shared" si="242"/>
        <v>9.5990912330481779E+19</v>
      </c>
      <c r="O751" s="2">
        <f t="shared" si="243"/>
        <v>3.0354991764186259E+17</v>
      </c>
      <c r="P751" s="2">
        <f t="shared" si="237"/>
        <v>3.0746195564047536E+21</v>
      </c>
      <c r="Q751" s="2">
        <f t="shared" si="249"/>
        <v>1.396402911826966E+21</v>
      </c>
    </row>
    <row r="752" spans="1:17" x14ac:dyDescent="0.2">
      <c r="A752">
        <f t="shared" si="245"/>
        <v>339</v>
      </c>
      <c r="B752">
        <f t="shared" si="244"/>
        <v>339000</v>
      </c>
      <c r="C752" s="1">
        <f t="shared" si="246"/>
        <v>10974447000</v>
      </c>
      <c r="D752">
        <f t="shared" si="233"/>
        <v>1642.5</v>
      </c>
      <c r="E752" s="2">
        <f t="shared" si="247"/>
        <v>540000</v>
      </c>
      <c r="F752" s="2">
        <f t="shared" si="234"/>
        <v>683642.25800000003</v>
      </c>
      <c r="G752" s="2">
        <f t="shared" si="235"/>
        <v>13656.401999999998</v>
      </c>
      <c r="H752" s="2">
        <f t="shared" si="236"/>
        <v>47797.406999999992</v>
      </c>
      <c r="I752" s="2">
        <f t="shared" si="238"/>
        <v>39.541893977637748</v>
      </c>
      <c r="J752" s="2">
        <f t="shared" si="239"/>
        <v>14.302915176967657</v>
      </c>
      <c r="K752">
        <f t="shared" si="240"/>
        <v>1.4887657139159984E+17</v>
      </c>
      <c r="L752" s="13">
        <f t="shared" si="248"/>
        <v>3471035760.6454158</v>
      </c>
      <c r="M752" s="2">
        <f t="shared" si="241"/>
        <v>1628085.2303476455</v>
      </c>
      <c r="N752" s="2">
        <f t="shared" si="242"/>
        <v>9.7152991394083488E+19</v>
      </c>
      <c r="O752" s="2">
        <f t="shared" si="243"/>
        <v>3.0722473430403962E+17</v>
      </c>
      <c r="P752" s="2">
        <f t="shared" si="237"/>
        <v>3.0588976140213955E+21</v>
      </c>
      <c r="Q752" s="2">
        <f t="shared" si="249"/>
        <v>1.4057694830613934E+21</v>
      </c>
    </row>
    <row r="753" spans="1:17" x14ac:dyDescent="0.2">
      <c r="A753">
        <f t="shared" si="245"/>
        <v>338</v>
      </c>
      <c r="B753">
        <f t="shared" si="244"/>
        <v>338000</v>
      </c>
      <c r="C753" s="1">
        <f t="shared" si="246"/>
        <v>10942074000</v>
      </c>
      <c r="D753">
        <f t="shared" si="233"/>
        <v>1642</v>
      </c>
      <c r="E753" s="2">
        <f t="shared" si="247"/>
        <v>540000</v>
      </c>
      <c r="F753" s="2">
        <f t="shared" si="234"/>
        <v>683189.03599999996</v>
      </c>
      <c r="G753" s="2">
        <f t="shared" si="235"/>
        <v>13652.244799999999</v>
      </c>
      <c r="H753" s="2">
        <f t="shared" si="236"/>
        <v>47782.856799999994</v>
      </c>
      <c r="I753" s="2">
        <f t="shared" si="238"/>
        <v>39.553934749250914</v>
      </c>
      <c r="J753" s="2">
        <f t="shared" si="239"/>
        <v>14.297785476903508</v>
      </c>
      <c r="K753">
        <f t="shared" si="240"/>
        <v>1.5067999570808941E+17</v>
      </c>
      <c r="L753" s="13">
        <f t="shared" si="248"/>
        <v>3494332453.7382789</v>
      </c>
      <c r="M753" s="2">
        <f t="shared" si="241"/>
        <v>1619755.0254300612</v>
      </c>
      <c r="N753" s="2">
        <f t="shared" si="242"/>
        <v>9.8329859355657716E+19</v>
      </c>
      <c r="O753" s="2">
        <f t="shared" si="243"/>
        <v>3.109463175678937E+17</v>
      </c>
      <c r="P753" s="2">
        <f t="shared" si="237"/>
        <v>3.0432465636514668E+21</v>
      </c>
      <c r="Q753" s="2">
        <f t="shared" si="249"/>
        <v>1.4152046437640029E+21</v>
      </c>
    </row>
    <row r="754" spans="1:17" x14ac:dyDescent="0.2">
      <c r="A754">
        <f t="shared" si="245"/>
        <v>337</v>
      </c>
      <c r="B754">
        <f t="shared" si="244"/>
        <v>337000</v>
      </c>
      <c r="C754" s="1">
        <f t="shared" si="246"/>
        <v>10909701000</v>
      </c>
      <c r="D754">
        <f t="shared" si="233"/>
        <v>1641.5</v>
      </c>
      <c r="E754" s="2">
        <f t="shared" si="247"/>
        <v>540000</v>
      </c>
      <c r="F754" s="2">
        <f t="shared" si="234"/>
        <v>682735.81400000001</v>
      </c>
      <c r="G754" s="2">
        <f t="shared" si="235"/>
        <v>13648.087599999999</v>
      </c>
      <c r="H754" s="2">
        <f t="shared" si="236"/>
        <v>47768.306599999996</v>
      </c>
      <c r="I754" s="2">
        <f t="shared" si="238"/>
        <v>39.565982856088937</v>
      </c>
      <c r="J754" s="2">
        <f t="shared" si="239"/>
        <v>14.292652651831707</v>
      </c>
      <c r="K754">
        <f t="shared" si="240"/>
        <v>1.5250638456608912E+17</v>
      </c>
      <c r="L754" s="13">
        <f t="shared" si="248"/>
        <v>3517799843.646389</v>
      </c>
      <c r="M754" s="2">
        <f t="shared" si="241"/>
        <v>1611462.4067123535</v>
      </c>
      <c r="N754" s="2">
        <f t="shared" si="242"/>
        <v>9.9521713381747327E+19</v>
      </c>
      <c r="O754" s="2">
        <f t="shared" si="243"/>
        <v>3.1471529092877862E+17</v>
      </c>
      <c r="P754" s="2">
        <f t="shared" si="237"/>
        <v>3.0276661314131811E+21</v>
      </c>
      <c r="Q754" s="2">
        <f t="shared" si="249"/>
        <v>1.4247089366767876E+21</v>
      </c>
    </row>
    <row r="755" spans="1:17" x14ac:dyDescent="0.2">
      <c r="A755">
        <f t="shared" si="245"/>
        <v>336</v>
      </c>
      <c r="B755">
        <f t="shared" si="244"/>
        <v>336000</v>
      </c>
      <c r="C755" s="1">
        <f t="shared" si="246"/>
        <v>10877328000</v>
      </c>
      <c r="D755">
        <f t="shared" ref="D755:D818" si="250">IF(A755&gt;$B$4,$B$2+(A755-$B$4)*$B$5,$B$6+(($B$2-$B$6)/$B$4)*(A755))</f>
        <v>1641</v>
      </c>
      <c r="E755" s="2">
        <f t="shared" si="247"/>
        <v>540000</v>
      </c>
      <c r="F755" s="2">
        <f t="shared" ref="F755:F818" si="251">+$F$20+$H$15*C755*(0.000001)</f>
        <v>682282.59199999995</v>
      </c>
      <c r="G755" s="2">
        <f t="shared" ref="G755:G818" si="252">+$B$17*D755</f>
        <v>13643.930399999999</v>
      </c>
      <c r="H755" s="2">
        <f t="shared" ref="H755:H818" si="253">+$B$23*$B$17*D755</f>
        <v>47753.756399999998</v>
      </c>
      <c r="I755" s="2">
        <f t="shared" si="238"/>
        <v>39.57803830485679</v>
      </c>
      <c r="J755" s="2">
        <f t="shared" si="239"/>
        <v>14.287516698895754</v>
      </c>
      <c r="K755">
        <f t="shared" si="240"/>
        <v>1.5435604430967526E+17</v>
      </c>
      <c r="L755" s="13">
        <f t="shared" si="248"/>
        <v>3541439281.842361</v>
      </c>
      <c r="M755" s="2">
        <f t="shared" si="241"/>
        <v>1603207.2288820851</v>
      </c>
      <c r="N755" s="2">
        <f t="shared" si="242"/>
        <v>1.0072875338455563E+20</v>
      </c>
      <c r="O755" s="2">
        <f t="shared" si="243"/>
        <v>3.1853228656458886E+17</v>
      </c>
      <c r="P755" s="2">
        <f t="shared" ref="P755:P818" si="254">(1000000)*($F$18^(-1/$B$23))*($F$19^((1/$B$23)-1))*M755</f>
        <v>3.0121560442889715E+21</v>
      </c>
      <c r="Q755" s="2">
        <f t="shared" si="249"/>
        <v>1.4342829091461561E+21</v>
      </c>
    </row>
    <row r="756" spans="1:17" x14ac:dyDescent="0.2">
      <c r="A756">
        <f t="shared" si="245"/>
        <v>335</v>
      </c>
      <c r="B756">
        <f t="shared" si="244"/>
        <v>335000</v>
      </c>
      <c r="C756" s="1">
        <f t="shared" si="246"/>
        <v>10844955000</v>
      </c>
      <c r="D756">
        <f t="shared" si="250"/>
        <v>1640.5</v>
      </c>
      <c r="E756" s="2">
        <f t="shared" si="247"/>
        <v>540000</v>
      </c>
      <c r="F756" s="2">
        <f t="shared" si="251"/>
        <v>681829.37</v>
      </c>
      <c r="G756" s="2">
        <f t="shared" si="252"/>
        <v>13639.773199999998</v>
      </c>
      <c r="H756" s="2">
        <f t="shared" si="253"/>
        <v>47739.206199999993</v>
      </c>
      <c r="I756" s="2">
        <f t="shared" ref="I756:I819" si="255">+E756/G756</f>
        <v>39.590101102267603</v>
      </c>
      <c r="J756" s="2">
        <f t="shared" ref="J756:J819" si="256">+F756/H756</f>
        <v>14.282377615235674</v>
      </c>
      <c r="K756">
        <f t="shared" ref="K756:K819" si="257">+EXP(I756)</f>
        <v>1.5622928555139277E+17</v>
      </c>
      <c r="L756" s="13">
        <f t="shared" si="248"/>
        <v>3565252131.2705011</v>
      </c>
      <c r="M756" s="2">
        <f t="shared" ref="M756:M819" si="258">+EXP(J756)</f>
        <v>1594989.34708575</v>
      </c>
      <c r="N756" s="2">
        <f t="shared" ref="N756:N819" si="259">+$B$13*(($B$15/$B$21)^($B$23-1))*K756</f>
        <v>1.0195118206177791E+20</v>
      </c>
      <c r="O756" s="2">
        <f t="shared" ref="O756:O819" si="260">+$B$13*(($B$15/$B$22)^($B$23-1))*K756</f>
        <v>3.2239794546171808E+17</v>
      </c>
      <c r="P756" s="2">
        <f t="shared" si="254"/>
        <v>2.9967160301235266E+21</v>
      </c>
      <c r="Q756" s="2">
        <f t="shared" si="249"/>
        <v>1.4439271131645529E+21</v>
      </c>
    </row>
    <row r="757" spans="1:17" x14ac:dyDescent="0.2">
      <c r="A757">
        <f t="shared" si="245"/>
        <v>334</v>
      </c>
      <c r="B757">
        <f t="shared" si="244"/>
        <v>334000</v>
      </c>
      <c r="C757" s="1">
        <f t="shared" si="246"/>
        <v>10812582000</v>
      </c>
      <c r="D757">
        <f t="shared" si="250"/>
        <v>1640</v>
      </c>
      <c r="E757" s="2">
        <f t="shared" si="247"/>
        <v>540000</v>
      </c>
      <c r="F757" s="2">
        <f t="shared" si="251"/>
        <v>681376.14800000004</v>
      </c>
      <c r="G757" s="2">
        <f t="shared" si="252"/>
        <v>13635.615999999998</v>
      </c>
      <c r="H757" s="2">
        <f t="shared" si="253"/>
        <v>47724.655999999995</v>
      </c>
      <c r="I757" s="2">
        <f t="shared" si="255"/>
        <v>39.602171255042684</v>
      </c>
      <c r="J757" s="2">
        <f t="shared" si="256"/>
        <v>14.277235397987994</v>
      </c>
      <c r="K757">
        <f t="shared" si="257"/>
        <v>1.5812642323422013E+17</v>
      </c>
      <c r="L757" s="13">
        <f t="shared" si="248"/>
        <v>3589239766.4505634</v>
      </c>
      <c r="M757" s="2">
        <f t="shared" si="258"/>
        <v>1586808.6169276601</v>
      </c>
      <c r="N757" s="2">
        <f t="shared" si="259"/>
        <v>1.0318920493703818E+20</v>
      </c>
      <c r="O757" s="2">
        <f t="shared" si="260"/>
        <v>3.2631291754293101E+17</v>
      </c>
      <c r="P757" s="2">
        <f t="shared" si="254"/>
        <v>2.9813458176216966E+21</v>
      </c>
      <c r="Q757" s="2">
        <f t="shared" si="249"/>
        <v>1.4536421054124783E+21</v>
      </c>
    </row>
    <row r="758" spans="1:17" x14ac:dyDescent="0.2">
      <c r="A758">
        <f t="shared" si="245"/>
        <v>333</v>
      </c>
      <c r="B758">
        <f t="shared" si="244"/>
        <v>333000</v>
      </c>
      <c r="C758" s="1">
        <f t="shared" si="246"/>
        <v>10780209000</v>
      </c>
      <c r="D758">
        <f t="shared" si="250"/>
        <v>1639.5</v>
      </c>
      <c r="E758" s="2">
        <f t="shared" si="247"/>
        <v>540000</v>
      </c>
      <c r="F758" s="2">
        <f t="shared" si="251"/>
        <v>680922.92599999998</v>
      </c>
      <c r="G758" s="2">
        <f t="shared" si="252"/>
        <v>13631.458799999999</v>
      </c>
      <c r="H758" s="2">
        <f t="shared" si="253"/>
        <v>47710.105799999998</v>
      </c>
      <c r="I758" s="2">
        <f t="shared" si="255"/>
        <v>39.614248769911555</v>
      </c>
      <c r="J758" s="2">
        <f t="shared" si="256"/>
        <v>14.272090044285754</v>
      </c>
      <c r="K758">
        <f t="shared" si="257"/>
        <v>1.6004777669447133E+17</v>
      </c>
      <c r="L758" s="13">
        <f t="shared" si="248"/>
        <v>3613403573.5824556</v>
      </c>
      <c r="M758" s="2">
        <f t="shared" si="258"/>
        <v>1578664.8944689094</v>
      </c>
      <c r="N758" s="2">
        <f t="shared" si="259"/>
        <v>1.0444303040093726E+20</v>
      </c>
      <c r="O758" s="2">
        <f t="shared" si="260"/>
        <v>3.3027786179716928E+17</v>
      </c>
      <c r="P758" s="2">
        <f t="shared" si="254"/>
        <v>2.9660451363465488E+21</v>
      </c>
      <c r="Q758" s="2">
        <f t="shared" si="249"/>
        <v>1.4634284473008946E+21</v>
      </c>
    </row>
    <row r="759" spans="1:17" x14ac:dyDescent="0.2">
      <c r="A759">
        <f t="shared" si="245"/>
        <v>332</v>
      </c>
      <c r="B759">
        <f t="shared" si="244"/>
        <v>332000</v>
      </c>
      <c r="C759" s="1">
        <f t="shared" si="246"/>
        <v>10747836000</v>
      </c>
      <c r="D759">
        <f t="shared" si="250"/>
        <v>1639</v>
      </c>
      <c r="E759" s="2">
        <f t="shared" si="247"/>
        <v>540000</v>
      </c>
      <c r="F759" s="2">
        <f t="shared" si="251"/>
        <v>680469.70400000003</v>
      </c>
      <c r="G759" s="2">
        <f t="shared" si="252"/>
        <v>13627.301599999999</v>
      </c>
      <c r="H759" s="2">
        <f t="shared" si="253"/>
        <v>47695.555599999992</v>
      </c>
      <c r="I759" s="2">
        <f t="shared" si="255"/>
        <v>39.626333653611958</v>
      </c>
      <c r="J759" s="2">
        <f t="shared" si="256"/>
        <v>14.266941551258503</v>
      </c>
      <c r="K759">
        <f t="shared" si="257"/>
        <v>1.6199366972564336E+17</v>
      </c>
      <c r="L759" s="13">
        <f t="shared" si="248"/>
        <v>3637744950.6520295</v>
      </c>
      <c r="M759" s="2">
        <f t="shared" si="258"/>
        <v>1570558.0362262907</v>
      </c>
      <c r="N759" s="2">
        <f t="shared" si="259"/>
        <v>1.057128697527181E+20</v>
      </c>
      <c r="O759" s="2">
        <f t="shared" si="260"/>
        <v>3.3429344641130854E+17</v>
      </c>
      <c r="P759" s="2">
        <f t="shared" si="254"/>
        <v>2.9508137167173315E+21</v>
      </c>
      <c r="Q759" s="2">
        <f t="shared" si="249"/>
        <v>1.4732867050140719E+21</v>
      </c>
    </row>
    <row r="760" spans="1:17" x14ac:dyDescent="0.2">
      <c r="A760">
        <f t="shared" si="245"/>
        <v>331</v>
      </c>
      <c r="B760">
        <f t="shared" ref="B760:B823" si="261">A760*1000</f>
        <v>331000</v>
      </c>
      <c r="C760" s="1">
        <f t="shared" si="246"/>
        <v>10715463000</v>
      </c>
      <c r="D760">
        <f t="shared" si="250"/>
        <v>1638.5</v>
      </c>
      <c r="E760" s="2">
        <f t="shared" si="247"/>
        <v>540000</v>
      </c>
      <c r="F760" s="2">
        <f t="shared" si="251"/>
        <v>680016.48199999996</v>
      </c>
      <c r="G760" s="2">
        <f t="shared" si="252"/>
        <v>13623.144399999999</v>
      </c>
      <c r="H760" s="2">
        <f t="shared" si="253"/>
        <v>47681.005399999995</v>
      </c>
      <c r="I760" s="2">
        <f t="shared" si="255"/>
        <v>39.638425912889836</v>
      </c>
      <c r="J760" s="2">
        <f t="shared" si="256"/>
        <v>14.261789916032267</v>
      </c>
      <c r="K760">
        <f t="shared" si="257"/>
        <v>1.6396443064322355E+17</v>
      </c>
      <c r="L760" s="13">
        <f t="shared" si="248"/>
        <v>3662265307.5378203</v>
      </c>
      <c r="M760" s="2">
        <f t="shared" si="258"/>
        <v>1562487.8991711915</v>
      </c>
      <c r="N760" s="2">
        <f t="shared" si="259"/>
        <v>1.0699893724255733E+20</v>
      </c>
      <c r="O760" s="2">
        <f t="shared" si="260"/>
        <v>3.3836034890389594E+17</v>
      </c>
      <c r="P760" s="2">
        <f t="shared" si="254"/>
        <v>2.9356512900073998E+21</v>
      </c>
      <c r="Q760" s="2">
        <f t="shared" si="249"/>
        <v>1.4832174495528172E+21</v>
      </c>
    </row>
    <row r="761" spans="1:17" x14ac:dyDescent="0.2">
      <c r="A761">
        <f t="shared" si="245"/>
        <v>330</v>
      </c>
      <c r="B761">
        <f t="shared" si="261"/>
        <v>330000</v>
      </c>
      <c r="C761" s="1">
        <f t="shared" si="246"/>
        <v>10683090000</v>
      </c>
      <c r="D761">
        <f t="shared" si="250"/>
        <v>1638</v>
      </c>
      <c r="E761" s="2">
        <f t="shared" si="247"/>
        <v>540000</v>
      </c>
      <c r="F761" s="2">
        <f t="shared" si="251"/>
        <v>679563.26</v>
      </c>
      <c r="G761" s="2">
        <f t="shared" si="252"/>
        <v>13618.987199999998</v>
      </c>
      <c r="H761" s="2">
        <f t="shared" si="253"/>
        <v>47666.455199999997</v>
      </c>
      <c r="I761" s="2">
        <f t="shared" si="255"/>
        <v>39.650525554499389</v>
      </c>
      <c r="J761" s="2">
        <f t="shared" si="256"/>
        <v>14.256635135729582</v>
      </c>
      <c r="K761">
        <f t="shared" si="257"/>
        <v>1.6596039235048883E+17</v>
      </c>
      <c r="L761" s="13">
        <f t="shared" si="248"/>
        <v>3686966066.1188402</v>
      </c>
      <c r="M761" s="2">
        <f t="shared" si="258"/>
        <v>1554454.340728577</v>
      </c>
      <c r="N761" s="2">
        <f t="shared" si="259"/>
        <v>1.0830145011450411E+20</v>
      </c>
      <c r="O761" s="2">
        <f t="shared" si="260"/>
        <v>3.4247925626093498E+17</v>
      </c>
      <c r="P761" s="2">
        <f t="shared" si="254"/>
        <v>2.9205575883423047E+21</v>
      </c>
      <c r="Q761" s="2">
        <f t="shared" si="249"/>
        <v>1.4932212567781304E+21</v>
      </c>
    </row>
    <row r="762" spans="1:17" x14ac:dyDescent="0.2">
      <c r="A762">
        <f t="shared" si="245"/>
        <v>329</v>
      </c>
      <c r="B762">
        <f t="shared" si="261"/>
        <v>329000</v>
      </c>
      <c r="C762" s="1">
        <f t="shared" si="246"/>
        <v>10650717000</v>
      </c>
      <c r="D762">
        <f t="shared" si="250"/>
        <v>1637.5</v>
      </c>
      <c r="E762" s="2">
        <f t="shared" si="247"/>
        <v>540000</v>
      </c>
      <c r="F762" s="2">
        <f t="shared" si="251"/>
        <v>679110.03799999994</v>
      </c>
      <c r="G762" s="2">
        <f t="shared" si="252"/>
        <v>13614.829999999998</v>
      </c>
      <c r="H762" s="2">
        <f t="shared" si="253"/>
        <v>47651.904999999992</v>
      </c>
      <c r="I762" s="2">
        <f t="shared" si="255"/>
        <v>39.662632585203049</v>
      </c>
      <c r="J762" s="2">
        <f t="shared" si="256"/>
        <v>14.251477207469462</v>
      </c>
      <c r="K762">
        <f t="shared" si="257"/>
        <v>1.679818924052879E+17</v>
      </c>
      <c r="L762" s="13">
        <f t="shared" si="248"/>
        <v>3711848660.3833342</v>
      </c>
      <c r="M762" s="2">
        <f t="shared" si="258"/>
        <v>1546457.2187758875</v>
      </c>
      <c r="N762" s="2">
        <f t="shared" si="259"/>
        <v>1.0962062865006055E+20</v>
      </c>
      <c r="O762" s="2">
        <f t="shared" si="260"/>
        <v>3.4665086507369869E+17</v>
      </c>
      <c r="P762" s="2">
        <f t="shared" si="254"/>
        <v>2.9055323446977222E+21</v>
      </c>
      <c r="Q762" s="2">
        <f t="shared" si="249"/>
        <v>1.5032987074552503E+21</v>
      </c>
    </row>
    <row r="763" spans="1:17" x14ac:dyDescent="0.2">
      <c r="A763">
        <f t="shared" si="245"/>
        <v>328</v>
      </c>
      <c r="B763">
        <f t="shared" si="261"/>
        <v>328000</v>
      </c>
      <c r="C763" s="1">
        <f t="shared" si="246"/>
        <v>10618344000</v>
      </c>
      <c r="D763">
        <f t="shared" si="250"/>
        <v>1637</v>
      </c>
      <c r="E763" s="2">
        <f t="shared" si="247"/>
        <v>540000</v>
      </c>
      <c r="F763" s="2">
        <f t="shared" si="251"/>
        <v>678656.81599999999</v>
      </c>
      <c r="G763" s="2">
        <f t="shared" si="252"/>
        <v>13610.672799999998</v>
      </c>
      <c r="H763" s="2">
        <f t="shared" si="253"/>
        <v>47637.354799999994</v>
      </c>
      <c r="I763" s="2">
        <f t="shared" si="255"/>
        <v>39.67474701177153</v>
      </c>
      <c r="J763" s="2">
        <f t="shared" si="256"/>
        <v>14.246316128367399</v>
      </c>
      <c r="K763">
        <f t="shared" si="257"/>
        <v>1.7002927308784406E+17</v>
      </c>
      <c r="L763" s="13">
        <f t="shared" si="248"/>
        <v>3736914536.5387511</v>
      </c>
      <c r="M763" s="2">
        <f t="shared" si="258"/>
        <v>1538496.391641971</v>
      </c>
      <c r="N763" s="2">
        <f t="shared" si="259"/>
        <v>1.1095669621242795E+20</v>
      </c>
      <c r="O763" s="2">
        <f t="shared" si="260"/>
        <v>3.5087588167864877E+17</v>
      </c>
      <c r="P763" s="2">
        <f t="shared" si="254"/>
        <v>2.8905752928974458E+21</v>
      </c>
      <c r="Q763" s="2">
        <f t="shared" si="249"/>
        <v>1.5134503872981943E+21</v>
      </c>
    </row>
    <row r="764" spans="1:17" x14ac:dyDescent="0.2">
      <c r="A764">
        <f t="shared" si="245"/>
        <v>327</v>
      </c>
      <c r="B764">
        <f t="shared" si="261"/>
        <v>327000</v>
      </c>
      <c r="C764" s="1">
        <f t="shared" si="246"/>
        <v>10585971000</v>
      </c>
      <c r="D764">
        <f t="shared" si="250"/>
        <v>1636.5</v>
      </c>
      <c r="E764" s="2">
        <f t="shared" si="247"/>
        <v>540000</v>
      </c>
      <c r="F764" s="2">
        <f t="shared" si="251"/>
        <v>678203.59400000004</v>
      </c>
      <c r="G764" s="2">
        <f t="shared" si="252"/>
        <v>13606.515599999999</v>
      </c>
      <c r="H764" s="2">
        <f t="shared" si="253"/>
        <v>47622.804599999996</v>
      </c>
      <c r="I764" s="2">
        <f t="shared" si="255"/>
        <v>39.686868840983806</v>
      </c>
      <c r="J764" s="2">
        <f t="shared" si="256"/>
        <v>14.24115189553536</v>
      </c>
      <c r="K764">
        <f t="shared" si="257"/>
        <v>1.721028814695753E+17</v>
      </c>
      <c r="L764" s="13">
        <f t="shared" si="248"/>
        <v>3762165153.1225982</v>
      </c>
      <c r="M764" s="2">
        <f t="shared" si="258"/>
        <v>1530571.7181060265</v>
      </c>
      <c r="N764" s="2">
        <f t="shared" si="259"/>
        <v>1.123098792914171E+20</v>
      </c>
      <c r="O764" s="2">
        <f t="shared" si="260"/>
        <v>3.5515502229945402E+17</v>
      </c>
      <c r="P764" s="2">
        <f t="shared" si="254"/>
        <v>2.875686167611405E+21</v>
      </c>
      <c r="Q764" s="2">
        <f t="shared" si="249"/>
        <v>1.5236768870146522E+21</v>
      </c>
    </row>
    <row r="765" spans="1:17" x14ac:dyDescent="0.2">
      <c r="A765">
        <f t="shared" si="245"/>
        <v>326</v>
      </c>
      <c r="B765">
        <f t="shared" si="261"/>
        <v>326000</v>
      </c>
      <c r="C765" s="1">
        <f t="shared" si="246"/>
        <v>10553598000</v>
      </c>
      <c r="D765">
        <f t="shared" si="250"/>
        <v>1636</v>
      </c>
      <c r="E765" s="2">
        <f t="shared" si="247"/>
        <v>540000</v>
      </c>
      <c r="F765" s="2">
        <f t="shared" si="251"/>
        <v>677750.37199999997</v>
      </c>
      <c r="G765" s="2">
        <f t="shared" si="252"/>
        <v>13602.358399999999</v>
      </c>
      <c r="H765" s="2">
        <f t="shared" si="253"/>
        <v>47608.254399999998</v>
      </c>
      <c r="I765" s="2">
        <f t="shared" si="255"/>
        <v>39.698998079627138</v>
      </c>
      <c r="J765" s="2">
        <f t="shared" si="256"/>
        <v>14.235984506081786</v>
      </c>
      <c r="K765">
        <f t="shared" si="257"/>
        <v>1.7420306948296291E+17</v>
      </c>
      <c r="L765" s="13">
        <f t="shared" si="248"/>
        <v>3787601981.1144185</v>
      </c>
      <c r="M765" s="2">
        <f t="shared" si="258"/>
        <v>1522683.0573965444</v>
      </c>
      <c r="N765" s="2">
        <f t="shared" si="259"/>
        <v>1.1368040754904272E+20</v>
      </c>
      <c r="O765" s="2">
        <f t="shared" si="260"/>
        <v>3.5948901319117293E+17</v>
      </c>
      <c r="P765" s="2">
        <f t="shared" si="254"/>
        <v>2.8608647043536697E+21</v>
      </c>
      <c r="Q765" s="2">
        <f t="shared" si="249"/>
        <v>1.5339788023513395E+21</v>
      </c>
    </row>
    <row r="766" spans="1:17" x14ac:dyDescent="0.2">
      <c r="A766">
        <f t="shared" si="245"/>
        <v>325</v>
      </c>
      <c r="B766">
        <f t="shared" si="261"/>
        <v>325000</v>
      </c>
      <c r="C766" s="1">
        <f t="shared" si="246"/>
        <v>10521225000</v>
      </c>
      <c r="D766">
        <f t="shared" si="250"/>
        <v>1635.5</v>
      </c>
      <c r="E766" s="2">
        <f t="shared" si="247"/>
        <v>540000</v>
      </c>
      <c r="F766" s="2">
        <f t="shared" si="251"/>
        <v>677297.15</v>
      </c>
      <c r="G766" s="2">
        <f t="shared" si="252"/>
        <v>13598.201199999998</v>
      </c>
      <c r="H766" s="2">
        <f t="shared" si="253"/>
        <v>47593.704199999993</v>
      </c>
      <c r="I766" s="2">
        <f t="shared" si="255"/>
        <v>39.711134734497094</v>
      </c>
      <c r="J766" s="2">
        <f t="shared" si="256"/>
        <v>14.230813957111582</v>
      </c>
      <c r="K766">
        <f t="shared" si="257"/>
        <v>1.7633019399247914E+17</v>
      </c>
      <c r="L766" s="13">
        <f t="shared" si="248"/>
        <v>3813226504.0489378</v>
      </c>
      <c r="M766" s="2">
        <f t="shared" si="258"/>
        <v>1514830.2691902351</v>
      </c>
      <c r="N766" s="2">
        <f t="shared" si="259"/>
        <v>1.1506851386580892E+20</v>
      </c>
      <c r="O766" s="2">
        <f t="shared" si="260"/>
        <v>3.6387859078662131E+17</v>
      </c>
      <c r="P766" s="2">
        <f t="shared" si="254"/>
        <v>2.8461106394804409E+21</v>
      </c>
      <c r="Q766" s="2">
        <f t="shared" si="249"/>
        <v>1.5443567341398199E+21</v>
      </c>
    </row>
    <row r="767" spans="1:17" x14ac:dyDescent="0.2">
      <c r="A767">
        <f t="shared" si="245"/>
        <v>324</v>
      </c>
      <c r="B767">
        <f t="shared" si="261"/>
        <v>324000</v>
      </c>
      <c r="C767" s="1">
        <f t="shared" si="246"/>
        <v>10488852000</v>
      </c>
      <c r="D767">
        <f t="shared" si="250"/>
        <v>1635</v>
      </c>
      <c r="E767" s="2">
        <f t="shared" si="247"/>
        <v>540000</v>
      </c>
      <c r="F767" s="2">
        <f t="shared" si="251"/>
        <v>676843.92799999996</v>
      </c>
      <c r="G767" s="2">
        <f t="shared" si="252"/>
        <v>13594.043999999998</v>
      </c>
      <c r="H767" s="2">
        <f t="shared" si="253"/>
        <v>47579.153999999995</v>
      </c>
      <c r="I767" s="2">
        <f t="shared" si="255"/>
        <v>39.723278812397552</v>
      </c>
      <c r="J767" s="2">
        <f t="shared" si="256"/>
        <v>14.225640245726101</v>
      </c>
      <c r="K767">
        <f t="shared" si="257"/>
        <v>1.784846168665879E+17</v>
      </c>
      <c r="L767" s="13">
        <f t="shared" si="248"/>
        <v>3839040218.1300855</v>
      </c>
      <c r="M767" s="2">
        <f t="shared" si="258"/>
        <v>1507013.2136109543</v>
      </c>
      <c r="N767" s="2">
        <f t="shared" si="259"/>
        <v>1.1647443438769511E+20</v>
      </c>
      <c r="O767" s="2">
        <f t="shared" si="260"/>
        <v>3.6832450184495424E+17</v>
      </c>
      <c r="P767" s="2">
        <f t="shared" si="254"/>
        <v>2.8314237101880299E+21</v>
      </c>
      <c r="Q767" s="2">
        <f t="shared" si="249"/>
        <v>1.5548112883426845E+21</v>
      </c>
    </row>
    <row r="768" spans="1:17" x14ac:dyDescent="0.2">
      <c r="A768">
        <f t="shared" si="245"/>
        <v>323</v>
      </c>
      <c r="B768">
        <f t="shared" si="261"/>
        <v>323000</v>
      </c>
      <c r="C768" s="1">
        <f t="shared" si="246"/>
        <v>10456479000</v>
      </c>
      <c r="D768">
        <f t="shared" si="250"/>
        <v>1634.5</v>
      </c>
      <c r="E768" s="2">
        <f t="shared" si="247"/>
        <v>540000</v>
      </c>
      <c r="F768" s="2">
        <f t="shared" si="251"/>
        <v>676390.70600000001</v>
      </c>
      <c r="G768" s="2">
        <f t="shared" si="252"/>
        <v>13589.886799999998</v>
      </c>
      <c r="H768" s="2">
        <f t="shared" si="253"/>
        <v>47564.603799999997</v>
      </c>
      <c r="I768" s="2">
        <f t="shared" si="255"/>
        <v>39.735430320140715</v>
      </c>
      <c r="J768" s="2">
        <f t="shared" si="256"/>
        <v>14.220463369023165</v>
      </c>
      <c r="K768">
        <f t="shared" si="257"/>
        <v>1.806667050508385E+17</v>
      </c>
      <c r="L768" s="13">
        <f t="shared" si="248"/>
        <v>3865044632.3464136</v>
      </c>
      <c r="M768" s="2">
        <f t="shared" si="258"/>
        <v>1499231.7512286806</v>
      </c>
      <c r="N768" s="2">
        <f t="shared" si="259"/>
        <v>1.1789840857385501E+20</v>
      </c>
      <c r="O768" s="2">
        <f t="shared" si="260"/>
        <v>3.7282750360250413E+17</v>
      </c>
      <c r="P768" s="2">
        <f t="shared" si="254"/>
        <v>2.8168036545109374E+21</v>
      </c>
      <c r="Q768" s="2">
        <f t="shared" si="249"/>
        <v>1.5653430761002975E+21</v>
      </c>
    </row>
    <row r="769" spans="1:17" x14ac:dyDescent="0.2">
      <c r="A769">
        <f t="shared" ref="A769:A832" si="262">+A768-1</f>
        <v>322</v>
      </c>
      <c r="B769">
        <f t="shared" si="261"/>
        <v>322000</v>
      </c>
      <c r="C769" s="1">
        <f t="shared" si="246"/>
        <v>10424106000</v>
      </c>
      <c r="D769">
        <f t="shared" si="250"/>
        <v>1634</v>
      </c>
      <c r="E769" s="2">
        <f t="shared" si="247"/>
        <v>540000</v>
      </c>
      <c r="F769" s="2">
        <f t="shared" si="251"/>
        <v>675937.48399999994</v>
      </c>
      <c r="G769" s="2">
        <f t="shared" si="252"/>
        <v>13585.729599999999</v>
      </c>
      <c r="H769" s="2">
        <f t="shared" si="253"/>
        <v>47550.053599999992</v>
      </c>
      <c r="I769" s="2">
        <f t="shared" si="255"/>
        <v>39.747589264547123</v>
      </c>
      <c r="J769" s="2">
        <f t="shared" si="256"/>
        <v>14.215283324097031</v>
      </c>
      <c r="K769">
        <f t="shared" si="257"/>
        <v>1.8287683064207101E+17</v>
      </c>
      <c r="L769" s="13">
        <f t="shared" si="248"/>
        <v>3891241268.5873165</v>
      </c>
      <c r="M769" s="2">
        <f t="shared" si="258"/>
        <v>1491485.7430584158</v>
      </c>
      <c r="N769" s="2">
        <f t="shared" si="259"/>
        <v>1.1934067924504116E+20</v>
      </c>
      <c r="O769" s="2">
        <f t="shared" si="260"/>
        <v>3.7738836392591213E+17</v>
      </c>
      <c r="P769" s="2">
        <f t="shared" si="254"/>
        <v>2.8022502113197886E+21</v>
      </c>
      <c r="Q769" s="2">
        <f t="shared" si="249"/>
        <v>1.5759527137778632E+21</v>
      </c>
    </row>
    <row r="770" spans="1:17" x14ac:dyDescent="0.2">
      <c r="A770">
        <f t="shared" si="262"/>
        <v>321</v>
      </c>
      <c r="B770">
        <f t="shared" si="261"/>
        <v>321000</v>
      </c>
      <c r="C770" s="1">
        <f t="shared" si="246"/>
        <v>10391733000</v>
      </c>
      <c r="D770">
        <f t="shared" si="250"/>
        <v>1633.5</v>
      </c>
      <c r="E770" s="2">
        <f t="shared" si="247"/>
        <v>540000</v>
      </c>
      <c r="F770" s="2">
        <f t="shared" si="251"/>
        <v>675484.26199999999</v>
      </c>
      <c r="G770" s="2">
        <f t="shared" si="252"/>
        <v>13581.572399999999</v>
      </c>
      <c r="H770" s="2">
        <f t="shared" si="253"/>
        <v>47535.503399999994</v>
      </c>
      <c r="I770" s="2">
        <f t="shared" si="255"/>
        <v>39.759755652445662</v>
      </c>
      <c r="J770" s="2">
        <f t="shared" si="256"/>
        <v>14.210100108038407</v>
      </c>
      <c r="K770">
        <f t="shared" si="257"/>
        <v>1.8511537096374557E+17</v>
      </c>
      <c r="L770" s="13">
        <f t="shared" si="248"/>
        <v>3917631661.7606115</v>
      </c>
      <c r="M770" s="2">
        <f t="shared" si="258"/>
        <v>1483775.0505591526</v>
      </c>
      <c r="N770" s="2">
        <f t="shared" si="259"/>
        <v>1.2080149263276288E+20</v>
      </c>
      <c r="O770" s="2">
        <f t="shared" si="260"/>
        <v>3.8200786146757939E+17</v>
      </c>
      <c r="P770" s="2">
        <f t="shared" si="254"/>
        <v>2.7877631203193913E+21</v>
      </c>
      <c r="Q770" s="2">
        <f t="shared" si="249"/>
        <v>1.5866408230130478E+21</v>
      </c>
    </row>
    <row r="771" spans="1:17" x14ac:dyDescent="0.2">
      <c r="A771">
        <f t="shared" si="262"/>
        <v>320</v>
      </c>
      <c r="B771">
        <f t="shared" si="261"/>
        <v>320000</v>
      </c>
      <c r="C771" s="1">
        <f t="shared" si="246"/>
        <v>10359360000</v>
      </c>
      <c r="D771">
        <f t="shared" si="250"/>
        <v>1633</v>
      </c>
      <c r="E771" s="2">
        <f t="shared" si="247"/>
        <v>540000</v>
      </c>
      <c r="F771" s="2">
        <f t="shared" si="251"/>
        <v>675031.04000000004</v>
      </c>
      <c r="G771" s="2">
        <f t="shared" si="252"/>
        <v>13577.415199999999</v>
      </c>
      <c r="H771" s="2">
        <f t="shared" si="253"/>
        <v>47520.953199999996</v>
      </c>
      <c r="I771" s="2">
        <f t="shared" si="255"/>
        <v>39.7719294906736</v>
      </c>
      <c r="J771" s="2">
        <f t="shared" si="256"/>
        <v>14.204913717934431</v>
      </c>
      <c r="K771">
        <f t="shared" si="257"/>
        <v>1.8738270864242422E+17</v>
      </c>
      <c r="L771" s="13">
        <f t="shared" si="248"/>
        <v>3944217359.9111691</v>
      </c>
      <c r="M771" s="2">
        <f t="shared" si="258"/>
        <v>1476099.5356328045</v>
      </c>
      <c r="N771" s="2">
        <f t="shared" si="259"/>
        <v>1.2228109842919632E+20</v>
      </c>
      <c r="O771" s="2">
        <f t="shared" si="260"/>
        <v>3.8668678582349651E+17</v>
      </c>
      <c r="P771" s="2">
        <f t="shared" si="254"/>
        <v>2.7733421220467279E+21</v>
      </c>
      <c r="Q771" s="2">
        <f t="shared" si="249"/>
        <v>1.5974080307640234E+21</v>
      </c>
    </row>
    <row r="772" spans="1:17" x14ac:dyDescent="0.2">
      <c r="A772">
        <f t="shared" si="262"/>
        <v>319</v>
      </c>
      <c r="B772">
        <f t="shared" si="261"/>
        <v>319000</v>
      </c>
      <c r="C772" s="1">
        <f t="shared" si="246"/>
        <v>10326987000</v>
      </c>
      <c r="D772">
        <f t="shared" si="250"/>
        <v>1632.5</v>
      </c>
      <c r="E772" s="2">
        <f t="shared" si="247"/>
        <v>540000</v>
      </c>
      <c r="F772" s="2">
        <f t="shared" si="251"/>
        <v>674577.81799999997</v>
      </c>
      <c r="G772" s="2">
        <f t="shared" si="252"/>
        <v>13573.257999999998</v>
      </c>
      <c r="H772" s="2">
        <f t="shared" si="253"/>
        <v>47506.402999999998</v>
      </c>
      <c r="I772" s="2">
        <f t="shared" si="255"/>
        <v>39.784110786076567</v>
      </c>
      <c r="J772" s="2">
        <f t="shared" si="256"/>
        <v>14.199724150868674</v>
      </c>
      <c r="K772">
        <f t="shared" si="257"/>
        <v>1.8967923168540438E+17</v>
      </c>
      <c r="L772" s="13">
        <f t="shared" si="248"/>
        <v>3970999924.3405943</v>
      </c>
      <c r="M772" s="2">
        <f t="shared" si="258"/>
        <v>1468459.0606231573</v>
      </c>
      <c r="N772" s="2">
        <f t="shared" si="259"/>
        <v>1.2377974983784607E+20</v>
      </c>
      <c r="O772" s="2">
        <f t="shared" si="260"/>
        <v>3.9142593769344947E+17</v>
      </c>
      <c r="P772" s="2">
        <f t="shared" si="254"/>
        <v>2.7589869578689844E+21</v>
      </c>
      <c r="Q772" s="2">
        <f t="shared" si="249"/>
        <v>1.6082549693579408E+21</v>
      </c>
    </row>
    <row r="773" spans="1:17" x14ac:dyDescent="0.2">
      <c r="A773">
        <f t="shared" si="262"/>
        <v>318</v>
      </c>
      <c r="B773">
        <f t="shared" si="261"/>
        <v>318000</v>
      </c>
      <c r="C773" s="1">
        <f t="shared" si="246"/>
        <v>10294614000</v>
      </c>
      <c r="D773">
        <f t="shared" si="250"/>
        <v>1632</v>
      </c>
      <c r="E773" s="2">
        <f t="shared" si="247"/>
        <v>540000</v>
      </c>
      <c r="F773" s="2">
        <f t="shared" si="251"/>
        <v>674124.59600000002</v>
      </c>
      <c r="G773" s="2">
        <f t="shared" si="252"/>
        <v>13569.100799999998</v>
      </c>
      <c r="H773" s="2">
        <f t="shared" si="253"/>
        <v>47491.852799999993</v>
      </c>
      <c r="I773" s="2">
        <f t="shared" si="255"/>
        <v>39.796299545508575</v>
      </c>
      <c r="J773" s="2">
        <f t="shared" si="256"/>
        <v>14.19453140392114</v>
      </c>
      <c r="K773">
        <f t="shared" si="257"/>
        <v>1.9200533355953968E+17</v>
      </c>
      <c r="L773" s="13">
        <f t="shared" si="248"/>
        <v>3997980929.7282114</v>
      </c>
      <c r="M773" s="2">
        <f t="shared" si="258"/>
        <v>1460853.4883148286</v>
      </c>
      <c r="N773" s="2">
        <f t="shared" si="259"/>
        <v>1.2529770362498158E+20</v>
      </c>
      <c r="O773" s="2">
        <f t="shared" si="260"/>
        <v>3.9622612904367603E+17</v>
      </c>
      <c r="P773" s="2">
        <f t="shared" si="254"/>
        <v>2.7446973699815946E+21</v>
      </c>
      <c r="Q773" s="2">
        <f t="shared" si="249"/>
        <v>1.6191822765399257E+21</v>
      </c>
    </row>
    <row r="774" spans="1:17" x14ac:dyDescent="0.2">
      <c r="A774">
        <f t="shared" si="262"/>
        <v>317</v>
      </c>
      <c r="B774">
        <f t="shared" si="261"/>
        <v>317000</v>
      </c>
      <c r="C774" s="1">
        <f t="shared" si="246"/>
        <v>10262241000</v>
      </c>
      <c r="D774">
        <f t="shared" si="250"/>
        <v>1631.5</v>
      </c>
      <c r="E774" s="2">
        <f t="shared" si="247"/>
        <v>540000</v>
      </c>
      <c r="F774" s="2">
        <f t="shared" si="251"/>
        <v>673671.37399999995</v>
      </c>
      <c r="G774" s="2">
        <f t="shared" si="252"/>
        <v>13564.943599999999</v>
      </c>
      <c r="H774" s="2">
        <f t="shared" si="253"/>
        <v>47477.302599999995</v>
      </c>
      <c r="I774" s="2">
        <f t="shared" si="255"/>
        <v>39.808495775832057</v>
      </c>
      <c r="J774" s="2">
        <f t="shared" si="256"/>
        <v>14.18933547416824</v>
      </c>
      <c r="K774">
        <f t="shared" si="257"/>
        <v>1.9436141327126822E+17</v>
      </c>
      <c r="L774" s="13">
        <f t="shared" si="248"/>
        <v>4025161964.2532144</v>
      </c>
      <c r="M774" s="2">
        <f t="shared" si="258"/>
        <v>1453282.6819321823</v>
      </c>
      <c r="N774" s="2">
        <f t="shared" si="259"/>
        <v>1.2683522017186152E+20</v>
      </c>
      <c r="O774" s="2">
        <f t="shared" si="260"/>
        <v>4.0108818327201363E+17</v>
      </c>
      <c r="P774" s="2">
        <f t="shared" si="254"/>
        <v>2.7304731014062025E+21</v>
      </c>
      <c r="Q774" s="2">
        <f t="shared" si="249"/>
        <v>1.6301905955225519E+21</v>
      </c>
    </row>
    <row r="775" spans="1:17" x14ac:dyDescent="0.2">
      <c r="A775">
        <f t="shared" si="262"/>
        <v>316</v>
      </c>
      <c r="B775">
        <f t="shared" si="261"/>
        <v>316000</v>
      </c>
      <c r="C775" s="1">
        <f t="shared" si="246"/>
        <v>10229868000</v>
      </c>
      <c r="D775">
        <f t="shared" si="250"/>
        <v>1631</v>
      </c>
      <c r="E775" s="2">
        <f t="shared" si="247"/>
        <v>540000</v>
      </c>
      <c r="F775" s="2">
        <f t="shared" si="251"/>
        <v>673218.152</v>
      </c>
      <c r="G775" s="2">
        <f t="shared" si="252"/>
        <v>13560.786399999999</v>
      </c>
      <c r="H775" s="2">
        <f t="shared" si="253"/>
        <v>47462.752399999998</v>
      </c>
      <c r="I775" s="2">
        <f t="shared" si="255"/>
        <v>39.820699483917835</v>
      </c>
      <c r="J775" s="2">
        <f t="shared" si="256"/>
        <v>14.184136358682816</v>
      </c>
      <c r="K775">
        <f t="shared" si="257"/>
        <v>1.9674787544784189E+17</v>
      </c>
      <c r="L775" s="13">
        <f t="shared" si="248"/>
        <v>4052544629.7178164</v>
      </c>
      <c r="M775" s="2">
        <f t="shared" si="258"/>
        <v>1445746.5051383178</v>
      </c>
      <c r="N775" s="2">
        <f t="shared" si="259"/>
        <v>1.2839256352774195E+20</v>
      </c>
      <c r="O775" s="2">
        <f t="shared" si="260"/>
        <v>4.0601293537552602E+17</v>
      </c>
      <c r="P775" s="2">
        <f t="shared" si="254"/>
        <v>2.7163138959887607E+21</v>
      </c>
      <c r="Q775" s="2">
        <f t="shared" si="249"/>
        <v>1.6412805750357156E+21</v>
      </c>
    </row>
    <row r="776" spans="1:17" x14ac:dyDescent="0.2">
      <c r="A776">
        <f t="shared" si="262"/>
        <v>315</v>
      </c>
      <c r="B776">
        <f t="shared" si="261"/>
        <v>315000</v>
      </c>
      <c r="C776" s="1">
        <f t="shared" si="246"/>
        <v>10197495000</v>
      </c>
      <c r="D776">
        <f t="shared" si="250"/>
        <v>1630.5</v>
      </c>
      <c r="E776" s="2">
        <f t="shared" si="247"/>
        <v>540000</v>
      </c>
      <c r="F776" s="2">
        <f t="shared" si="251"/>
        <v>672764.92999999993</v>
      </c>
      <c r="G776" s="2">
        <f t="shared" si="252"/>
        <v>13556.629199999999</v>
      </c>
      <c r="H776" s="2">
        <f t="shared" si="253"/>
        <v>47448.202199999992</v>
      </c>
      <c r="I776" s="2">
        <f t="shared" si="255"/>
        <v>39.832910676645199</v>
      </c>
      <c r="J776" s="2">
        <f t="shared" si="256"/>
        <v>14.178934054534105</v>
      </c>
      <c r="K776">
        <f t="shared" si="257"/>
        <v>1.9916513041981885E+17</v>
      </c>
      <c r="L776" s="13">
        <f t="shared" si="248"/>
        <v>4080130541.6718483</v>
      </c>
      <c r="M776" s="2">
        <f t="shared" si="258"/>
        <v>1438244.8220339899</v>
      </c>
      <c r="N776" s="2">
        <f t="shared" si="259"/>
        <v>1.2997000146370878E+20</v>
      </c>
      <c r="O776" s="2">
        <f t="shared" si="260"/>
        <v>4.11001232120736E+17</v>
      </c>
      <c r="P776" s="2">
        <f t="shared" si="254"/>
        <v>2.7022194983975031E+21</v>
      </c>
      <c r="Q776" s="2">
        <f t="shared" si="249"/>
        <v>1.6524528693770985E+21</v>
      </c>
    </row>
    <row r="777" spans="1:17" x14ac:dyDescent="0.2">
      <c r="A777">
        <f t="shared" si="262"/>
        <v>314</v>
      </c>
      <c r="B777">
        <f t="shared" si="261"/>
        <v>314000</v>
      </c>
      <c r="C777" s="1">
        <f t="shared" si="246"/>
        <v>10165122000</v>
      </c>
      <c r="D777">
        <f t="shared" si="250"/>
        <v>1630</v>
      </c>
      <c r="E777" s="2">
        <f t="shared" si="247"/>
        <v>540000</v>
      </c>
      <c r="F777" s="2">
        <f t="shared" si="251"/>
        <v>672311.70799999998</v>
      </c>
      <c r="G777" s="2">
        <f t="shared" si="252"/>
        <v>13552.471999999998</v>
      </c>
      <c r="H777" s="2">
        <f t="shared" si="253"/>
        <v>47433.651999999995</v>
      </c>
      <c r="I777" s="2">
        <f t="shared" si="255"/>
        <v>39.845129360901844</v>
      </c>
      <c r="J777" s="2">
        <f t="shared" si="256"/>
        <v>14.173728558787758</v>
      </c>
      <c r="K777">
        <f t="shared" si="257"/>
        <v>2.016135943047847E+17</v>
      </c>
      <c r="L777" s="13">
        <f t="shared" si="248"/>
        <v>4107921329.5383453</v>
      </c>
      <c r="M777" s="2">
        <f t="shared" si="258"/>
        <v>1430777.497156579</v>
      </c>
      <c r="N777" s="2">
        <f t="shared" si="259"/>
        <v>1.3156780552731199E+20</v>
      </c>
      <c r="O777" s="2">
        <f t="shared" si="260"/>
        <v>4.1605393221639462E+17</v>
      </c>
      <c r="P777" s="2">
        <f t="shared" si="254"/>
        <v>2.6881896541210107E+21</v>
      </c>
      <c r="Q777" s="2">
        <f t="shared" si="249"/>
        <v>1.6637081384630299E+21</v>
      </c>
    </row>
    <row r="778" spans="1:17" x14ac:dyDescent="0.2">
      <c r="A778">
        <f t="shared" si="262"/>
        <v>313</v>
      </c>
      <c r="B778">
        <f t="shared" si="261"/>
        <v>313000</v>
      </c>
      <c r="C778" s="1">
        <f t="shared" si="246"/>
        <v>10132749000</v>
      </c>
      <c r="D778">
        <f t="shared" si="250"/>
        <v>1629.5</v>
      </c>
      <c r="E778" s="2">
        <f t="shared" si="247"/>
        <v>540000</v>
      </c>
      <c r="F778" s="2">
        <f t="shared" si="251"/>
        <v>671858.48600000003</v>
      </c>
      <c r="G778" s="2">
        <f t="shared" si="252"/>
        <v>13548.314799999998</v>
      </c>
      <c r="H778" s="2">
        <f t="shared" si="253"/>
        <v>47419.101799999997</v>
      </c>
      <c r="I778" s="2">
        <f t="shared" si="255"/>
        <v>39.857355543583921</v>
      </c>
      <c r="J778" s="2">
        <f t="shared" si="256"/>
        <v>14.16851986850582</v>
      </c>
      <c r="K778">
        <f t="shared" si="257"/>
        <v>2.0409368909237357E+17</v>
      </c>
      <c r="L778" s="13">
        <f t="shared" si="248"/>
        <v>4135918636.7404408</v>
      </c>
      <c r="M778" s="2">
        <f t="shared" si="258"/>
        <v>1423344.3954790381</v>
      </c>
      <c r="N778" s="2">
        <f t="shared" si="259"/>
        <v>1.3318625109804823E+20</v>
      </c>
      <c r="O778" s="2">
        <f t="shared" si="260"/>
        <v>4.2117190648893229E+17</v>
      </c>
      <c r="P778" s="2">
        <f t="shared" si="254"/>
        <v>2.6742241094662305E+21</v>
      </c>
      <c r="Q778" s="2">
        <f t="shared" si="249"/>
        <v>1.6750470478798785E+21</v>
      </c>
    </row>
    <row r="779" spans="1:17" x14ac:dyDescent="0.2">
      <c r="A779">
        <f t="shared" si="262"/>
        <v>312</v>
      </c>
      <c r="B779">
        <f t="shared" si="261"/>
        <v>312000</v>
      </c>
      <c r="C779" s="1">
        <f t="shared" si="246"/>
        <v>10100376000</v>
      </c>
      <c r="D779">
        <f t="shared" si="250"/>
        <v>1629</v>
      </c>
      <c r="E779" s="2">
        <f t="shared" si="247"/>
        <v>540000</v>
      </c>
      <c r="F779" s="2">
        <f t="shared" si="251"/>
        <v>671405.26399999997</v>
      </c>
      <c r="G779" s="2">
        <f t="shared" si="252"/>
        <v>13544.157599999999</v>
      </c>
      <c r="H779" s="2">
        <f t="shared" si="253"/>
        <v>47404.551599999992</v>
      </c>
      <c r="I779" s="2">
        <f t="shared" si="255"/>
        <v>39.869589231596066</v>
      </c>
      <c r="J779" s="2">
        <f t="shared" si="256"/>
        <v>14.163307980746728</v>
      </c>
      <c r="K779">
        <f t="shared" si="257"/>
        <v>2.0660584273058336E+17</v>
      </c>
      <c r="L779" s="13">
        <f t="shared" si="248"/>
        <v>4164124120.8295727</v>
      </c>
      <c r="M779" s="2">
        <f t="shared" si="258"/>
        <v>1415945.3824088459</v>
      </c>
      <c r="N779" s="2">
        <f t="shared" si="259"/>
        <v>1.3482561744368791E+20</v>
      </c>
      <c r="O779" s="2">
        <f t="shared" si="260"/>
        <v>4.2635603806058048E+17</v>
      </c>
      <c r="P779" s="2">
        <f t="shared" si="254"/>
        <v>2.6603226115565106E+21</v>
      </c>
      <c r="Q779" s="2">
        <f t="shared" si="249"/>
        <v>1.686470268935977E+21</v>
      </c>
    </row>
    <row r="780" spans="1:17" x14ac:dyDescent="0.2">
      <c r="A780">
        <f t="shared" si="262"/>
        <v>311</v>
      </c>
      <c r="B780">
        <f t="shared" si="261"/>
        <v>311000</v>
      </c>
      <c r="C780" s="1">
        <f t="shared" si="246"/>
        <v>10068003000</v>
      </c>
      <c r="D780">
        <f t="shared" si="250"/>
        <v>1628.5</v>
      </c>
      <c r="E780" s="2">
        <f t="shared" si="247"/>
        <v>540000</v>
      </c>
      <c r="F780" s="2">
        <f t="shared" si="251"/>
        <v>670952.04200000002</v>
      </c>
      <c r="G780" s="2">
        <f t="shared" si="252"/>
        <v>13540.000399999999</v>
      </c>
      <c r="H780" s="2">
        <f t="shared" si="253"/>
        <v>47390.001399999994</v>
      </c>
      <c r="I780" s="2">
        <f t="shared" si="255"/>
        <v>39.881830431851391</v>
      </c>
      <c r="J780" s="2">
        <f t="shared" si="256"/>
        <v>14.15809289256531</v>
      </c>
      <c r="K780">
        <f t="shared" si="257"/>
        <v>2.0915048921340218E+17</v>
      </c>
      <c r="L780" s="13">
        <f t="shared" si="248"/>
        <v>4192539453.6147623</v>
      </c>
      <c r="M780" s="2">
        <f t="shared" si="258"/>
        <v>1408580.323786973</v>
      </c>
      <c r="N780" s="2">
        <f t="shared" si="259"/>
        <v>1.364861877774579E+20</v>
      </c>
      <c r="O780" s="2">
        <f t="shared" si="260"/>
        <v>4.3160722253019968E+17</v>
      </c>
      <c r="P780" s="2">
        <f t="shared" si="254"/>
        <v>2.6464849083296566E+21</v>
      </c>
      <c r="Q780" s="2">
        <f t="shared" si="249"/>
        <v>1.6979784787139787E+21</v>
      </c>
    </row>
    <row r="781" spans="1:17" x14ac:dyDescent="0.2">
      <c r="A781">
        <f t="shared" si="262"/>
        <v>310</v>
      </c>
      <c r="B781">
        <f t="shared" si="261"/>
        <v>310000</v>
      </c>
      <c r="C781" s="1">
        <f t="shared" si="246"/>
        <v>10035630000</v>
      </c>
      <c r="D781">
        <f t="shared" si="250"/>
        <v>1628</v>
      </c>
      <c r="E781" s="2">
        <f t="shared" si="247"/>
        <v>540000</v>
      </c>
      <c r="F781" s="2">
        <f t="shared" si="251"/>
        <v>670498.82000000007</v>
      </c>
      <c r="G781" s="2">
        <f t="shared" si="252"/>
        <v>13535.843199999999</v>
      </c>
      <c r="H781" s="2">
        <f t="shared" si="253"/>
        <v>47375.451199999996</v>
      </c>
      <c r="I781" s="2">
        <f t="shared" si="255"/>
        <v>39.894079151271491</v>
      </c>
      <c r="J781" s="2">
        <f t="shared" si="256"/>
        <v>14.152874601012774</v>
      </c>
      <c r="K781">
        <f t="shared" si="257"/>
        <v>2.1172806866977712E+17</v>
      </c>
      <c r="L781" s="13">
        <f t="shared" si="248"/>
        <v>4221166321.2932487</v>
      </c>
      <c r="M781" s="2">
        <f t="shared" si="258"/>
        <v>1401249.0858868281</v>
      </c>
      <c r="N781" s="2">
        <f t="shared" si="259"/>
        <v>1.3816824931610031E+20</v>
      </c>
      <c r="O781" s="2">
        <f t="shared" si="260"/>
        <v>4.3692636815687699E+17</v>
      </c>
      <c r="P781" s="2">
        <f t="shared" si="254"/>
        <v>2.6327107485359533E+21</v>
      </c>
      <c r="Q781" s="2">
        <f t="shared" si="249"/>
        <v>1.7095723601237658E+21</v>
      </c>
    </row>
    <row r="782" spans="1:17" x14ac:dyDescent="0.2">
      <c r="A782">
        <f t="shared" si="262"/>
        <v>309</v>
      </c>
      <c r="B782">
        <f t="shared" si="261"/>
        <v>309000</v>
      </c>
      <c r="C782" s="1">
        <f t="shared" si="246"/>
        <v>10003257000</v>
      </c>
      <c r="D782">
        <f t="shared" si="250"/>
        <v>1627.5</v>
      </c>
      <c r="E782" s="2">
        <f t="shared" si="247"/>
        <v>540000</v>
      </c>
      <c r="F782" s="2">
        <f t="shared" si="251"/>
        <v>670045.598</v>
      </c>
      <c r="G782" s="2">
        <f t="shared" si="252"/>
        <v>13531.685999999998</v>
      </c>
      <c r="H782" s="2">
        <f t="shared" si="253"/>
        <v>47360.900999999998</v>
      </c>
      <c r="I782" s="2">
        <f t="shared" si="255"/>
        <v>39.906335396786481</v>
      </c>
      <c r="J782" s="2">
        <f t="shared" si="256"/>
        <v>14.147653103136699</v>
      </c>
      <c r="K782">
        <f t="shared" si="257"/>
        <v>2.143390274539496E+17</v>
      </c>
      <c r="L782" s="13">
        <f t="shared" si="248"/>
        <v>4250006424.5824175</v>
      </c>
      <c r="M782" s="2">
        <f t="shared" si="258"/>
        <v>1393951.5354132187</v>
      </c>
      <c r="N782" s="2">
        <f t="shared" si="259"/>
        <v>1.3987209333882293E+20</v>
      </c>
      <c r="O782" s="2">
        <f t="shared" si="260"/>
        <v>4.4231439604634419E+17</v>
      </c>
      <c r="P782" s="2">
        <f t="shared" si="254"/>
        <v>2.6189998817362109E+21</v>
      </c>
      <c r="Q782" s="2">
        <f t="shared" si="249"/>
        <v>1.721252601955879E+21</v>
      </c>
    </row>
    <row r="783" spans="1:17" x14ac:dyDescent="0.2">
      <c r="A783">
        <f t="shared" si="262"/>
        <v>308</v>
      </c>
      <c r="B783">
        <f t="shared" si="261"/>
        <v>308000</v>
      </c>
      <c r="C783" s="1">
        <f t="shared" si="246"/>
        <v>9970884000</v>
      </c>
      <c r="D783">
        <f t="shared" si="250"/>
        <v>1627</v>
      </c>
      <c r="E783" s="2">
        <f t="shared" si="247"/>
        <v>540000</v>
      </c>
      <c r="F783" s="2">
        <f t="shared" si="251"/>
        <v>669592.37599999993</v>
      </c>
      <c r="G783" s="2">
        <f t="shared" si="252"/>
        <v>13527.528799999998</v>
      </c>
      <c r="H783" s="2">
        <f t="shared" si="253"/>
        <v>47346.350799999993</v>
      </c>
      <c r="I783" s="2">
        <f t="shared" si="255"/>
        <v>39.918599175334968</v>
      </c>
      <c r="J783" s="2">
        <f t="shared" si="256"/>
        <v>14.142428395981048</v>
      </c>
      <c r="K783">
        <f t="shared" si="257"/>
        <v>2.1698381823715942E+17</v>
      </c>
      <c r="L783" s="13">
        <f t="shared" si="248"/>
        <v>4279061478.8529277</v>
      </c>
      <c r="M783" s="2">
        <f t="shared" si="258"/>
        <v>1386687.5395013327</v>
      </c>
      <c r="N783" s="2">
        <f t="shared" si="259"/>
        <v>1.4159801524714298E+20</v>
      </c>
      <c r="O783" s="2">
        <f t="shared" si="260"/>
        <v>4.4777224034021978E+17</v>
      </c>
      <c r="P783" s="2">
        <f t="shared" si="254"/>
        <v>2.6053520582998512E+21</v>
      </c>
      <c r="Q783" s="2">
        <f t="shared" si="249"/>
        <v>1.7330198989354356E+21</v>
      </c>
    </row>
    <row r="784" spans="1:17" x14ac:dyDescent="0.2">
      <c r="A784">
        <f t="shared" si="262"/>
        <v>307</v>
      </c>
      <c r="B784">
        <f t="shared" si="261"/>
        <v>307000</v>
      </c>
      <c r="C784" s="1">
        <f t="shared" si="246"/>
        <v>9938511000</v>
      </c>
      <c r="D784">
        <f t="shared" si="250"/>
        <v>1626.5</v>
      </c>
      <c r="E784" s="2">
        <f t="shared" si="247"/>
        <v>540000</v>
      </c>
      <c r="F784" s="2">
        <f t="shared" si="251"/>
        <v>669139.15399999998</v>
      </c>
      <c r="G784" s="2">
        <f t="shared" si="252"/>
        <v>13523.371599999999</v>
      </c>
      <c r="H784" s="2">
        <f t="shared" si="253"/>
        <v>47331.800599999995</v>
      </c>
      <c r="I784" s="2">
        <f t="shared" si="255"/>
        <v>39.93087049386412</v>
      </c>
      <c r="J784" s="2">
        <f t="shared" si="256"/>
        <v>14.137200476586138</v>
      </c>
      <c r="K784">
        <f t="shared" si="257"/>
        <v>2.1966290010077434E+17</v>
      </c>
      <c r="L784" s="13">
        <f t="shared" si="248"/>
        <v>4308333214.2631884</v>
      </c>
      <c r="M784" s="2">
        <f t="shared" si="258"/>
        <v>1379456.9657156707</v>
      </c>
      <c r="N784" s="2">
        <f t="shared" si="259"/>
        <v>1.4334631462566098E+20</v>
      </c>
      <c r="O784" s="2">
        <f t="shared" si="260"/>
        <v>4.5330084840819347E+17</v>
      </c>
      <c r="P784" s="2">
        <f t="shared" si="254"/>
        <v>2.5917670294029032E+21</v>
      </c>
      <c r="Q784" s="2">
        <f t="shared" si="249"/>
        <v>1.7448749517765914E+21</v>
      </c>
    </row>
    <row r="785" spans="1:17" x14ac:dyDescent="0.2">
      <c r="A785">
        <f t="shared" si="262"/>
        <v>306</v>
      </c>
      <c r="B785">
        <f t="shared" si="261"/>
        <v>306000</v>
      </c>
      <c r="C785" s="1">
        <f t="shared" si="246"/>
        <v>9906138000</v>
      </c>
      <c r="D785">
        <f t="shared" si="250"/>
        <v>1626</v>
      </c>
      <c r="E785" s="2">
        <f t="shared" si="247"/>
        <v>540000</v>
      </c>
      <c r="F785" s="2">
        <f t="shared" si="251"/>
        <v>668685.93200000003</v>
      </c>
      <c r="G785" s="2">
        <f t="shared" si="252"/>
        <v>13519.214399999999</v>
      </c>
      <c r="H785" s="2">
        <f t="shared" si="253"/>
        <v>47317.250399999997</v>
      </c>
      <c r="I785" s="2">
        <f t="shared" si="255"/>
        <v>39.943149359329638</v>
      </c>
      <c r="J785" s="2">
        <f t="shared" si="256"/>
        <v>14.131969341988647</v>
      </c>
      <c r="K785">
        <f t="shared" si="257"/>
        <v>2.2237673863082474E+17</v>
      </c>
      <c r="L785" s="13">
        <f t="shared" si="248"/>
        <v>4337823375.8951588</v>
      </c>
      <c r="M785" s="2">
        <f t="shared" si="258"/>
        <v>1372259.6820490239</v>
      </c>
      <c r="N785" s="2">
        <f t="shared" si="259"/>
        <v>1.4511729530375171E+20</v>
      </c>
      <c r="O785" s="2">
        <f t="shared" si="260"/>
        <v>4.5890118104310963E+17</v>
      </c>
      <c r="P785" s="2">
        <f t="shared" si="254"/>
        <v>2.578244547026081E+21</v>
      </c>
      <c r="Q785" s="2">
        <f t="shared" si="249"/>
        <v>1.7568184672375393E+21</v>
      </c>
    </row>
    <row r="786" spans="1:17" x14ac:dyDescent="0.2">
      <c r="A786">
        <f t="shared" si="262"/>
        <v>305</v>
      </c>
      <c r="B786">
        <f t="shared" si="261"/>
        <v>305000</v>
      </c>
      <c r="C786" s="1">
        <f t="shared" si="246"/>
        <v>9873765000</v>
      </c>
      <c r="D786">
        <f t="shared" si="250"/>
        <v>1625.5</v>
      </c>
      <c r="E786" s="2">
        <f t="shared" si="247"/>
        <v>540000</v>
      </c>
      <c r="F786" s="2">
        <f t="shared" si="251"/>
        <v>668232.71</v>
      </c>
      <c r="G786" s="2">
        <f t="shared" si="252"/>
        <v>13515.057199999999</v>
      </c>
      <c r="H786" s="2">
        <f t="shared" si="253"/>
        <v>47302.700199999992</v>
      </c>
      <c r="I786" s="2">
        <f t="shared" si="255"/>
        <v>39.955435778695779</v>
      </c>
      <c r="J786" s="2">
        <f t="shared" si="256"/>
        <v>14.12673498922161</v>
      </c>
      <c r="K786">
        <f t="shared" si="257"/>
        <v>2.2512580601399818E+17</v>
      </c>
      <c r="L786" s="13">
        <f t="shared" si="248"/>
        <v>4367533723.8913774</v>
      </c>
      <c r="M786" s="2">
        <f t="shared" si="258"/>
        <v>1365095.5569214423</v>
      </c>
      <c r="N786" s="2">
        <f t="shared" si="259"/>
        <v>1.4691126541820771E+20</v>
      </c>
      <c r="O786" s="2">
        <f t="shared" si="260"/>
        <v>4.6457421265906355E+17</v>
      </c>
      <c r="P786" s="2">
        <f t="shared" si="254"/>
        <v>2.5647843639528454E+21</v>
      </c>
      <c r="Q786" s="2">
        <f t="shared" si="249"/>
        <v>1.768851158176008E+21</v>
      </c>
    </row>
    <row r="787" spans="1:17" x14ac:dyDescent="0.2">
      <c r="A787">
        <f t="shared" si="262"/>
        <v>304</v>
      </c>
      <c r="B787">
        <f t="shared" si="261"/>
        <v>304000</v>
      </c>
      <c r="C787" s="1">
        <f t="shared" si="246"/>
        <v>9841392000</v>
      </c>
      <c r="D787">
        <f t="shared" si="250"/>
        <v>1625</v>
      </c>
      <c r="E787" s="2">
        <f t="shared" si="247"/>
        <v>540000</v>
      </c>
      <c r="F787" s="2">
        <f t="shared" si="251"/>
        <v>667779.48800000001</v>
      </c>
      <c r="G787" s="2">
        <f t="shared" si="252"/>
        <v>13510.899999999998</v>
      </c>
      <c r="H787" s="2">
        <f t="shared" si="253"/>
        <v>47288.149999999994</v>
      </c>
      <c r="I787" s="2">
        <f t="shared" si="255"/>
        <v>39.967729758935384</v>
      </c>
      <c r="J787" s="2">
        <f t="shared" si="256"/>
        <v>14.12149741531441</v>
      </c>
      <c r="K787">
        <f t="shared" si="257"/>
        <v>2.2791058113510781E+17</v>
      </c>
      <c r="L787" s="13">
        <f t="shared" si="248"/>
        <v>4397466033.5934668</v>
      </c>
      <c r="M787" s="2">
        <f t="shared" si="258"/>
        <v>1357964.4591791972</v>
      </c>
      <c r="N787" s="2">
        <f t="shared" si="259"/>
        <v>1.4872853747684465E+20</v>
      </c>
      <c r="O787" s="2">
        <f t="shared" si="260"/>
        <v>4.7032093149253926E+17</v>
      </c>
      <c r="P787" s="2">
        <f t="shared" si="254"/>
        <v>2.5513862337674561E+21</v>
      </c>
      <c r="Q787" s="2">
        <f t="shared" si="249"/>
        <v>1.7809737436053541E+21</v>
      </c>
    </row>
    <row r="788" spans="1:17" x14ac:dyDescent="0.2">
      <c r="A788">
        <f t="shared" si="262"/>
        <v>303</v>
      </c>
      <c r="B788">
        <f t="shared" si="261"/>
        <v>303000</v>
      </c>
      <c r="C788" s="1">
        <f t="shared" si="246"/>
        <v>9809019000</v>
      </c>
      <c r="D788">
        <f t="shared" si="250"/>
        <v>1624.5</v>
      </c>
      <c r="E788" s="2">
        <f t="shared" si="247"/>
        <v>540000</v>
      </c>
      <c r="F788" s="2">
        <f t="shared" si="251"/>
        <v>667326.26600000006</v>
      </c>
      <c r="G788" s="2">
        <f t="shared" si="252"/>
        <v>13506.742799999998</v>
      </c>
      <c r="H788" s="2">
        <f t="shared" si="253"/>
        <v>47273.599799999996</v>
      </c>
      <c r="I788" s="2">
        <f t="shared" si="255"/>
        <v>39.980031307029854</v>
      </c>
      <c r="J788" s="2">
        <f t="shared" si="256"/>
        <v>14.11625661729277</v>
      </c>
      <c r="K788">
        <f t="shared" si="257"/>
        <v>2.3073154967604531E+17</v>
      </c>
      <c r="L788" s="13">
        <f t="shared" si="248"/>
        <v>4427622095.6818113</v>
      </c>
      <c r="M788" s="2">
        <f t="shared" si="258"/>
        <v>1350866.2580937461</v>
      </c>
      <c r="N788" s="2">
        <f t="shared" si="259"/>
        <v>1.5056942842307546E+20</v>
      </c>
      <c r="O788" s="2">
        <f t="shared" si="260"/>
        <v>4.761423398066112E+17</v>
      </c>
      <c r="P788" s="2">
        <f t="shared" si="254"/>
        <v>2.5380499108530262E+21</v>
      </c>
      <c r="Q788" s="2">
        <f t="shared" si="249"/>
        <v>1.7931869487511335E+21</v>
      </c>
    </row>
    <row r="789" spans="1:17" x14ac:dyDescent="0.2">
      <c r="A789">
        <f t="shared" si="262"/>
        <v>302</v>
      </c>
      <c r="B789">
        <f t="shared" si="261"/>
        <v>302000</v>
      </c>
      <c r="C789" s="1">
        <f t="shared" si="246"/>
        <v>9776646000</v>
      </c>
      <c r="D789">
        <f t="shared" si="250"/>
        <v>1624</v>
      </c>
      <c r="E789" s="2">
        <f t="shared" si="247"/>
        <v>540000</v>
      </c>
      <c r="F789" s="2">
        <f t="shared" si="251"/>
        <v>666873.04399999999</v>
      </c>
      <c r="G789" s="2">
        <f t="shared" si="252"/>
        <v>13502.585599999999</v>
      </c>
      <c r="H789" s="2">
        <f t="shared" si="253"/>
        <v>47259.049599999998</v>
      </c>
      <c r="I789" s="2">
        <f t="shared" si="255"/>
        <v>39.992340429969211</v>
      </c>
      <c r="J789" s="2">
        <f t="shared" si="256"/>
        <v>14.111012592178747</v>
      </c>
      <c r="K789">
        <f t="shared" si="257"/>
        <v>2.3358920421627069E+17</v>
      </c>
      <c r="L789" s="13">
        <f t="shared" si="248"/>
        <v>4458003716.3167858</v>
      </c>
      <c r="M789" s="2">
        <f t="shared" si="258"/>
        <v>1343800.8233607039</v>
      </c>
      <c r="N789" s="2">
        <f t="shared" si="259"/>
        <v>1.5243425970148737E+20</v>
      </c>
      <c r="O789" s="2">
        <f t="shared" si="260"/>
        <v>4.8203945409831642E+17</v>
      </c>
      <c r="P789" s="2">
        <f t="shared" si="254"/>
        <v>2.5247751503895881E+21</v>
      </c>
      <c r="Q789" s="2">
        <f t="shared" si="249"/>
        <v>1.8054915051082982E+21</v>
      </c>
    </row>
    <row r="790" spans="1:17" x14ac:dyDescent="0.2">
      <c r="A790">
        <f t="shared" si="262"/>
        <v>301</v>
      </c>
      <c r="B790">
        <f t="shared" si="261"/>
        <v>301000</v>
      </c>
      <c r="C790" s="1">
        <f t="shared" si="246"/>
        <v>9744273000</v>
      </c>
      <c r="D790">
        <f t="shared" si="250"/>
        <v>1623.5</v>
      </c>
      <c r="E790" s="2">
        <f t="shared" si="247"/>
        <v>540000</v>
      </c>
      <c r="F790" s="2">
        <f t="shared" si="251"/>
        <v>666419.82199999993</v>
      </c>
      <c r="G790" s="2">
        <f t="shared" si="252"/>
        <v>13498.428399999999</v>
      </c>
      <c r="H790" s="2">
        <f t="shared" si="253"/>
        <v>47244.499399999993</v>
      </c>
      <c r="I790" s="2">
        <f t="shared" si="255"/>
        <v>40.004657134752073</v>
      </c>
      <c r="J790" s="2">
        <f t="shared" si="256"/>
        <v>14.105765336990745</v>
      </c>
      <c r="K790">
        <f t="shared" si="257"/>
        <v>2.3648404433482819E+17</v>
      </c>
      <c r="L790" s="13">
        <f t="shared" si="248"/>
        <v>4488612717.2812233</v>
      </c>
      <c r="M790" s="2">
        <f t="shared" si="258"/>
        <v>1336768.0250988295</v>
      </c>
      <c r="N790" s="2">
        <f t="shared" si="259"/>
        <v>1.5432335732441488E+20</v>
      </c>
      <c r="O790" s="2">
        <f t="shared" si="260"/>
        <v>4.8801330530917715E+17</v>
      </c>
      <c r="P790" s="2">
        <f t="shared" si="254"/>
        <v>2.5115617083521908E+21</v>
      </c>
      <c r="Q790" s="2">
        <f t="shared" si="249"/>
        <v>1.8178881504988955E+21</v>
      </c>
    </row>
    <row r="791" spans="1:17" x14ac:dyDescent="0.2">
      <c r="A791">
        <f t="shared" si="262"/>
        <v>300</v>
      </c>
      <c r="B791">
        <f t="shared" si="261"/>
        <v>300000</v>
      </c>
      <c r="C791" s="1">
        <f t="shared" si="246"/>
        <v>9711900000</v>
      </c>
      <c r="D791">
        <f t="shared" si="250"/>
        <v>1623</v>
      </c>
      <c r="E791" s="2">
        <f t="shared" si="247"/>
        <v>540000</v>
      </c>
      <c r="F791" s="2">
        <f t="shared" si="251"/>
        <v>665966.6</v>
      </c>
      <c r="G791" s="2">
        <f t="shared" si="252"/>
        <v>13494.271199999999</v>
      </c>
      <c r="H791" s="2">
        <f t="shared" si="253"/>
        <v>47229.949199999995</v>
      </c>
      <c r="I791" s="2">
        <f t="shared" si="255"/>
        <v>40.016981428385698</v>
      </c>
      <c r="J791" s="2">
        <f t="shared" si="256"/>
        <v>14.100514848743476</v>
      </c>
      <c r="K791">
        <f t="shared" si="257"/>
        <v>2.3941657671394502E+17</v>
      </c>
      <c r="L791" s="13">
        <f t="shared" si="248"/>
        <v>4519450936.1243105</v>
      </c>
      <c r="M791" s="2">
        <f t="shared" si="258"/>
        <v>1329767.7338489685</v>
      </c>
      <c r="N791" s="2">
        <f t="shared" si="259"/>
        <v>1.5623705193954545E+20</v>
      </c>
      <c r="O791" s="2">
        <f t="shared" si="260"/>
        <v>4.9406493903898912E+17</v>
      </c>
      <c r="P791" s="2">
        <f t="shared" si="254"/>
        <v>2.4984093415089127E+21</v>
      </c>
      <c r="Q791" s="2">
        <f t="shared" si="249"/>
        <v>1.8303776291303457E+21</v>
      </c>
    </row>
    <row r="792" spans="1:17" x14ac:dyDescent="0.2">
      <c r="A792">
        <f t="shared" si="262"/>
        <v>299</v>
      </c>
      <c r="B792">
        <f t="shared" si="261"/>
        <v>299000</v>
      </c>
      <c r="C792" s="1">
        <f t="shared" si="246"/>
        <v>9679527000</v>
      </c>
      <c r="D792">
        <f t="shared" si="250"/>
        <v>1622.5</v>
      </c>
      <c r="E792" s="2">
        <f t="shared" si="247"/>
        <v>540000</v>
      </c>
      <c r="F792" s="2">
        <f t="shared" si="251"/>
        <v>665513.37800000003</v>
      </c>
      <c r="G792" s="2">
        <f t="shared" si="252"/>
        <v>13490.113999999998</v>
      </c>
      <c r="H792" s="2">
        <f t="shared" si="253"/>
        <v>47215.398999999998</v>
      </c>
      <c r="I792" s="2">
        <f t="shared" si="255"/>
        <v>40.029313317885979</v>
      </c>
      <c r="J792" s="2">
        <f t="shared" si="256"/>
        <v>14.09526112444798</v>
      </c>
      <c r="K792">
        <f t="shared" si="257"/>
        <v>2.4238731524421184E+17</v>
      </c>
      <c r="L792" s="13">
        <f t="shared" si="248"/>
        <v>4550520226.3069315</v>
      </c>
      <c r="M792" s="2">
        <f t="shared" si="258"/>
        <v>1322799.8205730456</v>
      </c>
      <c r="N792" s="2">
        <f t="shared" si="259"/>
        <v>1.5817567889855781E+20</v>
      </c>
      <c r="O792" s="2">
        <f t="shared" si="260"/>
        <v>5.0019541576287405E+17</v>
      </c>
      <c r="P792" s="2">
        <f t="shared" si="254"/>
        <v>2.4853178074189702E+21</v>
      </c>
      <c r="Q792" s="2">
        <f t="shared" si="249"/>
        <v>1.8429606916543073E+21</v>
      </c>
    </row>
    <row r="793" spans="1:17" x14ac:dyDescent="0.2">
      <c r="A793">
        <f t="shared" si="262"/>
        <v>298</v>
      </c>
      <c r="B793">
        <f t="shared" si="261"/>
        <v>298000</v>
      </c>
      <c r="C793" s="1">
        <f t="shared" si="246"/>
        <v>9647154000</v>
      </c>
      <c r="D793">
        <f t="shared" si="250"/>
        <v>1622</v>
      </c>
      <c r="E793" s="2">
        <f t="shared" si="247"/>
        <v>540000</v>
      </c>
      <c r="F793" s="2">
        <f t="shared" si="251"/>
        <v>665060.15599999996</v>
      </c>
      <c r="G793" s="2">
        <f t="shared" si="252"/>
        <v>13485.956799999998</v>
      </c>
      <c r="H793" s="2">
        <f t="shared" si="253"/>
        <v>47200.848799999992</v>
      </c>
      <c r="I793" s="2">
        <f t="shared" si="255"/>
        <v>40.041652810277434</v>
      </c>
      <c r="J793" s="2">
        <f t="shared" si="256"/>
        <v>14.090004161111613</v>
      </c>
      <c r="K793">
        <f t="shared" si="257"/>
        <v>2.4539678113138147E+17</v>
      </c>
      <c r="L793" s="13">
        <f t="shared" si="248"/>
        <v>4581822457.3483419</v>
      </c>
      <c r="M793" s="2">
        <f t="shared" si="258"/>
        <v>1315864.1566530438</v>
      </c>
      <c r="N793" s="2">
        <f t="shared" si="259"/>
        <v>1.6013957832681583E+20</v>
      </c>
      <c r="O793" s="2">
        <f t="shared" si="260"/>
        <v>5.0640581105167181E+17</v>
      </c>
      <c r="P793" s="2">
        <f t="shared" si="254"/>
        <v>2.4722868644307964E+21</v>
      </c>
      <c r="Q793" s="2">
        <f t="shared" si="249"/>
        <v>1.8556380952260785E+21</v>
      </c>
    </row>
    <row r="794" spans="1:17" x14ac:dyDescent="0.2">
      <c r="A794">
        <f t="shared" si="262"/>
        <v>297</v>
      </c>
      <c r="B794">
        <f t="shared" si="261"/>
        <v>297000</v>
      </c>
      <c r="C794" s="1">
        <f t="shared" si="246"/>
        <v>9614781000</v>
      </c>
      <c r="D794">
        <f t="shared" si="250"/>
        <v>1621.5</v>
      </c>
      <c r="E794" s="2">
        <f t="shared" si="247"/>
        <v>540000</v>
      </c>
      <c r="F794" s="2">
        <f t="shared" si="251"/>
        <v>664606.93400000001</v>
      </c>
      <c r="G794" s="2">
        <f t="shared" si="252"/>
        <v>13481.799599999998</v>
      </c>
      <c r="H794" s="2">
        <f t="shared" si="253"/>
        <v>47186.298599999995</v>
      </c>
      <c r="I794" s="2">
        <f t="shared" si="255"/>
        <v>40.053999912593277</v>
      </c>
      <c r="J794" s="2">
        <f t="shared" si="256"/>
        <v>14.084743955738034</v>
      </c>
      <c r="K794">
        <f t="shared" si="257"/>
        <v>2.484455030048311E+17</v>
      </c>
      <c r="L794" s="13">
        <f t="shared" si="248"/>
        <v>4613359514.97439</v>
      </c>
      <c r="M794" s="2">
        <f t="shared" si="258"/>
        <v>1308960.6138899606</v>
      </c>
      <c r="N794" s="2">
        <f t="shared" si="259"/>
        <v>1.6212909519414824E+20</v>
      </c>
      <c r="O794" s="2">
        <f t="shared" si="260"/>
        <v>5.1269721579576525E+17</v>
      </c>
      <c r="P794" s="2">
        <f t="shared" si="254"/>
        <v>2.4593162716800835E+21</v>
      </c>
      <c r="Q794" s="2">
        <f t="shared" si="249"/>
        <v>1.8684106035646279E+21</v>
      </c>
    </row>
    <row r="795" spans="1:17" x14ac:dyDescent="0.2">
      <c r="A795">
        <f t="shared" si="262"/>
        <v>296</v>
      </c>
      <c r="B795">
        <f t="shared" si="261"/>
        <v>296000</v>
      </c>
      <c r="C795" s="1">
        <f t="shared" si="246"/>
        <v>9582408000</v>
      </c>
      <c r="D795">
        <f t="shared" si="250"/>
        <v>1621</v>
      </c>
      <c r="E795" s="2">
        <f t="shared" si="247"/>
        <v>540000</v>
      </c>
      <c r="F795" s="2">
        <f t="shared" si="251"/>
        <v>664153.71200000006</v>
      </c>
      <c r="G795" s="2">
        <f t="shared" si="252"/>
        <v>13477.642399999999</v>
      </c>
      <c r="H795" s="2">
        <f t="shared" si="253"/>
        <v>47171.748399999997</v>
      </c>
      <c r="I795" s="2">
        <f t="shared" si="255"/>
        <v>40.066354631875384</v>
      </c>
      <c r="J795" s="2">
        <f t="shared" si="256"/>
        <v>14.079480505327211</v>
      </c>
      <c r="K795">
        <f t="shared" si="257"/>
        <v>2.5153401702766954E+17</v>
      </c>
      <c r="L795" s="13">
        <f t="shared" si="248"/>
        <v>4645133301.2670422</v>
      </c>
      <c r="M795" s="2">
        <f t="shared" si="258"/>
        <v>1302089.0645028113</v>
      </c>
      <c r="N795" s="2">
        <f t="shared" si="259"/>
        <v>1.6414457938670174E+20</v>
      </c>
      <c r="O795" s="2">
        <f t="shared" si="260"/>
        <v>5.1907073643229958E+17</v>
      </c>
      <c r="P795" s="2">
        <f t="shared" si="254"/>
        <v>2.4464057890879082E+21</v>
      </c>
      <c r="Q795" s="2">
        <f t="shared" si="249"/>
        <v>1.881278987013152E+21</v>
      </c>
    </row>
    <row r="796" spans="1:17" x14ac:dyDescent="0.2">
      <c r="A796">
        <f t="shared" si="262"/>
        <v>295</v>
      </c>
      <c r="B796">
        <f t="shared" si="261"/>
        <v>295000</v>
      </c>
      <c r="C796" s="1">
        <f t="shared" si="246"/>
        <v>9550035000</v>
      </c>
      <c r="D796">
        <f t="shared" si="250"/>
        <v>1620.5</v>
      </c>
      <c r="E796" s="2">
        <f t="shared" si="247"/>
        <v>540000</v>
      </c>
      <c r="F796" s="2">
        <f t="shared" si="251"/>
        <v>663700.49</v>
      </c>
      <c r="G796" s="2">
        <f t="shared" si="252"/>
        <v>13473.485199999999</v>
      </c>
      <c r="H796" s="2">
        <f t="shared" si="253"/>
        <v>47157.198199999992</v>
      </c>
      <c r="I796" s="2">
        <f t="shared" si="255"/>
        <v>40.078716975174324</v>
      </c>
      <c r="J796" s="2">
        <f t="shared" si="256"/>
        <v>14.074213806875408</v>
      </c>
      <c r="K796">
        <f t="shared" si="257"/>
        <v>2.5466286700855722E+17</v>
      </c>
      <c r="L796" s="13">
        <f t="shared" si="248"/>
        <v>4677145734.8155718</v>
      </c>
      <c r="M796" s="2">
        <f t="shared" si="258"/>
        <v>1295249.3811275903</v>
      </c>
      <c r="N796" s="2">
        <f t="shared" si="259"/>
        <v>1.6618638577991175E+20</v>
      </c>
      <c r="O796" s="2">
        <f t="shared" si="260"/>
        <v>5.2552749517593664E+17</v>
      </c>
      <c r="P796" s="2">
        <f t="shared" si="254"/>
        <v>2.43355517735878E+21</v>
      </c>
      <c r="Q796" s="2">
        <f t="shared" si="249"/>
        <v>1.8942440226003065E+21</v>
      </c>
    </row>
    <row r="797" spans="1:17" x14ac:dyDescent="0.2">
      <c r="A797">
        <f t="shared" si="262"/>
        <v>294</v>
      </c>
      <c r="B797">
        <f t="shared" si="261"/>
        <v>294000</v>
      </c>
      <c r="C797" s="1">
        <f t="shared" si="246"/>
        <v>9517662000</v>
      </c>
      <c r="D797">
        <f t="shared" si="250"/>
        <v>1620</v>
      </c>
      <c r="E797" s="2">
        <f t="shared" si="247"/>
        <v>540000</v>
      </c>
      <c r="F797" s="2">
        <f t="shared" si="251"/>
        <v>663247.26799999992</v>
      </c>
      <c r="G797" s="2">
        <f t="shared" si="252"/>
        <v>13469.327999999998</v>
      </c>
      <c r="H797" s="2">
        <f t="shared" si="253"/>
        <v>47142.647999999994</v>
      </c>
      <c r="I797" s="2">
        <f t="shared" si="255"/>
        <v>40.091086949549386</v>
      </c>
      <c r="J797" s="2">
        <f t="shared" si="256"/>
        <v>14.068943857375174</v>
      </c>
      <c r="K797">
        <f t="shared" si="257"/>
        <v>2.5783260451525293E+17</v>
      </c>
      <c r="L797" s="13">
        <f t="shared" si="248"/>
        <v>4709398750.8689842</v>
      </c>
      <c r="M797" s="2">
        <f t="shared" si="258"/>
        <v>1288441.4368162539</v>
      </c>
      <c r="N797" s="2">
        <f t="shared" si="259"/>
        <v>1.6825487431260032E+20</v>
      </c>
      <c r="O797" s="2">
        <f t="shared" si="260"/>
        <v>5.320686302531721E+17</v>
      </c>
      <c r="P797" s="2">
        <f t="shared" si="254"/>
        <v>2.4207641979787322E+21</v>
      </c>
      <c r="Q797" s="2">
        <f t="shared" si="249"/>
        <v>1.9073064941019385E+21</v>
      </c>
    </row>
    <row r="798" spans="1:17" x14ac:dyDescent="0.2">
      <c r="A798">
        <f t="shared" si="262"/>
        <v>293</v>
      </c>
      <c r="B798">
        <f t="shared" si="261"/>
        <v>293000</v>
      </c>
      <c r="C798" s="1">
        <f t="shared" si="246"/>
        <v>9485289000</v>
      </c>
      <c r="D798">
        <f t="shared" si="250"/>
        <v>1619.5</v>
      </c>
      <c r="E798" s="2">
        <f t="shared" si="247"/>
        <v>540000</v>
      </c>
      <c r="F798" s="2">
        <f t="shared" si="251"/>
        <v>662794.04599999997</v>
      </c>
      <c r="G798" s="2">
        <f t="shared" si="252"/>
        <v>13465.170799999998</v>
      </c>
      <c r="H798" s="2">
        <f t="shared" si="253"/>
        <v>47128.097799999996</v>
      </c>
      <c r="I798" s="2">
        <f t="shared" si="255"/>
        <v>40.103464562068538</v>
      </c>
      <c r="J798" s="2">
        <f t="shared" si="256"/>
        <v>14.063670653815356</v>
      </c>
      <c r="K798">
        <f t="shared" si="257"/>
        <v>2.6104378898989078E+17</v>
      </c>
      <c r="L798" s="13">
        <f t="shared" si="248"/>
        <v>4741894301.4901323</v>
      </c>
      <c r="M798" s="2">
        <f t="shared" si="258"/>
        <v>1281665.1050357148</v>
      </c>
      <c r="N798" s="2">
        <f t="shared" si="259"/>
        <v>1.7035041006220254E+20</v>
      </c>
      <c r="O798" s="2">
        <f t="shared" si="260"/>
        <v>5.3869529614022336E+17</v>
      </c>
      <c r="P798" s="2">
        <f t="shared" si="254"/>
        <v>2.4080326132134293E+21</v>
      </c>
      <c r="Q798" s="2">
        <f t="shared" si="249"/>
        <v>1.9204671921035037E+21</v>
      </c>
    </row>
    <row r="799" spans="1:17" x14ac:dyDescent="0.2">
      <c r="A799">
        <f t="shared" si="262"/>
        <v>292</v>
      </c>
      <c r="B799">
        <f t="shared" si="261"/>
        <v>292000</v>
      </c>
      <c r="C799" s="1">
        <f t="shared" si="246"/>
        <v>9452916000</v>
      </c>
      <c r="D799">
        <f t="shared" si="250"/>
        <v>1619</v>
      </c>
      <c r="E799" s="2">
        <f t="shared" si="247"/>
        <v>540000</v>
      </c>
      <c r="F799" s="2">
        <f t="shared" si="251"/>
        <v>662340.82400000002</v>
      </c>
      <c r="G799" s="2">
        <f t="shared" si="252"/>
        <v>13461.013599999998</v>
      </c>
      <c r="H799" s="2">
        <f t="shared" si="253"/>
        <v>47113.547599999998</v>
      </c>
      <c r="I799" s="2">
        <f t="shared" si="255"/>
        <v>40.115849819808524</v>
      </c>
      <c r="J799" s="2">
        <f t="shared" si="256"/>
        <v>14.058394193181073</v>
      </c>
      <c r="K799">
        <f t="shared" si="257"/>
        <v>2.6429698786607568E+17</v>
      </c>
      <c r="L799" s="13">
        <f t="shared" si="248"/>
        <v>4774634355.7112598</v>
      </c>
      <c r="M799" s="2">
        <f t="shared" si="258"/>
        <v>1274920.2596668133</v>
      </c>
      <c r="N799" s="2">
        <f t="shared" si="259"/>
        <v>1.7247336332118032E+20</v>
      </c>
      <c r="O799" s="2">
        <f t="shared" si="260"/>
        <v>5.454086638046704E+17</v>
      </c>
      <c r="P799" s="2">
        <f t="shared" si="254"/>
        <v>2.3953601861062377E+21</v>
      </c>
      <c r="Q799" s="2">
        <f t="shared" si="249"/>
        <v>1.9337269140630602E+21</v>
      </c>
    </row>
    <row r="800" spans="1:17" x14ac:dyDescent="0.2">
      <c r="A800">
        <f t="shared" si="262"/>
        <v>291</v>
      </c>
      <c r="B800">
        <f t="shared" si="261"/>
        <v>291000</v>
      </c>
      <c r="C800" s="1">
        <f t="shared" ref="C800:C863" si="263">$B$3*$B$1*B800</f>
        <v>9420543000</v>
      </c>
      <c r="D800">
        <f t="shared" si="250"/>
        <v>1618.5</v>
      </c>
      <c r="E800" s="2">
        <f t="shared" ref="E800:E863" si="264">+$B$19+$B$16*0</f>
        <v>540000</v>
      </c>
      <c r="F800" s="2">
        <f t="shared" si="251"/>
        <v>661887.60199999996</v>
      </c>
      <c r="G800" s="2">
        <f t="shared" si="252"/>
        <v>13456.856399999999</v>
      </c>
      <c r="H800" s="2">
        <f t="shared" si="253"/>
        <v>47098.997399999993</v>
      </c>
      <c r="I800" s="2">
        <f t="shared" si="255"/>
        <v>40.128242729854804</v>
      </c>
      <c r="J800" s="2">
        <f t="shared" si="256"/>
        <v>14.053114472453718</v>
      </c>
      <c r="K800">
        <f t="shared" si="257"/>
        <v>2.6759277668774723E+17</v>
      </c>
      <c r="L800" s="13">
        <f t="shared" ref="L800:L863" si="265">EXP((300*1000)/($B$17*D800))</f>
        <v>4807620899.6910658</v>
      </c>
      <c r="M800" s="2">
        <f t="shared" si="258"/>
        <v>1268206.7750033014</v>
      </c>
      <c r="N800" s="2">
        <f t="shared" si="259"/>
        <v>1.7462410967458968E+20</v>
      </c>
      <c r="O800" s="2">
        <f t="shared" si="260"/>
        <v>5.5220992095074541E+17</v>
      </c>
      <c r="P800" s="2">
        <f t="shared" si="254"/>
        <v>2.3827466804763138E+21</v>
      </c>
      <c r="Q800" s="2">
        <f t="shared" ref="Q800:Q863" si="266">$B$12*L800</f>
        <v>1.9470864643748816E+21</v>
      </c>
    </row>
    <row r="801" spans="1:17" x14ac:dyDescent="0.2">
      <c r="A801">
        <f t="shared" si="262"/>
        <v>290</v>
      </c>
      <c r="B801">
        <f t="shared" si="261"/>
        <v>290000</v>
      </c>
      <c r="C801" s="1">
        <f t="shared" si="263"/>
        <v>9388170000</v>
      </c>
      <c r="D801">
        <f t="shared" si="250"/>
        <v>1618</v>
      </c>
      <c r="E801" s="2">
        <f t="shared" si="264"/>
        <v>540000</v>
      </c>
      <c r="F801" s="2">
        <f t="shared" si="251"/>
        <v>661434.38</v>
      </c>
      <c r="G801" s="2">
        <f t="shared" si="252"/>
        <v>13452.699199999999</v>
      </c>
      <c r="H801" s="2">
        <f t="shared" si="253"/>
        <v>47084.447199999995</v>
      </c>
      <c r="I801" s="2">
        <f t="shared" si="255"/>
        <v>40.140643299301601</v>
      </c>
      <c r="J801" s="2">
        <f t="shared" si="256"/>
        <v>14.047831488610958</v>
      </c>
      <c r="K801">
        <f t="shared" si="257"/>
        <v>2.7093173922990701E+17</v>
      </c>
      <c r="L801" s="13">
        <f t="shared" si="265"/>
        <v>4840855936.873333</v>
      </c>
      <c r="M801" s="2">
        <f t="shared" si="258"/>
        <v>1261524.5257508431</v>
      </c>
      <c r="N801" s="2">
        <f t="shared" si="259"/>
        <v>1.7680303007886439E+20</v>
      </c>
      <c r="O801" s="2">
        <f t="shared" si="260"/>
        <v>5.5910027226846835E+17</v>
      </c>
      <c r="P801" s="2">
        <f t="shared" si="254"/>
        <v>2.3701918609167284E+21</v>
      </c>
      <c r="Q801" s="2">
        <f t="shared" si="266"/>
        <v>1.9605466544337E+21</v>
      </c>
    </row>
    <row r="802" spans="1:17" x14ac:dyDescent="0.2">
      <c r="A802">
        <f t="shared" si="262"/>
        <v>289</v>
      </c>
      <c r="B802">
        <f t="shared" si="261"/>
        <v>289000</v>
      </c>
      <c r="C802" s="1">
        <f t="shared" si="263"/>
        <v>9355797000</v>
      </c>
      <c r="D802">
        <f t="shared" si="250"/>
        <v>1617.5</v>
      </c>
      <c r="E802" s="2">
        <f t="shared" si="264"/>
        <v>540000</v>
      </c>
      <c r="F802" s="2">
        <f t="shared" si="251"/>
        <v>660981.15800000005</v>
      </c>
      <c r="G802" s="2">
        <f t="shared" si="252"/>
        <v>13448.541999999999</v>
      </c>
      <c r="H802" s="2">
        <f t="shared" si="253"/>
        <v>47069.896999999997</v>
      </c>
      <c r="I802" s="2">
        <f t="shared" si="255"/>
        <v>40.153051535251926</v>
      </c>
      <c r="J802" s="2">
        <f t="shared" si="256"/>
        <v>14.042545238626719</v>
      </c>
      <c r="K802">
        <f t="shared" si="257"/>
        <v>2.7431446762120963E+17</v>
      </c>
      <c r="L802" s="13">
        <f t="shared" si="265"/>
        <v>4874341488.1470671</v>
      </c>
      <c r="M802" s="2">
        <f t="shared" si="258"/>
        <v>1254873.3870259859</v>
      </c>
      <c r="N802" s="2">
        <f t="shared" si="259"/>
        <v>1.790105109418156E+20</v>
      </c>
      <c r="O802" s="2">
        <f t="shared" si="260"/>
        <v>5.660809396866281E+17</v>
      </c>
      <c r="P802" s="2">
        <f t="shared" si="254"/>
        <v>2.3576954927925321E+21</v>
      </c>
      <c r="Q802" s="2">
        <f t="shared" si="266"/>
        <v>1.9741083026995623E+21</v>
      </c>
    </row>
    <row r="803" spans="1:17" x14ac:dyDescent="0.2">
      <c r="A803">
        <f t="shared" si="262"/>
        <v>288</v>
      </c>
      <c r="B803">
        <f t="shared" si="261"/>
        <v>288000</v>
      </c>
      <c r="C803" s="1">
        <f t="shared" si="263"/>
        <v>9323424000</v>
      </c>
      <c r="D803">
        <f t="shared" si="250"/>
        <v>1617</v>
      </c>
      <c r="E803" s="2">
        <f t="shared" si="264"/>
        <v>540000</v>
      </c>
      <c r="F803" s="2">
        <f t="shared" si="251"/>
        <v>660527.93599999999</v>
      </c>
      <c r="G803" s="2">
        <f t="shared" si="252"/>
        <v>13444.384799999998</v>
      </c>
      <c r="H803" s="2">
        <f t="shared" si="253"/>
        <v>47055.346799999992</v>
      </c>
      <c r="I803" s="2">
        <f t="shared" si="255"/>
        <v>40.165467444817565</v>
      </c>
      <c r="J803" s="2">
        <f t="shared" si="256"/>
        <v>14.037255719471185</v>
      </c>
      <c r="K803">
        <f t="shared" si="257"/>
        <v>2.7774156246843926E+17</v>
      </c>
      <c r="L803" s="13">
        <f t="shared" si="265"/>
        <v>4908079592.0083437</v>
      </c>
      <c r="M803" s="2">
        <f t="shared" si="258"/>
        <v>1248253.2343551621</v>
      </c>
      <c r="N803" s="2">
        <f t="shared" si="259"/>
        <v>1.8124694420386205E+20</v>
      </c>
      <c r="O803" s="2">
        <f t="shared" si="260"/>
        <v>5.731531626296551E+17</v>
      </c>
      <c r="P803" s="2">
        <f t="shared" si="254"/>
        <v>2.3452573422388807E+21</v>
      </c>
      <c r="Q803" s="2">
        <f t="shared" si="266"/>
        <v>1.9877722347633791E+21</v>
      </c>
    </row>
    <row r="804" spans="1:17" x14ac:dyDescent="0.2">
      <c r="A804">
        <f t="shared" si="262"/>
        <v>287</v>
      </c>
      <c r="B804">
        <f t="shared" si="261"/>
        <v>287000</v>
      </c>
      <c r="C804" s="1">
        <f t="shared" si="263"/>
        <v>9291051000</v>
      </c>
      <c r="D804">
        <f t="shared" si="250"/>
        <v>1616.5</v>
      </c>
      <c r="E804" s="2">
        <f t="shared" si="264"/>
        <v>540000</v>
      </c>
      <c r="F804" s="2">
        <f t="shared" si="251"/>
        <v>660074.71400000004</v>
      </c>
      <c r="G804" s="2">
        <f t="shared" si="252"/>
        <v>13440.227599999998</v>
      </c>
      <c r="H804" s="2">
        <f t="shared" si="253"/>
        <v>47040.796599999994</v>
      </c>
      <c r="I804" s="2">
        <f t="shared" si="255"/>
        <v>40.177891035119082</v>
      </c>
      <c r="J804" s="2">
        <f t="shared" si="256"/>
        <v>14.03196292811079</v>
      </c>
      <c r="K804">
        <f t="shared" si="257"/>
        <v>2.8121363298291718E+17</v>
      </c>
      <c r="L804" s="13">
        <f t="shared" si="265"/>
        <v>4942072304.7234678</v>
      </c>
      <c r="M804" s="2">
        <f t="shared" si="258"/>
        <v>1241663.9436736717</v>
      </c>
      <c r="N804" s="2">
        <f t="shared" si="259"/>
        <v>1.835127274205204E+20</v>
      </c>
      <c r="O804" s="2">
        <f t="shared" si="260"/>
        <v>5.8031819827847821E+17</v>
      </c>
      <c r="P804" s="2">
        <f t="shared" si="254"/>
        <v>2.332877176159123E+21</v>
      </c>
      <c r="Q804" s="2">
        <f t="shared" si="266"/>
        <v>2.0015392834130045E+21</v>
      </c>
    </row>
    <row r="805" spans="1:17" x14ac:dyDescent="0.2">
      <c r="A805">
        <f t="shared" si="262"/>
        <v>286</v>
      </c>
      <c r="B805">
        <f t="shared" si="261"/>
        <v>286000</v>
      </c>
      <c r="C805" s="1">
        <f t="shared" si="263"/>
        <v>9258678000</v>
      </c>
      <c r="D805">
        <f t="shared" si="250"/>
        <v>1616</v>
      </c>
      <c r="E805" s="2">
        <f t="shared" si="264"/>
        <v>540000</v>
      </c>
      <c r="F805" s="2">
        <f t="shared" si="251"/>
        <v>659621.49199999997</v>
      </c>
      <c r="G805" s="2">
        <f t="shared" si="252"/>
        <v>13436.070399999999</v>
      </c>
      <c r="H805" s="2">
        <f t="shared" si="253"/>
        <v>47026.246399999996</v>
      </c>
      <c r="I805" s="2">
        <f t="shared" si="255"/>
        <v>40.19032231328589</v>
      </c>
      <c r="J805" s="2">
        <f t="shared" si="256"/>
        <v>14.026666861508216</v>
      </c>
      <c r="K805">
        <f t="shared" si="257"/>
        <v>2.8473129710888986E+17</v>
      </c>
      <c r="L805" s="13">
        <f t="shared" si="265"/>
        <v>4976321700.4941044</v>
      </c>
      <c r="M805" s="2">
        <f t="shared" si="258"/>
        <v>1235105.3913246817</v>
      </c>
      <c r="N805" s="2">
        <f t="shared" si="259"/>
        <v>1.8580826384618786E+20</v>
      </c>
      <c r="O805" s="2">
        <f t="shared" si="260"/>
        <v>5.8757732183546918E+17</v>
      </c>
      <c r="P805" s="2">
        <f t="shared" si="254"/>
        <v>2.3205547622229213E+21</v>
      </c>
      <c r="Q805" s="2">
        <f t="shared" si="266"/>
        <v>2.0154102887001122E+21</v>
      </c>
    </row>
    <row r="806" spans="1:17" x14ac:dyDescent="0.2">
      <c r="A806">
        <f t="shared" si="262"/>
        <v>285</v>
      </c>
      <c r="B806">
        <f t="shared" si="261"/>
        <v>285000</v>
      </c>
      <c r="C806" s="1">
        <f t="shared" si="263"/>
        <v>9226305000</v>
      </c>
      <c r="D806">
        <f t="shared" si="250"/>
        <v>1615.5</v>
      </c>
      <c r="E806" s="2">
        <f t="shared" si="264"/>
        <v>540000</v>
      </c>
      <c r="F806" s="2">
        <f t="shared" si="251"/>
        <v>659168.27</v>
      </c>
      <c r="G806" s="2">
        <f t="shared" si="252"/>
        <v>13431.913199999999</v>
      </c>
      <c r="H806" s="2">
        <f t="shared" si="253"/>
        <v>47011.696199999998</v>
      </c>
      <c r="I806" s="2">
        <f t="shared" si="255"/>
        <v>40.202761286456202</v>
      </c>
      <c r="J806" s="2">
        <f t="shared" si="256"/>
        <v>14.021367516622385</v>
      </c>
      <c r="K806">
        <f t="shared" si="257"/>
        <v>2.8829518165386925E+17</v>
      </c>
      <c r="L806" s="13">
        <f t="shared" si="265"/>
        <v>5010829871.6237144</v>
      </c>
      <c r="M806" s="2">
        <f t="shared" si="258"/>
        <v>1228577.4540582157</v>
      </c>
      <c r="N806" s="2">
        <f t="shared" si="259"/>
        <v>1.8813396251919899E+20</v>
      </c>
      <c r="O806" s="2">
        <f t="shared" si="260"/>
        <v>5.9493182679341542E+17</v>
      </c>
      <c r="P806" s="2">
        <f t="shared" si="254"/>
        <v>2.3082898688643529E+21</v>
      </c>
      <c r="Q806" s="2">
        <f t="shared" si="266"/>
        <v>2.0293860980076045E+21</v>
      </c>
    </row>
    <row r="807" spans="1:17" x14ac:dyDescent="0.2">
      <c r="A807">
        <f t="shared" si="262"/>
        <v>284</v>
      </c>
      <c r="B807">
        <f t="shared" si="261"/>
        <v>284000</v>
      </c>
      <c r="C807" s="1">
        <f t="shared" si="263"/>
        <v>9193932000</v>
      </c>
      <c r="D807">
        <f t="shared" si="250"/>
        <v>1615</v>
      </c>
      <c r="E807" s="2">
        <f t="shared" si="264"/>
        <v>540000</v>
      </c>
      <c r="F807" s="2">
        <f t="shared" si="251"/>
        <v>658715.04799999995</v>
      </c>
      <c r="G807" s="2">
        <f t="shared" si="252"/>
        <v>13427.755999999999</v>
      </c>
      <c r="H807" s="2">
        <f t="shared" si="253"/>
        <v>46997.145999999993</v>
      </c>
      <c r="I807" s="2">
        <f t="shared" si="255"/>
        <v>40.215207961777082</v>
      </c>
      <c r="J807" s="2">
        <f t="shared" si="256"/>
        <v>14.016064890408453</v>
      </c>
      <c r="K807">
        <f t="shared" si="257"/>
        <v>2.9190592242102694E+17</v>
      </c>
      <c r="L807" s="13">
        <f t="shared" si="265"/>
        <v>5045598928.6857901</v>
      </c>
      <c r="M807" s="2">
        <f t="shared" si="258"/>
        <v>1222080.00903015</v>
      </c>
      <c r="N807" s="2">
        <f t="shared" si="259"/>
        <v>1.904902383482226E+20</v>
      </c>
      <c r="O807" s="2">
        <f t="shared" si="260"/>
        <v>6.0238302520873152E+17</v>
      </c>
      <c r="P807" s="2">
        <f t="shared" si="254"/>
        <v>2.2960822652800239E+21</v>
      </c>
      <c r="Q807" s="2">
        <f t="shared" si="266"/>
        <v>2.0434675661177451E+21</v>
      </c>
    </row>
    <row r="808" spans="1:17" x14ac:dyDescent="0.2">
      <c r="A808">
        <f t="shared" si="262"/>
        <v>283</v>
      </c>
      <c r="B808">
        <f t="shared" si="261"/>
        <v>283000</v>
      </c>
      <c r="C808" s="1">
        <f t="shared" si="263"/>
        <v>9161559000</v>
      </c>
      <c r="D808">
        <f t="shared" si="250"/>
        <v>1614.5</v>
      </c>
      <c r="E808" s="2">
        <f t="shared" si="264"/>
        <v>540000</v>
      </c>
      <c r="F808" s="2">
        <f t="shared" si="251"/>
        <v>658261.826</v>
      </c>
      <c r="G808" s="2">
        <f t="shared" si="252"/>
        <v>13423.598799999998</v>
      </c>
      <c r="H808" s="2">
        <f t="shared" si="253"/>
        <v>46982.595799999996</v>
      </c>
      <c r="I808" s="2">
        <f t="shared" si="255"/>
        <v>40.227662346404458</v>
      </c>
      <c r="J808" s="2">
        <f t="shared" si="256"/>
        <v>14.010758979817799</v>
      </c>
      <c r="K808">
        <f t="shared" si="257"/>
        <v>2.9556416434362893E+17</v>
      </c>
      <c r="L808" s="13">
        <f t="shared" si="265"/>
        <v>5080631000.6937761</v>
      </c>
      <c r="M808" s="2">
        <f t="shared" si="258"/>
        <v>1215612.9338012068</v>
      </c>
      <c r="N808" s="2">
        <f t="shared" si="259"/>
        <v>1.9287751219999054E+20</v>
      </c>
      <c r="O808" s="2">
        <f t="shared" si="260"/>
        <v>6.0993224797888128E+17</v>
      </c>
      <c r="P808" s="2">
        <f t="shared" si="254"/>
        <v>2.2839317214271769E+21</v>
      </c>
      <c r="Q808" s="2">
        <f t="shared" si="266"/>
        <v>2.0576555552809794E+21</v>
      </c>
    </row>
    <row r="809" spans="1:17" x14ac:dyDescent="0.2">
      <c r="A809">
        <f t="shared" si="262"/>
        <v>282</v>
      </c>
      <c r="B809">
        <f t="shared" si="261"/>
        <v>282000</v>
      </c>
      <c r="C809" s="1">
        <f t="shared" si="263"/>
        <v>9129186000</v>
      </c>
      <c r="D809">
        <f t="shared" si="250"/>
        <v>1614</v>
      </c>
      <c r="E809" s="2">
        <f t="shared" si="264"/>
        <v>540000</v>
      </c>
      <c r="F809" s="2">
        <f t="shared" si="251"/>
        <v>657808.60400000005</v>
      </c>
      <c r="G809" s="2">
        <f t="shared" si="252"/>
        <v>13419.441599999998</v>
      </c>
      <c r="H809" s="2">
        <f t="shared" si="253"/>
        <v>46968.045599999998</v>
      </c>
      <c r="I809" s="2">
        <f t="shared" si="255"/>
        <v>40.240124447503099</v>
      </c>
      <c r="J809" s="2">
        <f t="shared" si="256"/>
        <v>14.005449781798033</v>
      </c>
      <c r="K809">
        <f t="shared" si="257"/>
        <v>2.992705616215511E+17</v>
      </c>
      <c r="L809" s="13">
        <f t="shared" si="265"/>
        <v>5115928235.2724237</v>
      </c>
      <c r="M809" s="2">
        <f t="shared" si="258"/>
        <v>1209176.1063359603</v>
      </c>
      <c r="N809" s="2">
        <f t="shared" si="259"/>
        <v>1.9529621098838393E+20</v>
      </c>
      <c r="O809" s="2">
        <f t="shared" si="260"/>
        <v>6.1758084512409408E+17</v>
      </c>
      <c r="P809" s="2">
        <f t="shared" si="254"/>
        <v>2.2718380080218256E+21</v>
      </c>
      <c r="Q809" s="2">
        <f t="shared" si="266"/>
        <v>2.0719509352853317E+21</v>
      </c>
    </row>
    <row r="810" spans="1:17" x14ac:dyDescent="0.2">
      <c r="A810">
        <f t="shared" si="262"/>
        <v>281</v>
      </c>
      <c r="B810">
        <f t="shared" si="261"/>
        <v>281000</v>
      </c>
      <c r="C810" s="1">
        <f t="shared" si="263"/>
        <v>9096813000</v>
      </c>
      <c r="D810">
        <f t="shared" si="250"/>
        <v>1613.5</v>
      </c>
      <c r="E810" s="2">
        <f t="shared" si="264"/>
        <v>540000</v>
      </c>
      <c r="F810" s="2">
        <f t="shared" si="251"/>
        <v>657355.38199999998</v>
      </c>
      <c r="G810" s="2">
        <f t="shared" si="252"/>
        <v>13415.284399999999</v>
      </c>
      <c r="H810" s="2">
        <f t="shared" si="253"/>
        <v>46953.495399999993</v>
      </c>
      <c r="I810" s="2">
        <f t="shared" si="255"/>
        <v>40.252594272246668</v>
      </c>
      <c r="J810" s="2">
        <f t="shared" si="256"/>
        <v>14.000137293292974</v>
      </c>
      <c r="K810">
        <f t="shared" si="257"/>
        <v>3.0302577785993318E+17</v>
      </c>
      <c r="L810" s="13">
        <f t="shared" si="265"/>
        <v>5151492798.8312178</v>
      </c>
      <c r="M810" s="2">
        <f t="shared" si="258"/>
        <v>1202769.4050018273</v>
      </c>
      <c r="N810" s="2">
        <f t="shared" si="259"/>
        <v>1.9774676776491542E+20</v>
      </c>
      <c r="O810" s="2">
        <f t="shared" si="260"/>
        <v>6.2533018607349376E+17</v>
      </c>
      <c r="P810" s="2">
        <f t="shared" si="254"/>
        <v>2.259800896536856E+21</v>
      </c>
      <c r="Q810" s="2">
        <f t="shared" si="266"/>
        <v>2.0863545835266431E+21</v>
      </c>
    </row>
    <row r="811" spans="1:17" x14ac:dyDescent="0.2">
      <c r="A811">
        <f t="shared" si="262"/>
        <v>280</v>
      </c>
      <c r="B811">
        <f t="shared" si="261"/>
        <v>280000</v>
      </c>
      <c r="C811" s="1">
        <f t="shared" si="263"/>
        <v>9064440000</v>
      </c>
      <c r="D811">
        <f t="shared" si="250"/>
        <v>1613</v>
      </c>
      <c r="E811" s="2">
        <f t="shared" si="264"/>
        <v>540000</v>
      </c>
      <c r="F811" s="2">
        <f t="shared" si="251"/>
        <v>656902.16</v>
      </c>
      <c r="G811" s="2">
        <f t="shared" si="252"/>
        <v>13411.127199999999</v>
      </c>
      <c r="H811" s="2">
        <f t="shared" si="253"/>
        <v>46938.945199999995</v>
      </c>
      <c r="I811" s="2">
        <f t="shared" si="255"/>
        <v>40.265071827817728</v>
      </c>
      <c r="J811" s="2">
        <f t="shared" si="256"/>
        <v>13.994821511242654</v>
      </c>
      <c r="K811">
        <f t="shared" si="257"/>
        <v>3.0683048620997914E+17</v>
      </c>
      <c r="L811" s="13">
        <f t="shared" si="265"/>
        <v>5187326876.7392159</v>
      </c>
      <c r="M811" s="2">
        <f t="shared" si="258"/>
        <v>1196392.7085680701</v>
      </c>
      <c r="N811" s="2">
        <f t="shared" si="259"/>
        <v>2.0022962181061162E+20</v>
      </c>
      <c r="O811" s="2">
        <f t="shared" si="260"/>
        <v>6.3318165995565747E+17</v>
      </c>
      <c r="P811" s="2">
        <f t="shared" si="254"/>
        <v>2.2478201592001541E+21</v>
      </c>
      <c r="Q811" s="2">
        <f t="shared" si="266"/>
        <v>2.1008673850793824E+21</v>
      </c>
    </row>
    <row r="812" spans="1:17" x14ac:dyDescent="0.2">
      <c r="A812">
        <f t="shared" si="262"/>
        <v>279</v>
      </c>
      <c r="B812">
        <f t="shared" si="261"/>
        <v>279000</v>
      </c>
      <c r="C812" s="1">
        <f t="shared" si="263"/>
        <v>9032067000</v>
      </c>
      <c r="D812">
        <f t="shared" si="250"/>
        <v>1612.5</v>
      </c>
      <c r="E812" s="2">
        <f t="shared" si="264"/>
        <v>540000</v>
      </c>
      <c r="F812" s="2">
        <f t="shared" si="251"/>
        <v>656448.93799999997</v>
      </c>
      <c r="G812" s="2">
        <f t="shared" si="252"/>
        <v>13406.97</v>
      </c>
      <c r="H812" s="2">
        <f t="shared" si="253"/>
        <v>46924.394999999997</v>
      </c>
      <c r="I812" s="2">
        <f t="shared" si="255"/>
        <v>40.277557121407746</v>
      </c>
      <c r="J812" s="2">
        <f t="shared" si="256"/>
        <v>13.989502432583308</v>
      </c>
      <c r="K812">
        <f t="shared" si="257"/>
        <v>3.1068536951194374E+17</v>
      </c>
      <c r="L812" s="13">
        <f t="shared" si="265"/>
        <v>5223432673.5016403</v>
      </c>
      <c r="M812" s="2">
        <f t="shared" si="258"/>
        <v>1190045.8962048038</v>
      </c>
      <c r="N812" s="2">
        <f t="shared" si="259"/>
        <v>2.0274521872932258E+20</v>
      </c>
      <c r="O812" s="2">
        <f t="shared" si="260"/>
        <v>6.4113667589368563E+17</v>
      </c>
      <c r="P812" s="2">
        <f t="shared" si="254"/>
        <v>2.2358955689927416E+21</v>
      </c>
      <c r="Q812" s="2">
        <f t="shared" si="266"/>
        <v>2.1154902327681643E+21</v>
      </c>
    </row>
    <row r="813" spans="1:17" x14ac:dyDescent="0.2">
      <c r="A813">
        <f t="shared" si="262"/>
        <v>278</v>
      </c>
      <c r="B813">
        <f t="shared" si="261"/>
        <v>278000</v>
      </c>
      <c r="C813" s="1">
        <f t="shared" si="263"/>
        <v>8999694000</v>
      </c>
      <c r="D813">
        <f t="shared" si="250"/>
        <v>1612</v>
      </c>
      <c r="E813" s="2">
        <f t="shared" si="264"/>
        <v>540000</v>
      </c>
      <c r="F813" s="2">
        <f t="shared" si="251"/>
        <v>655995.71600000001</v>
      </c>
      <c r="G813" s="2">
        <f t="shared" si="252"/>
        <v>13402.812799999998</v>
      </c>
      <c r="H813" s="2">
        <f t="shared" si="253"/>
        <v>46909.844799999992</v>
      </c>
      <c r="I813" s="2">
        <f t="shared" si="255"/>
        <v>40.29005016021712</v>
      </c>
      <c r="J813" s="2">
        <f t="shared" si="256"/>
        <v>13.984180054247378</v>
      </c>
      <c r="K813">
        <f t="shared" si="257"/>
        <v>3.1459112044035302E+17</v>
      </c>
      <c r="L813" s="13">
        <f t="shared" si="265"/>
        <v>5259812412.9383841</v>
      </c>
      <c r="M813" s="2">
        <f t="shared" si="258"/>
        <v>1183728.8474820037</v>
      </c>
      <c r="N813" s="2">
        <f t="shared" si="259"/>
        <v>2.0529401054248891E+20</v>
      </c>
      <c r="O813" s="2">
        <f t="shared" si="260"/>
        <v>6.4919666330488141E+17</v>
      </c>
      <c r="P813" s="2">
        <f t="shared" si="254"/>
        <v>2.2240268996469087E+21</v>
      </c>
      <c r="Q813" s="2">
        <f t="shared" si="266"/>
        <v>2.1302240272400455E+21</v>
      </c>
    </row>
    <row r="814" spans="1:17" x14ac:dyDescent="0.2">
      <c r="A814">
        <f t="shared" si="262"/>
        <v>277</v>
      </c>
      <c r="B814">
        <f t="shared" si="261"/>
        <v>277000</v>
      </c>
      <c r="C814" s="1">
        <f t="shared" si="263"/>
        <v>8967321000</v>
      </c>
      <c r="D814">
        <f t="shared" si="250"/>
        <v>1611.5</v>
      </c>
      <c r="E814" s="2">
        <f t="shared" si="264"/>
        <v>540000</v>
      </c>
      <c r="F814" s="2">
        <f t="shared" si="251"/>
        <v>655542.49399999995</v>
      </c>
      <c r="G814" s="2">
        <f t="shared" si="252"/>
        <v>13398.655599999998</v>
      </c>
      <c r="H814" s="2">
        <f t="shared" si="253"/>
        <v>46895.294599999994</v>
      </c>
      <c r="I814" s="2">
        <f t="shared" si="255"/>
        <v>40.302550951455167</v>
      </c>
      <c r="J814" s="2">
        <f t="shared" si="256"/>
        <v>13.978854373163486</v>
      </c>
      <c r="K814">
        <f t="shared" si="257"/>
        <v>3.1854844165147296E+17</v>
      </c>
      <c r="L814" s="13">
        <f t="shared" si="265"/>
        <v>5296468338.3640928</v>
      </c>
      <c r="M814" s="2">
        <f t="shared" si="258"/>
        <v>1177441.4423684864</v>
      </c>
      <c r="N814" s="2">
        <f t="shared" si="259"/>
        <v>2.0787645578537586E+20</v>
      </c>
      <c r="O814" s="2">
        <f t="shared" si="260"/>
        <v>6.5736307220507098E+17</v>
      </c>
      <c r="P814" s="2">
        <f t="shared" si="254"/>
        <v>2.2122139256443025E+21</v>
      </c>
      <c r="Q814" s="2">
        <f t="shared" si="266"/>
        <v>2.1450696770374575E+21</v>
      </c>
    </row>
    <row r="815" spans="1:17" x14ac:dyDescent="0.2">
      <c r="A815">
        <f t="shared" si="262"/>
        <v>276</v>
      </c>
      <c r="B815">
        <f t="shared" si="261"/>
        <v>276000</v>
      </c>
      <c r="C815" s="1">
        <f t="shared" si="263"/>
        <v>8934948000</v>
      </c>
      <c r="D815">
        <f t="shared" si="250"/>
        <v>1611</v>
      </c>
      <c r="E815" s="2">
        <f t="shared" si="264"/>
        <v>540000</v>
      </c>
      <c r="F815" s="2">
        <f t="shared" si="251"/>
        <v>655089.272</v>
      </c>
      <c r="G815" s="2">
        <f t="shared" si="252"/>
        <v>13394.498399999999</v>
      </c>
      <c r="H815" s="2">
        <f t="shared" si="253"/>
        <v>46880.744399999996</v>
      </c>
      <c r="I815" s="2">
        <f t="shared" si="255"/>
        <v>40.315059502340162</v>
      </c>
      <c r="J815" s="2">
        <f t="shared" si="256"/>
        <v>13.973525386256453</v>
      </c>
      <c r="K815">
        <f t="shared" si="257"/>
        <v>3.2255804593309325E+17</v>
      </c>
      <c r="L815" s="13">
        <f t="shared" si="265"/>
        <v>5333402712.7701168</v>
      </c>
      <c r="M815" s="2">
        <f t="shared" si="258"/>
        <v>1171183.5612309524</v>
      </c>
      <c r="N815" s="2">
        <f t="shared" si="259"/>
        <v>2.1049301960481856E+20</v>
      </c>
      <c r="O815" s="2">
        <f t="shared" si="260"/>
        <v>6.6563737351769946E+17</v>
      </c>
      <c r="P815" s="2">
        <f t="shared" si="254"/>
        <v>2.200456422214126E+21</v>
      </c>
      <c r="Q815" s="2">
        <f t="shared" si="266"/>
        <v>2.1600280986718972E+21</v>
      </c>
    </row>
    <row r="816" spans="1:17" x14ac:dyDescent="0.2">
      <c r="A816">
        <f t="shared" si="262"/>
        <v>275</v>
      </c>
      <c r="B816">
        <f t="shared" si="261"/>
        <v>275000</v>
      </c>
      <c r="C816" s="1">
        <f t="shared" si="263"/>
        <v>8902575000</v>
      </c>
      <c r="D816">
        <f t="shared" si="250"/>
        <v>1610.5</v>
      </c>
      <c r="E816" s="2">
        <f t="shared" si="264"/>
        <v>540000</v>
      </c>
      <c r="F816" s="2">
        <f t="shared" si="251"/>
        <v>654636.05000000005</v>
      </c>
      <c r="G816" s="2">
        <f t="shared" si="252"/>
        <v>13390.341199999999</v>
      </c>
      <c r="H816" s="2">
        <f t="shared" si="253"/>
        <v>46866.194199999998</v>
      </c>
      <c r="I816" s="2">
        <f t="shared" si="255"/>
        <v>40.327575820099348</v>
      </c>
      <c r="J816" s="2">
        <f t="shared" si="256"/>
        <v>13.968193090447274</v>
      </c>
      <c r="K816">
        <f t="shared" si="257"/>
        <v>3.2662065635663565E+17</v>
      </c>
      <c r="L816" s="13">
        <f t="shared" si="265"/>
        <v>5370617819.0082636</v>
      </c>
      <c r="M816" s="2">
        <f t="shared" si="258"/>
        <v>1164955.0848329638</v>
      </c>
      <c r="N816" s="2">
        <f t="shared" si="259"/>
        <v>2.1314417385848373E+20</v>
      </c>
      <c r="O816" s="2">
        <f t="shared" si="260"/>
        <v>6.7402105938772518E+17</v>
      </c>
      <c r="P816" s="2">
        <f t="shared" si="254"/>
        <v>2.1887541653312184E+21</v>
      </c>
      <c r="Q816" s="2">
        <f t="shared" si="266"/>
        <v>2.1751002166983467E+21</v>
      </c>
    </row>
    <row r="817" spans="1:17" x14ac:dyDescent="0.2">
      <c r="A817">
        <f t="shared" si="262"/>
        <v>274</v>
      </c>
      <c r="B817">
        <f t="shared" si="261"/>
        <v>274000</v>
      </c>
      <c r="C817" s="1">
        <f t="shared" si="263"/>
        <v>8870202000</v>
      </c>
      <c r="D817">
        <f t="shared" si="250"/>
        <v>1610</v>
      </c>
      <c r="E817" s="2">
        <f t="shared" si="264"/>
        <v>540000</v>
      </c>
      <c r="F817" s="2">
        <f t="shared" si="251"/>
        <v>654182.82799999998</v>
      </c>
      <c r="G817" s="2">
        <f t="shared" si="252"/>
        <v>13386.183999999999</v>
      </c>
      <c r="H817" s="2">
        <f t="shared" si="253"/>
        <v>46851.643999999993</v>
      </c>
      <c r="I817" s="2">
        <f t="shared" si="255"/>
        <v>40.340099911968942</v>
      </c>
      <c r="J817" s="2">
        <f t="shared" si="256"/>
        <v>13.962857482653119</v>
      </c>
      <c r="K817">
        <f t="shared" si="257"/>
        <v>3.3073700643163443E+17</v>
      </c>
      <c r="L817" s="13">
        <f t="shared" si="265"/>
        <v>5408115959.9764109</v>
      </c>
      <c r="M817" s="2">
        <f t="shared" si="258"/>
        <v>1158755.8943339665</v>
      </c>
      <c r="N817" s="2">
        <f t="shared" si="259"/>
        <v>2.1583039721567987E+20</v>
      </c>
      <c r="O817" s="2">
        <f t="shared" si="260"/>
        <v>6.8251564350040896E+17</v>
      </c>
      <c r="P817" s="2">
        <f t="shared" si="254"/>
        <v>2.177106931714218E+21</v>
      </c>
      <c r="Q817" s="2">
        <f t="shared" si="266"/>
        <v>2.1902869637904463E+21</v>
      </c>
    </row>
    <row r="818" spans="1:17" x14ac:dyDescent="0.2">
      <c r="A818">
        <f t="shared" si="262"/>
        <v>273</v>
      </c>
      <c r="B818">
        <f t="shared" si="261"/>
        <v>273000</v>
      </c>
      <c r="C818" s="1">
        <f t="shared" si="263"/>
        <v>8837829000</v>
      </c>
      <c r="D818">
        <f t="shared" si="250"/>
        <v>1609.5</v>
      </c>
      <c r="E818" s="2">
        <f t="shared" si="264"/>
        <v>540000</v>
      </c>
      <c r="F818" s="2">
        <f t="shared" si="251"/>
        <v>653729.60600000003</v>
      </c>
      <c r="G818" s="2">
        <f t="shared" si="252"/>
        <v>13382.026799999998</v>
      </c>
      <c r="H818" s="2">
        <f t="shared" si="253"/>
        <v>46837.093799999995</v>
      </c>
      <c r="I818" s="2">
        <f t="shared" si="255"/>
        <v>40.352631785194163</v>
      </c>
      <c r="J818" s="2">
        <f t="shared" si="256"/>
        <v>13.95751855978733</v>
      </c>
      <c r="K818">
        <f t="shared" si="257"/>
        <v>3.349078402626352E+17</v>
      </c>
      <c r="L818" s="13">
        <f t="shared" si="265"/>
        <v>5445899458.8057728</v>
      </c>
      <c r="M818" s="2">
        <f t="shared" si="258"/>
        <v>1152585.871288304</v>
      </c>
      <c r="N818" s="2">
        <f t="shared" si="259"/>
        <v>2.1855217525974512E+20</v>
      </c>
      <c r="O818" s="2">
        <f t="shared" si="260"/>
        <v>6.9112266140509325E+17</v>
      </c>
      <c r="P818" s="2">
        <f t="shared" si="254"/>
        <v>2.1655144988237087E+21</v>
      </c>
      <c r="Q818" s="2">
        <f t="shared" si="266"/>
        <v>2.205589280816338E+21</v>
      </c>
    </row>
    <row r="819" spans="1:17" x14ac:dyDescent="0.2">
      <c r="A819">
        <f t="shared" si="262"/>
        <v>272</v>
      </c>
      <c r="B819">
        <f t="shared" si="261"/>
        <v>272000</v>
      </c>
      <c r="C819" s="1">
        <f t="shared" si="263"/>
        <v>8805456000</v>
      </c>
      <c r="D819">
        <f t="shared" ref="D819:D882" si="267">IF(A819&gt;$B$4,$B$2+(A819-$B$4)*$B$5,$B$6+(($B$2-$B$6)/$B$4)*(A819))</f>
        <v>1609</v>
      </c>
      <c r="E819" s="2">
        <f t="shared" si="264"/>
        <v>540000</v>
      </c>
      <c r="F819" s="2">
        <f t="shared" ref="F819:F882" si="268">+$F$20+$H$15*C819*(0.000001)</f>
        <v>653276.38399999996</v>
      </c>
      <c r="G819" s="2">
        <f t="shared" ref="G819:G882" si="269">+$B$17*D819</f>
        <v>13377.869599999998</v>
      </c>
      <c r="H819" s="2">
        <f t="shared" ref="H819:H882" si="270">+$B$23*$B$17*D819</f>
        <v>46822.543599999997</v>
      </c>
      <c r="I819" s="2">
        <f t="shared" si="255"/>
        <v>40.365171447029212</v>
      </c>
      <c r="J819" s="2">
        <f t="shared" si="256"/>
        <v>13.952176318759411</v>
      </c>
      <c r="K819">
        <f t="shared" si="257"/>
        <v>3.3913391270852704E+17</v>
      </c>
      <c r="L819" s="13">
        <f t="shared" si="265"/>
        <v>5483970659.0501881</v>
      </c>
      <c r="M819" s="2">
        <f t="shared" si="258"/>
        <v>1146444.8976442246</v>
      </c>
      <c r="N819" s="2">
        <f t="shared" si="259"/>
        <v>2.2131000059202349E+20</v>
      </c>
      <c r="O819" s="2">
        <f t="shared" si="260"/>
        <v>6.9984367084400358E+17</v>
      </c>
      <c r="P819" s="2">
        <f t="shared" ref="P819:P882" si="271">(1000000)*($F$18^(-1/$B$23))*($F$19^((1/$B$23)-1))*M819</f>
        <v>2.1539766448603561E+21</v>
      </c>
      <c r="Q819" s="2">
        <f t="shared" si="266"/>
        <v>2.2210081169153262E+21</v>
      </c>
    </row>
    <row r="820" spans="1:17" x14ac:dyDescent="0.2">
      <c r="A820">
        <f t="shared" si="262"/>
        <v>271</v>
      </c>
      <c r="B820">
        <f t="shared" si="261"/>
        <v>271000</v>
      </c>
      <c r="C820" s="1">
        <f t="shared" si="263"/>
        <v>8773083000</v>
      </c>
      <c r="D820">
        <f t="shared" si="267"/>
        <v>1608.5</v>
      </c>
      <c r="E820" s="2">
        <f t="shared" si="264"/>
        <v>540000</v>
      </c>
      <c r="F820" s="2">
        <f t="shared" si="268"/>
        <v>652823.16200000001</v>
      </c>
      <c r="G820" s="2">
        <f t="shared" si="269"/>
        <v>13373.712399999999</v>
      </c>
      <c r="H820" s="2">
        <f t="shared" si="270"/>
        <v>46807.993399999992</v>
      </c>
      <c r="I820" s="2">
        <f t="shared" ref="I820:I883" si="272">+E820/G820</f>
        <v>40.377718904737328</v>
      </c>
      <c r="J820" s="2">
        <f t="shared" ref="J820:J883" si="273">+F820/H820</f>
        <v>13.946830756475029</v>
      </c>
      <c r="K820">
        <f t="shared" ref="K820:K883" si="274">+EXP(I820)</f>
        <v>3.4341598954439085E+17</v>
      </c>
      <c r="L820" s="13">
        <f t="shared" si="265"/>
        <v>5522331924.8773289</v>
      </c>
      <c r="M820" s="2">
        <f t="shared" ref="M820:M883" si="275">+EXP(J820)</f>
        <v>1140332.8557428999</v>
      </c>
      <c r="N820" s="2">
        <f t="shared" ref="N820:N883" si="276">+$B$13*(($B$15/$B$21)^($B$23-1))*K820</f>
        <v>2.2410437293748276E+20</v>
      </c>
      <c r="O820" s="2">
        <f t="shared" ref="O820:O883" si="277">+$B$13*(($B$15/$B$22)^($B$23-1))*K820</f>
        <v>7.0868025208624166E+17</v>
      </c>
      <c r="P820" s="2">
        <f t="shared" si="271"/>
        <v>2.142493148763061E+21</v>
      </c>
      <c r="Q820" s="2">
        <f t="shared" si="266"/>
        <v>2.2365444295753183E+21</v>
      </c>
    </row>
    <row r="821" spans="1:17" x14ac:dyDescent="0.2">
      <c r="A821">
        <f t="shared" si="262"/>
        <v>270</v>
      </c>
      <c r="B821">
        <f t="shared" si="261"/>
        <v>270000</v>
      </c>
      <c r="C821" s="1">
        <f t="shared" si="263"/>
        <v>8740710000</v>
      </c>
      <c r="D821">
        <f t="shared" si="267"/>
        <v>1608</v>
      </c>
      <c r="E821" s="2">
        <f t="shared" si="264"/>
        <v>540000</v>
      </c>
      <c r="F821" s="2">
        <f t="shared" si="268"/>
        <v>652369.93999999994</v>
      </c>
      <c r="G821" s="2">
        <f t="shared" si="269"/>
        <v>13369.555199999999</v>
      </c>
      <c r="H821" s="2">
        <f t="shared" si="270"/>
        <v>46793.443199999994</v>
      </c>
      <c r="I821" s="2">
        <f t="shared" si="272"/>
        <v>40.390274165590796</v>
      </c>
      <c r="J821" s="2">
        <f t="shared" si="273"/>
        <v>13.941481869835986</v>
      </c>
      <c r="K821">
        <f t="shared" si="274"/>
        <v>3.4775484762586074E+17</v>
      </c>
      <c r="L821" s="13">
        <f t="shared" si="265"/>
        <v>5560985641.2616177</v>
      </c>
      <c r="M821" s="2">
        <f t="shared" si="275"/>
        <v>1134249.6283174239</v>
      </c>
      <c r="N821" s="2">
        <f t="shared" si="276"/>
        <v>2.2693579925197255E+20</v>
      </c>
      <c r="O821" s="2">
        <f t="shared" si="277"/>
        <v>7.1763400826696563E+17</v>
      </c>
      <c r="P821" s="2">
        <f t="shared" si="271"/>
        <v>2.1310637902070811E+21</v>
      </c>
      <c r="Q821" s="2">
        <f t="shared" si="266"/>
        <v>2.2521991847109552E+21</v>
      </c>
    </row>
    <row r="822" spans="1:17" x14ac:dyDescent="0.2">
      <c r="A822">
        <f t="shared" si="262"/>
        <v>269</v>
      </c>
      <c r="B822">
        <f t="shared" si="261"/>
        <v>269000</v>
      </c>
      <c r="C822" s="1">
        <f t="shared" si="263"/>
        <v>8708337000</v>
      </c>
      <c r="D822">
        <f t="shared" si="267"/>
        <v>1607.5</v>
      </c>
      <c r="E822" s="2">
        <f t="shared" si="264"/>
        <v>540000</v>
      </c>
      <c r="F822" s="2">
        <f t="shared" si="268"/>
        <v>651916.71799999999</v>
      </c>
      <c r="G822" s="2">
        <f t="shared" si="269"/>
        <v>13365.397999999999</v>
      </c>
      <c r="H822" s="2">
        <f t="shared" si="270"/>
        <v>46778.892999999996</v>
      </c>
      <c r="I822" s="2">
        <f t="shared" si="272"/>
        <v>40.402837236870916</v>
      </c>
      <c r="J822" s="2">
        <f t="shared" si="273"/>
        <v>13.936129655740251</v>
      </c>
      <c r="K822">
        <f t="shared" si="274"/>
        <v>3.5215127505604512E+17</v>
      </c>
      <c r="L822" s="13">
        <f t="shared" si="265"/>
        <v>5599934214.1791735</v>
      </c>
      <c r="M822" s="2">
        <f t="shared" si="275"/>
        <v>1128195.0984918624</v>
      </c>
      <c r="N822" s="2">
        <f t="shared" si="276"/>
        <v>2.2980479383115265E+20</v>
      </c>
      <c r="O822" s="2">
        <f t="shared" si="277"/>
        <v>7.2670656573185088E+17</v>
      </c>
      <c r="P822" s="2">
        <f t="shared" si="271"/>
        <v>2.1196883496022447E+21</v>
      </c>
      <c r="Q822" s="2">
        <f t="shared" si="266"/>
        <v>2.2679733567425652E+21</v>
      </c>
    </row>
    <row r="823" spans="1:17" x14ac:dyDescent="0.2">
      <c r="A823">
        <f t="shared" si="262"/>
        <v>268</v>
      </c>
      <c r="B823">
        <f t="shared" si="261"/>
        <v>268000</v>
      </c>
      <c r="C823" s="1">
        <f t="shared" si="263"/>
        <v>8675964000</v>
      </c>
      <c r="D823">
        <f t="shared" si="267"/>
        <v>1607</v>
      </c>
      <c r="E823" s="2">
        <f t="shared" si="264"/>
        <v>540000</v>
      </c>
      <c r="F823" s="2">
        <f t="shared" si="268"/>
        <v>651463.49600000004</v>
      </c>
      <c r="G823" s="2">
        <f t="shared" si="269"/>
        <v>13361.240799999998</v>
      </c>
      <c r="H823" s="2">
        <f t="shared" si="270"/>
        <v>46764.342799999999</v>
      </c>
      <c r="I823" s="2">
        <f t="shared" si="272"/>
        <v>40.415408125868076</v>
      </c>
      <c r="J823" s="2">
        <f t="shared" si="273"/>
        <v>13.930774111081917</v>
      </c>
      <c r="K823">
        <f t="shared" si="274"/>
        <v>3.5660607135509382E+17</v>
      </c>
      <c r="L823" s="13">
        <f t="shared" si="265"/>
        <v>5639180070.8047533</v>
      </c>
      <c r="M823" s="2">
        <f t="shared" si="275"/>
        <v>1122169.1497802362</v>
      </c>
      <c r="N823" s="2">
        <f t="shared" si="276"/>
        <v>2.3271187842114807E+20</v>
      </c>
      <c r="O823" s="2">
        <f t="shared" si="277"/>
        <v>7.3589957438701312E+17</v>
      </c>
      <c r="P823" s="2">
        <f t="shared" si="271"/>
        <v>2.1083666080910384E+21</v>
      </c>
      <c r="Q823" s="2">
        <f t="shared" si="266"/>
        <v>2.2838679286759251E+21</v>
      </c>
    </row>
    <row r="824" spans="1:17" x14ac:dyDescent="0.2">
      <c r="A824">
        <f t="shared" si="262"/>
        <v>267</v>
      </c>
      <c r="B824">
        <f t="shared" ref="B824:B887" si="278">A824*1000</f>
        <v>267000</v>
      </c>
      <c r="C824" s="1">
        <f t="shared" si="263"/>
        <v>8643591000</v>
      </c>
      <c r="D824">
        <f t="shared" si="267"/>
        <v>1606.5</v>
      </c>
      <c r="E824" s="2">
        <f t="shared" si="264"/>
        <v>540000</v>
      </c>
      <c r="F824" s="2">
        <f t="shared" si="268"/>
        <v>651010.27399999998</v>
      </c>
      <c r="G824" s="2">
        <f t="shared" si="269"/>
        <v>13357.083599999998</v>
      </c>
      <c r="H824" s="2">
        <f t="shared" si="270"/>
        <v>46749.792599999993</v>
      </c>
      <c r="I824" s="2">
        <f t="shared" si="272"/>
        <v>40.427986839881733</v>
      </c>
      <c r="J824" s="2">
        <f t="shared" si="273"/>
        <v>13.925415232751217</v>
      </c>
      <c r="K824">
        <f t="shared" si="274"/>
        <v>3.6112004763238912E+17</v>
      </c>
      <c r="L824" s="13">
        <f t="shared" si="265"/>
        <v>5678725659.7104034</v>
      </c>
      <c r="M824" s="2">
        <f t="shared" si="275"/>
        <v>1116171.6660855638</v>
      </c>
      <c r="N824" s="2">
        <f t="shared" si="276"/>
        <v>2.3565758233091657E+20</v>
      </c>
      <c r="O824" s="2">
        <f t="shared" si="277"/>
        <v>7.452147080543447E+17</v>
      </c>
      <c r="P824" s="2">
        <f t="shared" si="271"/>
        <v>2.0970983475468113E+21</v>
      </c>
      <c r="Q824" s="2">
        <f t="shared" si="266"/>
        <v>2.2998838921827134E+21</v>
      </c>
    </row>
    <row r="825" spans="1:17" x14ac:dyDescent="0.2">
      <c r="A825">
        <f t="shared" si="262"/>
        <v>266</v>
      </c>
      <c r="B825">
        <f t="shared" si="278"/>
        <v>266000</v>
      </c>
      <c r="C825" s="1">
        <f t="shared" si="263"/>
        <v>8611218000</v>
      </c>
      <c r="D825">
        <f t="shared" si="267"/>
        <v>1606</v>
      </c>
      <c r="E825" s="2">
        <f t="shared" si="264"/>
        <v>540000</v>
      </c>
      <c r="F825" s="2">
        <f t="shared" si="268"/>
        <v>650557.05200000003</v>
      </c>
      <c r="G825" s="2">
        <f t="shared" si="269"/>
        <v>13352.926399999998</v>
      </c>
      <c r="H825" s="2">
        <f t="shared" si="270"/>
        <v>46735.242399999996</v>
      </c>
      <c r="I825" s="2">
        <f t="shared" si="272"/>
        <v>40.440573386220422</v>
      </c>
      <c r="J825" s="2">
        <f t="shared" si="273"/>
        <v>13.920053017634505</v>
      </c>
      <c r="K825">
        <f t="shared" si="274"/>
        <v>3.6569402676144749E+17</v>
      </c>
      <c r="L825" s="13">
        <f t="shared" si="265"/>
        <v>5718573451.066494</v>
      </c>
      <c r="M825" s="2">
        <f t="shared" si="275"/>
        <v>1110202.5316988665</v>
      </c>
      <c r="N825" s="2">
        <f t="shared" si="276"/>
        <v>2.3864244254638496E+20</v>
      </c>
      <c r="O825" s="2">
        <f t="shared" si="277"/>
        <v>7.546536648324457E+17</v>
      </c>
      <c r="P825" s="2">
        <f t="shared" si="271"/>
        <v>2.0858833505719031E+21</v>
      </c>
      <c r="Q825" s="2">
        <f t="shared" si="266"/>
        <v>2.31602224768193E+21</v>
      </c>
    </row>
    <row r="826" spans="1:17" x14ac:dyDescent="0.2">
      <c r="A826">
        <f t="shared" si="262"/>
        <v>265</v>
      </c>
      <c r="B826">
        <f t="shared" si="278"/>
        <v>265000</v>
      </c>
      <c r="C826" s="1">
        <f t="shared" si="263"/>
        <v>8578845000</v>
      </c>
      <c r="D826">
        <f t="shared" si="267"/>
        <v>1605.5</v>
      </c>
      <c r="E826" s="2">
        <f t="shared" si="264"/>
        <v>540000</v>
      </c>
      <c r="F826" s="2">
        <f t="shared" si="268"/>
        <v>650103.82999999996</v>
      </c>
      <c r="G826" s="2">
        <f t="shared" si="269"/>
        <v>13348.769199999999</v>
      </c>
      <c r="H826" s="2">
        <f t="shared" si="270"/>
        <v>46720.692199999998</v>
      </c>
      <c r="I826" s="2">
        <f t="shared" si="272"/>
        <v>40.453167772201802</v>
      </c>
      <c r="J826" s="2">
        <f t="shared" si="273"/>
        <v>13.914687462614262</v>
      </c>
      <c r="K826">
        <f t="shared" si="274"/>
        <v>3.7032884355757344E+17</v>
      </c>
      <c r="L826" s="13">
        <f t="shared" si="265"/>
        <v>5758725936.8442812</v>
      </c>
      <c r="M826" s="2">
        <f t="shared" si="275"/>
        <v>1104261.631298206</v>
      </c>
      <c r="N826" s="2">
        <f t="shared" si="276"/>
        <v>2.4166700384638134E+20</v>
      </c>
      <c r="O826" s="2">
        <f t="shared" si="277"/>
        <v>7.6421816746323405E+17</v>
      </c>
      <c r="P826" s="2">
        <f t="shared" si="271"/>
        <v>2.0747214004958381E+21</v>
      </c>
      <c r="Q826" s="2">
        <f t="shared" si="266"/>
        <v>2.332284004421934E+21</v>
      </c>
    </row>
    <row r="827" spans="1:17" x14ac:dyDescent="0.2">
      <c r="A827">
        <f t="shared" si="262"/>
        <v>264</v>
      </c>
      <c r="B827">
        <f t="shared" si="278"/>
        <v>264000</v>
      </c>
      <c r="C827" s="1">
        <f t="shared" si="263"/>
        <v>8546472000</v>
      </c>
      <c r="D827">
        <f t="shared" si="267"/>
        <v>1605</v>
      </c>
      <c r="E827" s="2">
        <f t="shared" si="264"/>
        <v>540000</v>
      </c>
      <c r="F827" s="2">
        <f t="shared" si="268"/>
        <v>649650.60800000001</v>
      </c>
      <c r="G827" s="2">
        <f t="shared" si="269"/>
        <v>13344.611999999999</v>
      </c>
      <c r="H827" s="2">
        <f t="shared" si="270"/>
        <v>46706.141999999993</v>
      </c>
      <c r="I827" s="2">
        <f t="shared" si="272"/>
        <v>40.465770005152642</v>
      </c>
      <c r="J827" s="2">
        <f t="shared" si="273"/>
        <v>13.909318564569091</v>
      </c>
      <c r="K827">
        <f t="shared" si="274"/>
        <v>3.7502534495828032E+17</v>
      </c>
      <c r="L827" s="13">
        <f t="shared" si="265"/>
        <v>5799185631.0208321</v>
      </c>
      <c r="M827" s="2">
        <f t="shared" si="275"/>
        <v>1098348.849947708</v>
      </c>
      <c r="N827" s="2">
        <f t="shared" si="276"/>
        <v>2.4473181892037303E+20</v>
      </c>
      <c r="O827" s="2">
        <f t="shared" si="277"/>
        <v>7.7390996370426522E+17</v>
      </c>
      <c r="P827" s="2">
        <f t="shared" si="271"/>
        <v>2.0636122813734894E+21</v>
      </c>
      <c r="Q827" s="2">
        <f t="shared" si="266"/>
        <v>2.348670180563437E+21</v>
      </c>
    </row>
    <row r="828" spans="1:17" x14ac:dyDescent="0.2">
      <c r="A828">
        <f t="shared" si="262"/>
        <v>263</v>
      </c>
      <c r="B828">
        <f t="shared" si="278"/>
        <v>263000</v>
      </c>
      <c r="C828" s="1">
        <f t="shared" si="263"/>
        <v>8514099000</v>
      </c>
      <c r="D828">
        <f t="shared" si="267"/>
        <v>1604.5</v>
      </c>
      <c r="E828" s="2">
        <f t="shared" si="264"/>
        <v>540000</v>
      </c>
      <c r="F828" s="2">
        <f t="shared" si="268"/>
        <v>649197.38599999994</v>
      </c>
      <c r="G828" s="2">
        <f t="shared" si="269"/>
        <v>13340.454799999998</v>
      </c>
      <c r="H828" s="2">
        <f t="shared" si="270"/>
        <v>46691.591799999995</v>
      </c>
      <c r="I828" s="2">
        <f t="shared" si="272"/>
        <v>40.478380092408848</v>
      </c>
      <c r="J828" s="2">
        <f t="shared" si="273"/>
        <v>13.903946320373683</v>
      </c>
      <c r="K828">
        <f t="shared" si="274"/>
        <v>3.7978439020655776E+17</v>
      </c>
      <c r="L828" s="13">
        <f t="shared" si="265"/>
        <v>5839955069.785902</v>
      </c>
      <c r="M828" s="2">
        <f t="shared" si="275"/>
        <v>1092464.0730965587</v>
      </c>
      <c r="N828" s="2">
        <f t="shared" si="276"/>
        <v>2.4783744848806229E+20</v>
      </c>
      <c r="O828" s="2">
        <f t="shared" si="277"/>
        <v>7.8373082670692723E+17</v>
      </c>
      <c r="P828" s="2">
        <f t="shared" si="271"/>
        <v>2.0525557779831938E+21</v>
      </c>
      <c r="Q828" s="2">
        <f t="shared" si="266"/>
        <v>2.3651818032632902E+21</v>
      </c>
    </row>
    <row r="829" spans="1:17" x14ac:dyDescent="0.2">
      <c r="A829">
        <f t="shared" si="262"/>
        <v>262</v>
      </c>
      <c r="B829">
        <f t="shared" si="278"/>
        <v>262000</v>
      </c>
      <c r="C829" s="1">
        <f t="shared" si="263"/>
        <v>8481726000</v>
      </c>
      <c r="D829">
        <f t="shared" si="267"/>
        <v>1604</v>
      </c>
      <c r="E829" s="2">
        <f t="shared" si="264"/>
        <v>540000</v>
      </c>
      <c r="F829" s="2">
        <f t="shared" si="268"/>
        <v>648744.16399999999</v>
      </c>
      <c r="G829" s="2">
        <f t="shared" si="269"/>
        <v>13336.297599999998</v>
      </c>
      <c r="H829" s="2">
        <f t="shared" si="270"/>
        <v>46677.041599999997</v>
      </c>
      <c r="I829" s="2">
        <f t="shared" si="272"/>
        <v>40.490998041315457</v>
      </c>
      <c r="J829" s="2">
        <f t="shared" si="273"/>
        <v>13.898570726898853</v>
      </c>
      <c r="K829">
        <f t="shared" si="274"/>
        <v>3.8460685103700499E+17</v>
      </c>
      <c r="L829" s="13">
        <f t="shared" si="265"/>
        <v>5881036811.7506552</v>
      </c>
      <c r="M829" s="2">
        <f t="shared" si="275"/>
        <v>1086607.1865780777</v>
      </c>
      <c r="N829" s="2">
        <f t="shared" si="276"/>
        <v>2.5098446142085192E+20</v>
      </c>
      <c r="O829" s="2">
        <f t="shared" si="277"/>
        <v>7.9368255540054886E+17</v>
      </c>
      <c r="P829" s="2">
        <f t="shared" si="271"/>
        <v>2.04155167582501E+21</v>
      </c>
      <c r="Q829" s="2">
        <f t="shared" si="266"/>
        <v>2.3818199087590151E+21</v>
      </c>
    </row>
    <row r="830" spans="1:17" x14ac:dyDescent="0.2">
      <c r="A830">
        <f t="shared" si="262"/>
        <v>261</v>
      </c>
      <c r="B830">
        <f t="shared" si="278"/>
        <v>261000</v>
      </c>
      <c r="C830" s="1">
        <f t="shared" si="263"/>
        <v>8449353000</v>
      </c>
      <c r="D830">
        <f t="shared" si="267"/>
        <v>1603.5</v>
      </c>
      <c r="E830" s="2">
        <f t="shared" si="264"/>
        <v>540000</v>
      </c>
      <c r="F830" s="2">
        <f t="shared" si="268"/>
        <v>648290.94200000004</v>
      </c>
      <c r="G830" s="2">
        <f t="shared" si="269"/>
        <v>13332.140399999998</v>
      </c>
      <c r="H830" s="2">
        <f t="shared" si="270"/>
        <v>46662.491399999992</v>
      </c>
      <c r="I830" s="2">
        <f t="shared" si="272"/>
        <v>40.503623859226693</v>
      </c>
      <c r="J830" s="2">
        <f t="shared" si="273"/>
        <v>13.893191781011508</v>
      </c>
      <c r="K830">
        <f t="shared" si="274"/>
        <v>3.8949361186491315E+17</v>
      </c>
      <c r="L830" s="13">
        <f t="shared" si="265"/>
        <v>5922433438.158905</v>
      </c>
      <c r="M830" s="2">
        <f t="shared" si="275"/>
        <v>1080778.0766087135</v>
      </c>
      <c r="N830" s="2">
        <f t="shared" si="276"/>
        <v>2.5417343486523562E+20</v>
      </c>
      <c r="O830" s="2">
        <f t="shared" si="277"/>
        <v>8.0376697488259366E+17</v>
      </c>
      <c r="P830" s="2">
        <f t="shared" si="271"/>
        <v>2.0305997611188313E+21</v>
      </c>
      <c r="Q830" s="2">
        <f t="shared" si="266"/>
        <v>2.3985855424543567E+21</v>
      </c>
    </row>
    <row r="831" spans="1:17" x14ac:dyDescent="0.2">
      <c r="A831">
        <f t="shared" si="262"/>
        <v>260</v>
      </c>
      <c r="B831">
        <f t="shared" si="278"/>
        <v>260000</v>
      </c>
      <c r="C831" s="1">
        <f t="shared" si="263"/>
        <v>8416980000</v>
      </c>
      <c r="D831">
        <f t="shared" si="267"/>
        <v>1603</v>
      </c>
      <c r="E831" s="2">
        <f t="shared" si="264"/>
        <v>540000</v>
      </c>
      <c r="F831" s="2">
        <f t="shared" si="268"/>
        <v>647837.72</v>
      </c>
      <c r="G831" s="2">
        <f t="shared" si="269"/>
        <v>13327.983199999999</v>
      </c>
      <c r="H831" s="2">
        <f t="shared" si="270"/>
        <v>46647.941199999994</v>
      </c>
      <c r="I831" s="2">
        <f t="shared" si="272"/>
        <v>40.516257553505923</v>
      </c>
      <c r="J831" s="2">
        <f t="shared" si="273"/>
        <v>13.887809479574633</v>
      </c>
      <c r="K831">
        <f t="shared" si="274"/>
        <v>3.9444556997828198E+17</v>
      </c>
      <c r="L831" s="13">
        <f t="shared" si="265"/>
        <v>5964147553.1000156</v>
      </c>
      <c r="M831" s="2">
        <f t="shared" si="275"/>
        <v>1074976.6297870728</v>
      </c>
      <c r="N831" s="2">
        <f t="shared" si="276"/>
        <v>2.5740495436810299E+20</v>
      </c>
      <c r="O831" s="2">
        <f t="shared" si="277"/>
        <v>8.1398593681490957E+17</v>
      </c>
      <c r="P831" s="2">
        <f t="shared" si="271"/>
        <v>2.0196998208025621E+21</v>
      </c>
      <c r="Q831" s="2">
        <f t="shared" si="266"/>
        <v>2.4154797590055061E+21</v>
      </c>
    </row>
    <row r="832" spans="1:17" x14ac:dyDescent="0.2">
      <c r="A832">
        <f t="shared" si="262"/>
        <v>259</v>
      </c>
      <c r="B832">
        <f t="shared" si="278"/>
        <v>259000</v>
      </c>
      <c r="C832" s="1">
        <f t="shared" si="263"/>
        <v>8384607000</v>
      </c>
      <c r="D832">
        <f t="shared" si="267"/>
        <v>1602.5</v>
      </c>
      <c r="E832" s="2">
        <f t="shared" si="264"/>
        <v>540000</v>
      </c>
      <c r="F832" s="2">
        <f t="shared" si="268"/>
        <v>647384.49800000002</v>
      </c>
      <c r="G832" s="2">
        <f t="shared" si="269"/>
        <v>13323.825999999999</v>
      </c>
      <c r="H832" s="2">
        <f t="shared" si="270"/>
        <v>46633.390999999996</v>
      </c>
      <c r="I832" s="2">
        <f t="shared" si="272"/>
        <v>40.528899131525741</v>
      </c>
      <c r="J832" s="2">
        <f t="shared" si="273"/>
        <v>13.882423819447316</v>
      </c>
      <c r="K832">
        <f t="shared" si="274"/>
        <v>3.9946363573290509E+17</v>
      </c>
      <c r="L832" s="13">
        <f t="shared" si="265"/>
        <v>6006181783.7241697</v>
      </c>
      <c r="M832" s="2">
        <f t="shared" si="275"/>
        <v>1069202.7330929774</v>
      </c>
      <c r="N832" s="2">
        <f t="shared" si="276"/>
        <v>2.6067961400404725E+20</v>
      </c>
      <c r="O832" s="2">
        <f t="shared" si="277"/>
        <v>8.2434131982631104E+17</v>
      </c>
      <c r="P832" s="2">
        <f t="shared" si="271"/>
        <v>2.0088516425303455E+21</v>
      </c>
      <c r="Q832" s="2">
        <f t="shared" si="266"/>
        <v>2.4325036224082886E+21</v>
      </c>
    </row>
    <row r="833" spans="1:17" x14ac:dyDescent="0.2">
      <c r="A833">
        <f t="shared" ref="A833:A896" si="279">+A832-1</f>
        <v>258</v>
      </c>
      <c r="B833">
        <f t="shared" si="278"/>
        <v>258000</v>
      </c>
      <c r="C833" s="1">
        <f t="shared" si="263"/>
        <v>8352234000</v>
      </c>
      <c r="D833">
        <f t="shared" si="267"/>
        <v>1602</v>
      </c>
      <c r="E833" s="2">
        <f t="shared" si="264"/>
        <v>540000</v>
      </c>
      <c r="F833" s="2">
        <f t="shared" si="268"/>
        <v>646931.27599999995</v>
      </c>
      <c r="G833" s="2">
        <f t="shared" si="269"/>
        <v>13319.668799999999</v>
      </c>
      <c r="H833" s="2">
        <f t="shared" si="270"/>
        <v>46618.840799999998</v>
      </c>
      <c r="I833" s="2">
        <f t="shared" si="272"/>
        <v>40.541548600667909</v>
      </c>
      <c r="J833" s="2">
        <f t="shared" si="273"/>
        <v>13.877034797484711</v>
      </c>
      <c r="K833">
        <f t="shared" si="274"/>
        <v>4.045487327504752E+17</v>
      </c>
      <c r="L833" s="13">
        <f t="shared" si="265"/>
        <v>6048538780.4597406</v>
      </c>
      <c r="M833" s="2">
        <f t="shared" si="275"/>
        <v>1063456.2738864678</v>
      </c>
      <c r="N833" s="2">
        <f t="shared" si="276"/>
        <v>2.6399801650464342E+20</v>
      </c>
      <c r="O833" s="2">
        <f t="shared" si="277"/>
        <v>8.3483502992139315E+17</v>
      </c>
      <c r="P833" s="2">
        <f t="shared" si="271"/>
        <v>1.9980550146706909E+21</v>
      </c>
      <c r="Q833" s="2">
        <f t="shared" si="266"/>
        <v>2.4496582060861948E+21</v>
      </c>
    </row>
    <row r="834" spans="1:17" x14ac:dyDescent="0.2">
      <c r="A834">
        <f t="shared" si="279"/>
        <v>257</v>
      </c>
      <c r="B834">
        <f t="shared" si="278"/>
        <v>257000</v>
      </c>
      <c r="C834" s="1">
        <f t="shared" si="263"/>
        <v>8319861000</v>
      </c>
      <c r="D834">
        <f t="shared" si="267"/>
        <v>1601.5</v>
      </c>
      <c r="E834" s="2">
        <f t="shared" si="264"/>
        <v>540000</v>
      </c>
      <c r="F834" s="2">
        <f t="shared" si="268"/>
        <v>646478.054</v>
      </c>
      <c r="G834" s="2">
        <f t="shared" si="269"/>
        <v>13315.511599999998</v>
      </c>
      <c r="H834" s="2">
        <f t="shared" si="270"/>
        <v>46604.290599999993</v>
      </c>
      <c r="I834" s="2">
        <f t="shared" si="272"/>
        <v>40.554205968323444</v>
      </c>
      <c r="J834" s="2">
        <f t="shared" si="273"/>
        <v>13.871642410538056</v>
      </c>
      <c r="K834">
        <f t="shared" si="274"/>
        <v>4.0970179811986061E+17</v>
      </c>
      <c r="L834" s="13">
        <f t="shared" si="265"/>
        <v>6091221217.2328234</v>
      </c>
      <c r="M834" s="2">
        <f t="shared" si="275"/>
        <v>1057737.1399068637</v>
      </c>
      <c r="N834" s="2">
        <f t="shared" si="276"/>
        <v>2.6736077338979625E+20</v>
      </c>
      <c r="O834" s="2">
        <f t="shared" si="277"/>
        <v>8.4546900089588941E+17</v>
      </c>
      <c r="P834" s="2">
        <f t="shared" si="271"/>
        <v>1.9873097263047099E+21</v>
      </c>
      <c r="Q834" s="2">
        <f t="shared" si="266"/>
        <v>2.4669445929792936E+21</v>
      </c>
    </row>
    <row r="835" spans="1:17" x14ac:dyDescent="0.2">
      <c r="A835">
        <f t="shared" si="279"/>
        <v>256</v>
      </c>
      <c r="B835">
        <f t="shared" si="278"/>
        <v>256000</v>
      </c>
      <c r="C835" s="1">
        <f t="shared" si="263"/>
        <v>8287488000</v>
      </c>
      <c r="D835">
        <f t="shared" si="267"/>
        <v>1601</v>
      </c>
      <c r="E835" s="2">
        <f t="shared" si="264"/>
        <v>540000</v>
      </c>
      <c r="F835" s="2">
        <f t="shared" si="268"/>
        <v>646024.83199999994</v>
      </c>
      <c r="G835" s="2">
        <f t="shared" si="269"/>
        <v>13311.354399999998</v>
      </c>
      <c r="H835" s="2">
        <f t="shared" si="270"/>
        <v>46589.740399999995</v>
      </c>
      <c r="I835" s="2">
        <f t="shared" si="272"/>
        <v>40.566871241892564</v>
      </c>
      <c r="J835" s="2">
        <f t="shared" si="273"/>
        <v>13.866246655454642</v>
      </c>
      <c r="K835">
        <f t="shared" si="274"/>
        <v>4.1492378260150259E+17</v>
      </c>
      <c r="L835" s="13">
        <f t="shared" si="265"/>
        <v>6134231791.6888762</v>
      </c>
      <c r="M835" s="2">
        <f t="shared" si="275"/>
        <v>1052045.2192717688</v>
      </c>
      <c r="N835" s="2">
        <f t="shared" si="276"/>
        <v>2.7076850510112463E+20</v>
      </c>
      <c r="O835" s="2">
        <f t="shared" si="277"/>
        <v>8.562451947584704E+17</v>
      </c>
      <c r="P835" s="2">
        <f t="shared" si="271"/>
        <v>1.9766155672242464E+21</v>
      </c>
      <c r="Q835" s="2">
        <f t="shared" si="266"/>
        <v>2.4843638756339949E+21</v>
      </c>
    </row>
    <row r="836" spans="1:17" x14ac:dyDescent="0.2">
      <c r="A836">
        <f t="shared" si="279"/>
        <v>255</v>
      </c>
      <c r="B836">
        <f t="shared" si="278"/>
        <v>255000</v>
      </c>
      <c r="C836" s="1">
        <f t="shared" si="263"/>
        <v>8255115000</v>
      </c>
      <c r="D836">
        <f t="shared" si="267"/>
        <v>1600.5</v>
      </c>
      <c r="E836" s="2">
        <f t="shared" si="264"/>
        <v>540000</v>
      </c>
      <c r="F836" s="2">
        <f t="shared" si="268"/>
        <v>645571.61</v>
      </c>
      <c r="G836" s="2">
        <f t="shared" si="269"/>
        <v>13307.197199999999</v>
      </c>
      <c r="H836" s="2">
        <f t="shared" si="270"/>
        <v>46575.190199999997</v>
      </c>
      <c r="I836" s="2">
        <f t="shared" si="272"/>
        <v>40.57954442878475</v>
      </c>
      <c r="J836" s="2">
        <f t="shared" si="273"/>
        <v>13.860847529077832</v>
      </c>
      <c r="K836">
        <f t="shared" si="274"/>
        <v>4.2021565083508141E+17</v>
      </c>
      <c r="L836" s="13">
        <f t="shared" si="265"/>
        <v>6177573225.4167881</v>
      </c>
      <c r="M836" s="2">
        <f t="shared" si="275"/>
        <v>1046380.4004761408</v>
      </c>
      <c r="N836" s="2">
        <f t="shared" si="276"/>
        <v>2.7422184113747909E+20</v>
      </c>
      <c r="O836" s="2">
        <f t="shared" si="277"/>
        <v>8.6716560215928845E+17</v>
      </c>
      <c r="P836" s="2">
        <f t="shared" si="271"/>
        <v>1.965972327930128E+21</v>
      </c>
      <c r="Q836" s="2">
        <f t="shared" si="266"/>
        <v>2.5019171562937993E+21</v>
      </c>
    </row>
    <row r="837" spans="1:17" x14ac:dyDescent="0.2">
      <c r="A837">
        <f t="shared" si="279"/>
        <v>254</v>
      </c>
      <c r="B837">
        <f t="shared" si="278"/>
        <v>254000</v>
      </c>
      <c r="C837" s="1">
        <f t="shared" si="263"/>
        <v>8222742000</v>
      </c>
      <c r="D837">
        <f t="shared" si="267"/>
        <v>1600</v>
      </c>
      <c r="E837" s="2">
        <f t="shared" si="264"/>
        <v>540000</v>
      </c>
      <c r="F837" s="2">
        <f t="shared" si="268"/>
        <v>645118.38800000004</v>
      </c>
      <c r="G837" s="2">
        <f t="shared" si="269"/>
        <v>13303.039999999999</v>
      </c>
      <c r="H837" s="2">
        <f t="shared" si="270"/>
        <v>46560.639999999992</v>
      </c>
      <c r="I837" s="2">
        <f t="shared" si="272"/>
        <v>40.592225536418745</v>
      </c>
      <c r="J837" s="2">
        <f t="shared" si="273"/>
        <v>13.855445028247038</v>
      </c>
      <c r="K837">
        <f t="shared" si="274"/>
        <v>4.255783815504297E+17</v>
      </c>
      <c r="L837" s="13">
        <f t="shared" si="265"/>
        <v>6221248264.174984</v>
      </c>
      <c r="M837" s="2">
        <f t="shared" si="275"/>
        <v>1040742.5723913059</v>
      </c>
      <c r="N837" s="2">
        <f t="shared" si="276"/>
        <v>2.7772142019257827E+20</v>
      </c>
      <c r="O837" s="2">
        <f t="shared" si="277"/>
        <v>8.7823224282522176E+17</v>
      </c>
      <c r="P837" s="2">
        <f t="shared" si="271"/>
        <v>1.9553797996303155E+21</v>
      </c>
      <c r="Q837" s="2">
        <f t="shared" si="266"/>
        <v>2.5196055469908684E+21</v>
      </c>
    </row>
    <row r="838" spans="1:17" x14ac:dyDescent="0.2">
      <c r="A838">
        <f t="shared" si="279"/>
        <v>253</v>
      </c>
      <c r="B838">
        <f t="shared" si="278"/>
        <v>253000</v>
      </c>
      <c r="C838" s="1">
        <f t="shared" si="263"/>
        <v>8190369000</v>
      </c>
      <c r="D838">
        <f t="shared" si="267"/>
        <v>1599.5</v>
      </c>
      <c r="E838" s="2">
        <f t="shared" si="264"/>
        <v>540000</v>
      </c>
      <c r="F838" s="2">
        <f t="shared" si="268"/>
        <v>644665.16599999997</v>
      </c>
      <c r="G838" s="2">
        <f t="shared" si="269"/>
        <v>13298.882799999999</v>
      </c>
      <c r="H838" s="2">
        <f t="shared" si="270"/>
        <v>46546.089799999994</v>
      </c>
      <c r="I838" s="2">
        <f t="shared" si="272"/>
        <v>40.604914572222562</v>
      </c>
      <c r="J838" s="2">
        <f t="shared" si="273"/>
        <v>13.850039149797714</v>
      </c>
      <c r="K838">
        <f t="shared" si="274"/>
        <v>4.3101296778178464E+17</v>
      </c>
      <c r="L838" s="13">
        <f t="shared" si="265"/>
        <v>6265259678.1198559</v>
      </c>
      <c r="M838" s="2">
        <f t="shared" si="275"/>
        <v>1035131.6242640017</v>
      </c>
      <c r="N838" s="2">
        <f t="shared" si="276"/>
        <v>2.8126789029482447E+20</v>
      </c>
      <c r="O838" s="2">
        <f t="shared" si="277"/>
        <v>8.8944716600200986E+17</v>
      </c>
      <c r="P838" s="2">
        <f t="shared" si="271"/>
        <v>1.9448377742381044E+21</v>
      </c>
      <c r="Q838" s="2">
        <f t="shared" si="266"/>
        <v>2.5374301696385415E+21</v>
      </c>
    </row>
    <row r="839" spans="1:17" x14ac:dyDescent="0.2">
      <c r="A839">
        <f t="shared" si="279"/>
        <v>252</v>
      </c>
      <c r="B839">
        <f t="shared" si="278"/>
        <v>252000</v>
      </c>
      <c r="C839" s="1">
        <f t="shared" si="263"/>
        <v>8157996000</v>
      </c>
      <c r="D839">
        <f t="shared" si="267"/>
        <v>1599</v>
      </c>
      <c r="E839" s="2">
        <f t="shared" si="264"/>
        <v>540000</v>
      </c>
      <c r="F839" s="2">
        <f t="shared" si="268"/>
        <v>644211.94400000002</v>
      </c>
      <c r="G839" s="2">
        <f t="shared" si="269"/>
        <v>13294.725599999998</v>
      </c>
      <c r="H839" s="2">
        <f t="shared" si="270"/>
        <v>46531.539599999996</v>
      </c>
      <c r="I839" s="2">
        <f t="shared" si="272"/>
        <v>40.617611543633522</v>
      </c>
      <c r="J839" s="2">
        <f t="shared" si="273"/>
        <v>13.84462989056137</v>
      </c>
      <c r="K839">
        <f t="shared" si="274"/>
        <v>4.3652041708543309E+17</v>
      </c>
      <c r="L839" s="13">
        <f t="shared" si="265"/>
        <v>6309610262.0365047</v>
      </c>
      <c r="M839" s="2">
        <f t="shared" si="275"/>
        <v>1029547.4457154367</v>
      </c>
      <c r="N839" s="2">
        <f t="shared" si="276"/>
        <v>2.8486190894933318E+20</v>
      </c>
      <c r="O839" s="2">
        <f t="shared" si="277"/>
        <v>9.0081245090339123E+17</v>
      </c>
      <c r="P839" s="2">
        <f t="shared" si="271"/>
        <v>1.9343460443703581E+21</v>
      </c>
      <c r="Q839" s="2">
        <f t="shared" si="266"/>
        <v>2.5553921561247844E+21</v>
      </c>
    </row>
    <row r="840" spans="1:17" x14ac:dyDescent="0.2">
      <c r="A840">
        <f t="shared" si="279"/>
        <v>251</v>
      </c>
      <c r="B840">
        <f t="shared" si="278"/>
        <v>251000</v>
      </c>
      <c r="C840" s="1">
        <f t="shared" si="263"/>
        <v>8125623000</v>
      </c>
      <c r="D840">
        <f t="shared" si="267"/>
        <v>1598.5</v>
      </c>
      <c r="E840" s="2">
        <f t="shared" si="264"/>
        <v>540000</v>
      </c>
      <c r="F840" s="2">
        <f t="shared" si="268"/>
        <v>643758.72199999995</v>
      </c>
      <c r="G840" s="2">
        <f t="shared" si="269"/>
        <v>13290.568399999998</v>
      </c>
      <c r="H840" s="2">
        <f t="shared" si="270"/>
        <v>46516.989399999999</v>
      </c>
      <c r="I840" s="2">
        <f t="shared" si="272"/>
        <v>40.630316458098214</v>
      </c>
      <c r="J840" s="2">
        <f t="shared" si="273"/>
        <v>13.839217247365539</v>
      </c>
      <c r="K840">
        <f t="shared" si="274"/>
        <v>4.4210175176076256E+17</v>
      </c>
      <c r="L840" s="13">
        <f t="shared" si="265"/>
        <v>6354302835.5717459</v>
      </c>
      <c r="M840" s="2">
        <f t="shared" si="275"/>
        <v>1023989.9267403104</v>
      </c>
      <c r="N840" s="2">
        <f t="shared" si="276"/>
        <v>2.8850414328218524E+20</v>
      </c>
      <c r="O840" s="2">
        <f t="shared" si="277"/>
        <v>9.1233020716726746E+17</v>
      </c>
      <c r="P840" s="2">
        <f t="shared" si="271"/>
        <v>1.9239044033456665E+21</v>
      </c>
      <c r="Q840" s="2">
        <f t="shared" si="266"/>
        <v>2.5734926484065569E+21</v>
      </c>
    </row>
    <row r="841" spans="1:17" x14ac:dyDescent="0.2">
      <c r="A841">
        <f t="shared" si="279"/>
        <v>250</v>
      </c>
      <c r="B841">
        <f t="shared" si="278"/>
        <v>250000</v>
      </c>
      <c r="C841" s="1">
        <f t="shared" si="263"/>
        <v>8093250000</v>
      </c>
      <c r="D841">
        <f t="shared" si="267"/>
        <v>1598</v>
      </c>
      <c r="E841" s="2">
        <f t="shared" si="264"/>
        <v>540000</v>
      </c>
      <c r="F841" s="2">
        <f t="shared" si="268"/>
        <v>643305.5</v>
      </c>
      <c r="G841" s="2">
        <f t="shared" si="269"/>
        <v>13286.411199999999</v>
      </c>
      <c r="H841" s="2">
        <f t="shared" si="270"/>
        <v>46502.439199999993</v>
      </c>
      <c r="I841" s="2">
        <f t="shared" si="272"/>
        <v>40.643029323072589</v>
      </c>
      <c r="J841" s="2">
        <f t="shared" si="273"/>
        <v>13.833801217033797</v>
      </c>
      <c r="K841">
        <f t="shared" si="274"/>
        <v>4.4775800907486976E+17</v>
      </c>
      <c r="L841" s="13">
        <f t="shared" si="265"/>
        <v>6399340243.4695463</v>
      </c>
      <c r="M841" s="2">
        <f t="shared" si="275"/>
        <v>1018458.9577058766</v>
      </c>
      <c r="N841" s="2">
        <f t="shared" si="276"/>
        <v>2.9219527018700046E+20</v>
      </c>
      <c r="O841" s="2">
        <f t="shared" si="277"/>
        <v>9.2400257531921101E+17</v>
      </c>
      <c r="P841" s="2">
        <f t="shared" si="271"/>
        <v>1.9135126451825861E+21</v>
      </c>
      <c r="Q841" s="2">
        <f t="shared" si="266"/>
        <v>2.5917327986051661E+21</v>
      </c>
    </row>
    <row r="842" spans="1:17" x14ac:dyDescent="0.2">
      <c r="A842">
        <f t="shared" si="279"/>
        <v>249</v>
      </c>
      <c r="B842">
        <f t="shared" si="278"/>
        <v>249000</v>
      </c>
      <c r="C842" s="1">
        <f t="shared" si="263"/>
        <v>8060877000</v>
      </c>
      <c r="D842">
        <f t="shared" si="267"/>
        <v>1597.5</v>
      </c>
      <c r="E842" s="2">
        <f t="shared" si="264"/>
        <v>540000</v>
      </c>
      <c r="F842" s="2">
        <f t="shared" si="268"/>
        <v>642852.27799999993</v>
      </c>
      <c r="G842" s="2">
        <f t="shared" si="269"/>
        <v>13282.253999999999</v>
      </c>
      <c r="H842" s="2">
        <f t="shared" si="270"/>
        <v>46487.888999999996</v>
      </c>
      <c r="I842" s="2">
        <f t="shared" si="272"/>
        <v>40.655750146021909</v>
      </c>
      <c r="J842" s="2">
        <f t="shared" si="273"/>
        <v>13.82838179638572</v>
      </c>
      <c r="K842">
        <f t="shared" si="274"/>
        <v>4.5349024149065491E+17</v>
      </c>
      <c r="L842" s="13">
        <f t="shared" si="265"/>
        <v>6444725355.8086729</v>
      </c>
      <c r="M842" s="2">
        <f t="shared" si="275"/>
        <v>1012954.4293509611</v>
      </c>
      <c r="N842" s="2">
        <f t="shared" si="276"/>
        <v>2.9593597647378619E+20</v>
      </c>
      <c r="O842" s="2">
        <f t="shared" si="277"/>
        <v>9.3583172724316493E+17</v>
      </c>
      <c r="P842" s="2">
        <f t="shared" si="271"/>
        <v>1.9031705645977947E+21</v>
      </c>
      <c r="Q842" s="2">
        <f t="shared" si="266"/>
        <v>2.6101137691025128E+21</v>
      </c>
    </row>
    <row r="843" spans="1:17" x14ac:dyDescent="0.2">
      <c r="A843">
        <f t="shared" si="279"/>
        <v>248</v>
      </c>
      <c r="B843">
        <f t="shared" si="278"/>
        <v>248000</v>
      </c>
      <c r="C843" s="1">
        <f t="shared" si="263"/>
        <v>8028504000</v>
      </c>
      <c r="D843">
        <f t="shared" si="267"/>
        <v>1597</v>
      </c>
      <c r="E843" s="2">
        <f t="shared" si="264"/>
        <v>540000</v>
      </c>
      <c r="F843" s="2">
        <f t="shared" si="268"/>
        <v>642399.05599999998</v>
      </c>
      <c r="G843" s="2">
        <f t="shared" si="269"/>
        <v>13278.096799999999</v>
      </c>
      <c r="H843" s="2">
        <f t="shared" si="270"/>
        <v>46473.338799999998</v>
      </c>
      <c r="I843" s="2">
        <f t="shared" si="272"/>
        <v>40.668478934420783</v>
      </c>
      <c r="J843" s="2">
        <f t="shared" si="273"/>
        <v>13.82295898223693</v>
      </c>
      <c r="K843">
        <f t="shared" si="274"/>
        <v>4.5929951689857018E+17</v>
      </c>
      <c r="L843" s="13">
        <f t="shared" si="265"/>
        <v>6490461068.2429228</v>
      </c>
      <c r="M843" s="2">
        <f t="shared" si="275"/>
        <v>1007476.2327850516</v>
      </c>
      <c r="N843" s="2">
        <f t="shared" si="276"/>
        <v>2.9972695902017022E+20</v>
      </c>
      <c r="O843" s="2">
        <f t="shared" si="277"/>
        <v>9.4781986665968333E+17</v>
      </c>
      <c r="P843" s="2">
        <f t="shared" si="271"/>
        <v>1.8928779570043809E+21</v>
      </c>
      <c r="Q843" s="2">
        <f t="shared" si="266"/>
        <v>2.6286367326383836E+21</v>
      </c>
    </row>
    <row r="844" spans="1:17" x14ac:dyDescent="0.2">
      <c r="A844">
        <f t="shared" si="279"/>
        <v>247</v>
      </c>
      <c r="B844">
        <f t="shared" si="278"/>
        <v>247000</v>
      </c>
      <c r="C844" s="1">
        <f t="shared" si="263"/>
        <v>7996131000</v>
      </c>
      <c r="D844">
        <f t="shared" si="267"/>
        <v>1596.5</v>
      </c>
      <c r="E844" s="2">
        <f t="shared" si="264"/>
        <v>540000</v>
      </c>
      <c r="F844" s="2">
        <f t="shared" si="268"/>
        <v>641945.83400000003</v>
      </c>
      <c r="G844" s="2">
        <f t="shared" si="269"/>
        <v>13273.939599999998</v>
      </c>
      <c r="H844" s="2">
        <f t="shared" si="270"/>
        <v>46458.788599999993</v>
      </c>
      <c r="I844" s="2">
        <f t="shared" si="272"/>
        <v>40.68121569575321</v>
      </c>
      <c r="J844" s="2">
        <f t="shared" si="273"/>
        <v>13.817532771399041</v>
      </c>
      <c r="K844">
        <f t="shared" si="274"/>
        <v>4.6518691885203706E+17</v>
      </c>
      <c r="L844" s="13">
        <f t="shared" si="265"/>
        <v>6536550302.2435465</v>
      </c>
      <c r="M844" s="2">
        <f t="shared" si="275"/>
        <v>1002024.2594873068</v>
      </c>
      <c r="N844" s="2">
        <f t="shared" si="276"/>
        <v>3.035689249250282E+20</v>
      </c>
      <c r="O844" s="2">
        <f t="shared" si="277"/>
        <v>9.5996922961174413E+17</v>
      </c>
      <c r="P844" s="2">
        <f t="shared" si="271"/>
        <v>1.8826346185099835E+21</v>
      </c>
      <c r="Q844" s="2">
        <f t="shared" si="266"/>
        <v>2.6473028724086365E+21</v>
      </c>
    </row>
    <row r="845" spans="1:17" x14ac:dyDescent="0.2">
      <c r="A845">
        <f t="shared" si="279"/>
        <v>246</v>
      </c>
      <c r="B845">
        <f t="shared" si="278"/>
        <v>246000</v>
      </c>
      <c r="C845" s="1">
        <f t="shared" si="263"/>
        <v>7963758000</v>
      </c>
      <c r="D845">
        <f t="shared" si="267"/>
        <v>1596</v>
      </c>
      <c r="E845" s="2">
        <f t="shared" si="264"/>
        <v>540000</v>
      </c>
      <c r="F845" s="2">
        <f t="shared" si="268"/>
        <v>641492.61199999996</v>
      </c>
      <c r="G845" s="2">
        <f t="shared" si="269"/>
        <v>13269.782399999998</v>
      </c>
      <c r="H845" s="2">
        <f t="shared" si="270"/>
        <v>46444.238399999995</v>
      </c>
      <c r="I845" s="2">
        <f t="shared" si="272"/>
        <v>40.69396043751253</v>
      </c>
      <c r="J845" s="2">
        <f t="shared" si="273"/>
        <v>13.812103160679669</v>
      </c>
      <c r="K845">
        <f t="shared" si="274"/>
        <v>4.7115354680655885E+17</v>
      </c>
      <c r="L845" s="13">
        <f t="shared" si="265"/>
        <v>6582996005.3441324</v>
      </c>
      <c r="M845" s="2">
        <f t="shared" si="275"/>
        <v>996598.40130561939</v>
      </c>
      <c r="N845" s="2">
        <f t="shared" si="276"/>
        <v>3.07462591664522E+20</v>
      </c>
      <c r="O845" s="2">
        <f t="shared" si="277"/>
        <v>9.7228208495818611E+17</v>
      </c>
      <c r="P845" s="2">
        <f t="shared" si="271"/>
        <v>1.8724403459150297E+21</v>
      </c>
      <c r="Q845" s="2">
        <f t="shared" si="266"/>
        <v>2.6661133821643734E+21</v>
      </c>
    </row>
    <row r="846" spans="1:17" x14ac:dyDescent="0.2">
      <c r="A846">
        <f t="shared" si="279"/>
        <v>245</v>
      </c>
      <c r="B846">
        <f t="shared" si="278"/>
        <v>245000</v>
      </c>
      <c r="C846" s="1">
        <f t="shared" si="263"/>
        <v>7931385000</v>
      </c>
      <c r="D846">
        <f t="shared" si="267"/>
        <v>1595.5</v>
      </c>
      <c r="E846" s="2">
        <f t="shared" si="264"/>
        <v>540000</v>
      </c>
      <c r="F846" s="2">
        <f t="shared" si="268"/>
        <v>641039.39</v>
      </c>
      <c r="G846" s="2">
        <f t="shared" si="269"/>
        <v>13265.625199999999</v>
      </c>
      <c r="H846" s="2">
        <f t="shared" si="270"/>
        <v>46429.688199999997</v>
      </c>
      <c r="I846" s="2">
        <f t="shared" si="272"/>
        <v>40.706713167201499</v>
      </c>
      <c r="J846" s="2">
        <f t="shared" si="273"/>
        <v>13.806670146882444</v>
      </c>
      <c r="K846">
        <f t="shared" si="274"/>
        <v>4.7720051636267712E+17</v>
      </c>
      <c r="L846" s="13">
        <f t="shared" si="265"/>
        <v>6629801151.3882771</v>
      </c>
      <c r="M846" s="2">
        <f t="shared" si="275"/>
        <v>991198.55045568326</v>
      </c>
      <c r="N846" s="2">
        <f t="shared" si="276"/>
        <v>3.1140868725064722E+20</v>
      </c>
      <c r="O846" s="2">
        <f t="shared" si="277"/>
        <v>9.8476073487507878E+17</v>
      </c>
      <c r="P846" s="2">
        <f t="shared" si="271"/>
        <v>1.8622949367109835E+21</v>
      </c>
      <c r="Q846" s="2">
        <f t="shared" si="266"/>
        <v>2.6850694663122521E+21</v>
      </c>
    </row>
    <row r="847" spans="1:17" x14ac:dyDescent="0.2">
      <c r="A847">
        <f t="shared" si="279"/>
        <v>244</v>
      </c>
      <c r="B847">
        <f t="shared" si="278"/>
        <v>244000</v>
      </c>
      <c r="C847" s="1">
        <f t="shared" si="263"/>
        <v>7899012000</v>
      </c>
      <c r="D847">
        <f t="shared" si="267"/>
        <v>1595</v>
      </c>
      <c r="E847" s="2">
        <f t="shared" si="264"/>
        <v>540000</v>
      </c>
      <c r="F847" s="2">
        <f t="shared" si="268"/>
        <v>640586.16799999995</v>
      </c>
      <c r="G847" s="2">
        <f t="shared" si="269"/>
        <v>13261.467999999999</v>
      </c>
      <c r="H847" s="2">
        <f t="shared" si="270"/>
        <v>46415.137999999992</v>
      </c>
      <c r="I847" s="2">
        <f t="shared" si="272"/>
        <v>40.719473892332282</v>
      </c>
      <c r="J847" s="2">
        <f t="shared" si="273"/>
        <v>13.801233726806975</v>
      </c>
      <c r="K847">
        <f t="shared" si="274"/>
        <v>4.8332895951274835E+17</v>
      </c>
      <c r="L847" s="13">
        <f t="shared" si="265"/>
        <v>6676968740.7793226</v>
      </c>
      <c r="M847" s="2">
        <f t="shared" si="275"/>
        <v>985824.59952002182</v>
      </c>
      <c r="N847" s="2">
        <f t="shared" si="276"/>
        <v>3.1540795039227268E+20</v>
      </c>
      <c r="O847" s="2">
        <f t="shared" si="277"/>
        <v>9.9740751536497587E+17</v>
      </c>
      <c r="P847" s="2">
        <f t="shared" si="271"/>
        <v>1.852198189078519E+21</v>
      </c>
      <c r="Q847" s="2">
        <f t="shared" si="266"/>
        <v>2.7041723400156254E+21</v>
      </c>
    </row>
    <row r="848" spans="1:17" x14ac:dyDescent="0.2">
      <c r="A848">
        <f t="shared" si="279"/>
        <v>243</v>
      </c>
      <c r="B848">
        <f t="shared" si="278"/>
        <v>243000</v>
      </c>
      <c r="C848" s="1">
        <f t="shared" si="263"/>
        <v>7866639000</v>
      </c>
      <c r="D848">
        <f t="shared" si="267"/>
        <v>1594.5</v>
      </c>
      <c r="E848" s="2">
        <f t="shared" si="264"/>
        <v>540000</v>
      </c>
      <c r="F848" s="2">
        <f t="shared" si="268"/>
        <v>640132.946</v>
      </c>
      <c r="G848" s="2">
        <f t="shared" si="269"/>
        <v>13257.310799999999</v>
      </c>
      <c r="H848" s="2">
        <f t="shared" si="270"/>
        <v>46400.587799999994</v>
      </c>
      <c r="I848" s="2">
        <f t="shared" si="272"/>
        <v>40.732242620426462</v>
      </c>
      <c r="J848" s="2">
        <f t="shared" si="273"/>
        <v>13.795793897248863</v>
      </c>
      <c r="K848">
        <f t="shared" si="274"/>
        <v>4.895400248916471E+17</v>
      </c>
      <c r="L848" s="13">
        <f t="shared" si="265"/>
        <v>6724501800.732729</v>
      </c>
      <c r="M848" s="2">
        <f t="shared" si="275"/>
        <v>980476.44144706021</v>
      </c>
      <c r="N848" s="2">
        <f t="shared" si="276"/>
        <v>3.1946113065874332E+20</v>
      </c>
      <c r="O848" s="2">
        <f t="shared" si="277"/>
        <v>1.0102247967742712E+18</v>
      </c>
      <c r="P848" s="2">
        <f t="shared" si="271"/>
        <v>1.842149901885779E+21</v>
      </c>
      <c r="Q848" s="2">
        <f t="shared" si="266"/>
        <v>2.7234232292967553E+21</v>
      </c>
    </row>
    <row r="849" spans="1:17" x14ac:dyDescent="0.2">
      <c r="A849">
        <f t="shared" si="279"/>
        <v>242</v>
      </c>
      <c r="B849">
        <f t="shared" si="278"/>
        <v>242000</v>
      </c>
      <c r="C849" s="1">
        <f t="shared" si="263"/>
        <v>7834266000</v>
      </c>
      <c r="D849">
        <f t="shared" si="267"/>
        <v>1594</v>
      </c>
      <c r="E849" s="2">
        <f t="shared" si="264"/>
        <v>540000</v>
      </c>
      <c r="F849" s="2">
        <f t="shared" si="268"/>
        <v>639679.72400000005</v>
      </c>
      <c r="G849" s="2">
        <f t="shared" si="269"/>
        <v>13253.153599999998</v>
      </c>
      <c r="H849" s="2">
        <f t="shared" si="270"/>
        <v>46386.037599999996</v>
      </c>
      <c r="I849" s="2">
        <f t="shared" si="272"/>
        <v>40.745019359015053</v>
      </c>
      <c r="J849" s="2">
        <f t="shared" si="273"/>
        <v>13.790350654999687</v>
      </c>
      <c r="K849">
        <f t="shared" si="274"/>
        <v>4.9583487803144973E+17</v>
      </c>
      <c r="L849" s="13">
        <f t="shared" si="265"/>
        <v>6772403385.5312128</v>
      </c>
      <c r="M849" s="2">
        <f t="shared" si="275"/>
        <v>975153.96955017233</v>
      </c>
      <c r="N849" s="2">
        <f t="shared" si="276"/>
        <v>3.2356898864607992E+20</v>
      </c>
      <c r="O849" s="2">
        <f t="shared" si="277"/>
        <v>1.0232149843187698E+18</v>
      </c>
      <c r="P849" s="2">
        <f t="shared" si="271"/>
        <v>1.8321498746865826E+21</v>
      </c>
      <c r="Q849" s="2">
        <f t="shared" si="266"/>
        <v>2.7428233711401414E+21</v>
      </c>
    </row>
    <row r="850" spans="1:17" x14ac:dyDescent="0.2">
      <c r="A850">
        <f t="shared" si="279"/>
        <v>241</v>
      </c>
      <c r="B850">
        <f t="shared" si="278"/>
        <v>241000</v>
      </c>
      <c r="C850" s="1">
        <f t="shared" si="263"/>
        <v>7801893000</v>
      </c>
      <c r="D850">
        <f t="shared" si="267"/>
        <v>1593.5</v>
      </c>
      <c r="E850" s="2">
        <f t="shared" si="264"/>
        <v>540000</v>
      </c>
      <c r="F850" s="2">
        <f t="shared" si="268"/>
        <v>639226.50199999998</v>
      </c>
      <c r="G850" s="2">
        <f t="shared" si="269"/>
        <v>13248.996399999998</v>
      </c>
      <c r="H850" s="2">
        <f t="shared" si="270"/>
        <v>46371.487399999998</v>
      </c>
      <c r="I850" s="2">
        <f t="shared" si="272"/>
        <v>40.757804115638528</v>
      </c>
      <c r="J850" s="2">
        <f t="shared" si="273"/>
        <v>13.784903996846994</v>
      </c>
      <c r="K850">
        <f t="shared" si="274"/>
        <v>5.0221470162017536E+17</v>
      </c>
      <c r="L850" s="13">
        <f t="shared" si="265"/>
        <v>6820676576.7821083</v>
      </c>
      <c r="M850" s="2">
        <f t="shared" si="275"/>
        <v>969857.07750673871</v>
      </c>
      <c r="N850" s="2">
        <f t="shared" si="276"/>
        <v>3.2773229614582668E+20</v>
      </c>
      <c r="O850" s="2">
        <f t="shared" si="277"/>
        <v>1.0363805186176303E+18</v>
      </c>
      <c r="P850" s="2">
        <f t="shared" si="271"/>
        <v>1.8221979077186565E+21</v>
      </c>
      <c r="Q850" s="2">
        <f t="shared" si="266"/>
        <v>2.762374013596754E+21</v>
      </c>
    </row>
    <row r="851" spans="1:17" x14ac:dyDescent="0.2">
      <c r="A851">
        <f t="shared" si="279"/>
        <v>240</v>
      </c>
      <c r="B851">
        <f t="shared" si="278"/>
        <v>240000</v>
      </c>
      <c r="C851" s="1">
        <f t="shared" si="263"/>
        <v>7769520000</v>
      </c>
      <c r="D851">
        <f t="shared" si="267"/>
        <v>1593</v>
      </c>
      <c r="E851" s="2">
        <f t="shared" si="264"/>
        <v>540000</v>
      </c>
      <c r="F851" s="2">
        <f t="shared" si="268"/>
        <v>638773.28</v>
      </c>
      <c r="G851" s="2">
        <f t="shared" si="269"/>
        <v>13244.839199999999</v>
      </c>
      <c r="H851" s="2">
        <f t="shared" si="270"/>
        <v>46356.937199999993</v>
      </c>
      <c r="I851" s="2">
        <f t="shared" si="272"/>
        <v>40.770596897846829</v>
      </c>
      <c r="J851" s="2">
        <f t="shared" si="273"/>
        <v>13.77945391957431</v>
      </c>
      <c r="K851">
        <f t="shared" si="274"/>
        <v>5.0868069576463635E+17</v>
      </c>
      <c r="L851" s="13">
        <f t="shared" si="265"/>
        <v>6869324483.6775999</v>
      </c>
      <c r="M851" s="2">
        <f t="shared" si="275"/>
        <v>964585.65935721493</v>
      </c>
      <c r="N851" s="2">
        <f t="shared" si="276"/>
        <v>3.3195183631658084E+20</v>
      </c>
      <c r="O851" s="2">
        <f t="shared" si="277"/>
        <v>1.0497238762357894E+18</v>
      </c>
      <c r="P851" s="2">
        <f t="shared" si="271"/>
        <v>1.8122938019018842E+21</v>
      </c>
      <c r="Q851" s="2">
        <f t="shared" si="266"/>
        <v>2.7820764158894282E+21</v>
      </c>
    </row>
    <row r="852" spans="1:17" x14ac:dyDescent="0.2">
      <c r="A852">
        <f t="shared" si="279"/>
        <v>239</v>
      </c>
      <c r="B852">
        <f t="shared" si="278"/>
        <v>239000</v>
      </c>
      <c r="C852" s="1">
        <f t="shared" si="263"/>
        <v>7737147000</v>
      </c>
      <c r="D852">
        <f t="shared" si="267"/>
        <v>1592.5</v>
      </c>
      <c r="E852" s="2">
        <f t="shared" si="264"/>
        <v>540000</v>
      </c>
      <c r="F852" s="2">
        <f t="shared" si="268"/>
        <v>638320.05799999996</v>
      </c>
      <c r="G852" s="2">
        <f t="shared" si="269"/>
        <v>13240.681999999999</v>
      </c>
      <c r="H852" s="2">
        <f t="shared" si="270"/>
        <v>46342.386999999995</v>
      </c>
      <c r="I852" s="2">
        <f t="shared" si="272"/>
        <v>40.783397713199371</v>
      </c>
      <c r="J852" s="2">
        <f t="shared" si="273"/>
        <v>13.774000419961105</v>
      </c>
      <c r="K852">
        <f t="shared" si="274"/>
        <v>5.1523407825746374E+17</v>
      </c>
      <c r="L852" s="13">
        <f t="shared" si="265"/>
        <v>6918350243.2574167</v>
      </c>
      <c r="M852" s="2">
        <f t="shared" si="275"/>
        <v>959339.60950417072</v>
      </c>
      <c r="N852" s="2">
        <f t="shared" si="276"/>
        <v>3.362284038582466E+20</v>
      </c>
      <c r="O852" s="2">
        <f t="shared" si="277"/>
        <v>1.0632475702350002E+18</v>
      </c>
      <c r="P852" s="2">
        <f t="shared" si="271"/>
        <v>1.8024373588365001E+21</v>
      </c>
      <c r="Q852" s="2">
        <f t="shared" si="266"/>
        <v>2.801931848519254E+21</v>
      </c>
    </row>
    <row r="853" spans="1:17" x14ac:dyDescent="0.2">
      <c r="A853">
        <f t="shared" si="279"/>
        <v>238</v>
      </c>
      <c r="B853">
        <f t="shared" si="278"/>
        <v>238000</v>
      </c>
      <c r="C853" s="1">
        <f t="shared" si="263"/>
        <v>7704774000</v>
      </c>
      <c r="D853">
        <f t="shared" si="267"/>
        <v>1592</v>
      </c>
      <c r="E853" s="2">
        <f t="shared" si="264"/>
        <v>540000</v>
      </c>
      <c r="F853" s="2">
        <f t="shared" si="268"/>
        <v>637866.83600000001</v>
      </c>
      <c r="G853" s="2">
        <f t="shared" si="269"/>
        <v>13236.524799999999</v>
      </c>
      <c r="H853" s="2">
        <f t="shared" si="270"/>
        <v>46327.836799999997</v>
      </c>
      <c r="I853" s="2">
        <f t="shared" si="272"/>
        <v>40.796206569265074</v>
      </c>
      <c r="J853" s="2">
        <f t="shared" si="273"/>
        <v>13.768543494782818</v>
      </c>
      <c r="K853">
        <f t="shared" si="274"/>
        <v>5.2187608484840218E+17</v>
      </c>
      <c r="L853" s="13">
        <f t="shared" si="265"/>
        <v>6967757020.6742659</v>
      </c>
      <c r="M853" s="2">
        <f t="shared" si="275"/>
        <v>954118.82271137997</v>
      </c>
      <c r="N853" s="2">
        <f t="shared" si="276"/>
        <v>3.4056280518907481E+20</v>
      </c>
      <c r="O853" s="2">
        <f t="shared" si="277"/>
        <v>1.0769541507336822E+18</v>
      </c>
      <c r="P853" s="2">
        <f t="shared" si="271"/>
        <v>1.7926283808013809E+21</v>
      </c>
      <c r="Q853" s="2">
        <f t="shared" si="266"/>
        <v>2.8219415933730779E+21</v>
      </c>
    </row>
    <row r="854" spans="1:17" x14ac:dyDescent="0.2">
      <c r="A854">
        <f t="shared" si="279"/>
        <v>237</v>
      </c>
      <c r="B854">
        <f t="shared" si="278"/>
        <v>237000</v>
      </c>
      <c r="C854" s="1">
        <f t="shared" si="263"/>
        <v>7672401000</v>
      </c>
      <c r="D854">
        <f t="shared" si="267"/>
        <v>1591.5</v>
      </c>
      <c r="E854" s="2">
        <f t="shared" si="264"/>
        <v>540000</v>
      </c>
      <c r="F854" s="2">
        <f t="shared" si="268"/>
        <v>637413.61400000006</v>
      </c>
      <c r="G854" s="2">
        <f t="shared" si="269"/>
        <v>13232.367599999998</v>
      </c>
      <c r="H854" s="2">
        <f t="shared" si="270"/>
        <v>46313.286599999992</v>
      </c>
      <c r="I854" s="2">
        <f t="shared" si="272"/>
        <v>40.809023473622368</v>
      </c>
      <c r="J854" s="2">
        <f t="shared" si="273"/>
        <v>13.763083140810831</v>
      </c>
      <c r="K854">
        <f t="shared" si="274"/>
        <v>5.2860796951990982E+17</v>
      </c>
      <c r="L854" s="13">
        <f t="shared" si="265"/>
        <v>7017548009.4618521</v>
      </c>
      <c r="M854" s="2">
        <f t="shared" si="275"/>
        <v>948923.19410286238</v>
      </c>
      <c r="N854" s="2">
        <f t="shared" si="276"/>
        <v>3.449558586255126E+20</v>
      </c>
      <c r="O854" s="2">
        <f t="shared" si="277"/>
        <v>1.0908462054756553E+18</v>
      </c>
      <c r="P854" s="2">
        <f t="shared" si="271"/>
        <v>1.7828666707522442E+21</v>
      </c>
      <c r="Q854" s="2">
        <f t="shared" si="266"/>
        <v>2.8421069438320498E+21</v>
      </c>
    </row>
    <row r="855" spans="1:17" x14ac:dyDescent="0.2">
      <c r="A855">
        <f t="shared" si="279"/>
        <v>236</v>
      </c>
      <c r="B855">
        <f t="shared" si="278"/>
        <v>236000</v>
      </c>
      <c r="C855" s="1">
        <f t="shared" si="263"/>
        <v>7640028000</v>
      </c>
      <c r="D855">
        <f t="shared" si="267"/>
        <v>1591</v>
      </c>
      <c r="E855" s="2">
        <f t="shared" si="264"/>
        <v>540000</v>
      </c>
      <c r="F855" s="2">
        <f t="shared" si="268"/>
        <v>636960.39199999999</v>
      </c>
      <c r="G855" s="2">
        <f t="shared" si="269"/>
        <v>13228.210399999998</v>
      </c>
      <c r="H855" s="2">
        <f t="shared" si="270"/>
        <v>46298.736399999994</v>
      </c>
      <c r="I855" s="2">
        <f t="shared" si="272"/>
        <v>40.821848433859209</v>
      </c>
      <c r="J855" s="2">
        <f t="shared" si="273"/>
        <v>13.757619354812459</v>
      </c>
      <c r="K855">
        <f t="shared" si="274"/>
        <v>5.3543100476716154E+17</v>
      </c>
      <c r="L855" s="13">
        <f t="shared" si="265"/>
        <v>7067726431.805727</v>
      </c>
      <c r="M855" s="2">
        <f t="shared" si="275"/>
        <v>943752.61916194786</v>
      </c>
      <c r="N855" s="2">
        <f t="shared" si="276"/>
        <v>3.4940839456492618E+20</v>
      </c>
      <c r="O855" s="2">
        <f t="shared" si="277"/>
        <v>1.1049263604079597E+18</v>
      </c>
      <c r="P855" s="2">
        <f t="shared" si="271"/>
        <v>1.7731520323198905E+21</v>
      </c>
      <c r="Q855" s="2">
        <f t="shared" si="266"/>
        <v>2.8624292048813194E+21</v>
      </c>
    </row>
    <row r="856" spans="1:17" x14ac:dyDescent="0.2">
      <c r="A856">
        <f t="shared" si="279"/>
        <v>235</v>
      </c>
      <c r="B856">
        <f t="shared" si="278"/>
        <v>235000</v>
      </c>
      <c r="C856" s="1">
        <f t="shared" si="263"/>
        <v>7607655000</v>
      </c>
      <c r="D856">
        <f t="shared" si="267"/>
        <v>1590.5</v>
      </c>
      <c r="E856" s="2">
        <f t="shared" si="264"/>
        <v>540000</v>
      </c>
      <c r="F856" s="2">
        <f t="shared" si="268"/>
        <v>636507.17000000004</v>
      </c>
      <c r="G856" s="2">
        <f t="shared" si="269"/>
        <v>13224.053199999998</v>
      </c>
      <c r="H856" s="2">
        <f t="shared" si="270"/>
        <v>46284.186199999996</v>
      </c>
      <c r="I856" s="2">
        <f t="shared" si="272"/>
        <v>40.83468145757309</v>
      </c>
      <c r="J856" s="2">
        <f t="shared" si="273"/>
        <v>13.752152133550965</v>
      </c>
      <c r="K856">
        <f t="shared" si="274"/>
        <v>5.423464818825111E+17</v>
      </c>
      <c r="L856" s="13">
        <f t="shared" si="265"/>
        <v>7118295538.8167162</v>
      </c>
      <c r="M856" s="2">
        <f t="shared" si="275"/>
        <v>938606.99373036367</v>
      </c>
      <c r="N856" s="2">
        <f t="shared" si="276"/>
        <v>3.5392125567123351E+20</v>
      </c>
      <c r="O856" s="2">
        <f t="shared" si="277"/>
        <v>1.119197280267878E+18</v>
      </c>
      <c r="P856" s="2">
        <f t="shared" si="271"/>
        <v>1.7634842698084896E+21</v>
      </c>
      <c r="Q856" s="2">
        <f t="shared" si="266"/>
        <v>2.8829096932207703E+21</v>
      </c>
    </row>
    <row r="857" spans="1:17" x14ac:dyDescent="0.2">
      <c r="A857">
        <f t="shared" si="279"/>
        <v>234</v>
      </c>
      <c r="B857">
        <f t="shared" si="278"/>
        <v>234000</v>
      </c>
      <c r="C857" s="1">
        <f t="shared" si="263"/>
        <v>7575282000</v>
      </c>
      <c r="D857">
        <f t="shared" si="267"/>
        <v>1590</v>
      </c>
      <c r="E857" s="2">
        <f t="shared" si="264"/>
        <v>540000</v>
      </c>
      <c r="F857" s="2">
        <f t="shared" si="268"/>
        <v>636053.94799999997</v>
      </c>
      <c r="G857" s="2">
        <f t="shared" si="269"/>
        <v>13219.895999999999</v>
      </c>
      <c r="H857" s="2">
        <f t="shared" si="270"/>
        <v>46269.635999999999</v>
      </c>
      <c r="I857" s="2">
        <f t="shared" si="272"/>
        <v>40.847522552371068</v>
      </c>
      <c r="J857" s="2">
        <f t="shared" si="273"/>
        <v>13.746681473785529</v>
      </c>
      <c r="K857">
        <f t="shared" si="274"/>
        <v>5.4935571124450496E+17</v>
      </c>
      <c r="L857" s="13">
        <f t="shared" si="265"/>
        <v>7169258610.8073473</v>
      </c>
      <c r="M857" s="2">
        <f t="shared" si="275"/>
        <v>933486.21400727425</v>
      </c>
      <c r="N857" s="2">
        <f t="shared" si="276"/>
        <v>3.5849529706350707E+20</v>
      </c>
      <c r="O857" s="2">
        <f t="shared" si="277"/>
        <v>1.1336616691793501E+18</v>
      </c>
      <c r="P857" s="2">
        <f t="shared" si="271"/>
        <v>1.7538631881937741E+21</v>
      </c>
      <c r="Q857" s="2">
        <f t="shared" si="266"/>
        <v>2.9035497373769757E+21</v>
      </c>
    </row>
    <row r="858" spans="1:17" x14ac:dyDescent="0.2">
      <c r="A858">
        <f t="shared" si="279"/>
        <v>233</v>
      </c>
      <c r="B858">
        <f t="shared" si="278"/>
        <v>233000</v>
      </c>
      <c r="C858" s="1">
        <f t="shared" si="263"/>
        <v>7542909000</v>
      </c>
      <c r="D858">
        <f t="shared" si="267"/>
        <v>1589.5</v>
      </c>
      <c r="E858" s="2">
        <f t="shared" si="264"/>
        <v>540000</v>
      </c>
      <c r="F858" s="2">
        <f t="shared" si="268"/>
        <v>635600.72600000002</v>
      </c>
      <c r="G858" s="2">
        <f t="shared" si="269"/>
        <v>13215.738799999999</v>
      </c>
      <c r="H858" s="2">
        <f t="shared" si="270"/>
        <v>46255.085799999993</v>
      </c>
      <c r="I858" s="2">
        <f t="shared" si="272"/>
        <v>40.860371725869769</v>
      </c>
      <c r="J858" s="2">
        <f t="shared" si="273"/>
        <v>13.741207372271269</v>
      </c>
      <c r="K858">
        <f t="shared" si="274"/>
        <v>5.5646002261149882E+17</v>
      </c>
      <c r="L858" s="13">
        <f t="shared" si="265"/>
        <v>7220618957.5707664</v>
      </c>
      <c r="M858" s="2">
        <f t="shared" si="275"/>
        <v>928390.17654838006</v>
      </c>
      <c r="N858" s="2">
        <f t="shared" si="276"/>
        <v>3.6313138650758054E+20</v>
      </c>
      <c r="O858" s="2">
        <f t="shared" si="277"/>
        <v>1.1483222712588859E+18</v>
      </c>
      <c r="P858" s="2">
        <f t="shared" si="271"/>
        <v>1.7442885931213489E+21</v>
      </c>
      <c r="Q858" s="2">
        <f t="shared" si="266"/>
        <v>2.9243506778161603E+21</v>
      </c>
    </row>
    <row r="859" spans="1:17" x14ac:dyDescent="0.2">
      <c r="A859">
        <f t="shared" si="279"/>
        <v>232</v>
      </c>
      <c r="B859">
        <f t="shared" si="278"/>
        <v>232000</v>
      </c>
      <c r="C859" s="1">
        <f t="shared" si="263"/>
        <v>7510536000</v>
      </c>
      <c r="D859">
        <f t="shared" si="267"/>
        <v>1589</v>
      </c>
      <c r="E859" s="2">
        <f t="shared" si="264"/>
        <v>540000</v>
      </c>
      <c r="F859" s="2">
        <f t="shared" si="268"/>
        <v>635147.50399999996</v>
      </c>
      <c r="G859" s="2">
        <f t="shared" si="269"/>
        <v>13211.581599999998</v>
      </c>
      <c r="H859" s="2">
        <f t="shared" si="270"/>
        <v>46240.535599999996</v>
      </c>
      <c r="I859" s="2">
        <f t="shared" si="272"/>
        <v>40.873228985695405</v>
      </c>
      <c r="J859" s="2">
        <f t="shared" si="273"/>
        <v>13.735729825759199</v>
      </c>
      <c r="K859">
        <f t="shared" si="274"/>
        <v>5.6366076541997011E+17</v>
      </c>
      <c r="L859" s="13">
        <f t="shared" si="265"/>
        <v>7272379918.6627493</v>
      </c>
      <c r="M859" s="2">
        <f t="shared" si="275"/>
        <v>923318.77826495178</v>
      </c>
      <c r="N859" s="2">
        <f t="shared" si="276"/>
        <v>3.6783040461071968E+20</v>
      </c>
      <c r="O859" s="2">
        <f t="shared" si="277"/>
        <v>1.1631818712311698E+18</v>
      </c>
      <c r="P859" s="2">
        <f t="shared" si="271"/>
        <v>1.7347602909048744E+21</v>
      </c>
      <c r="Q859" s="2">
        <f t="shared" si="266"/>
        <v>2.9453138670584133E+21</v>
      </c>
    </row>
    <row r="860" spans="1:17" x14ac:dyDescent="0.2">
      <c r="A860">
        <f t="shared" si="279"/>
        <v>231</v>
      </c>
      <c r="B860">
        <f t="shared" si="278"/>
        <v>231000</v>
      </c>
      <c r="C860" s="1">
        <f t="shared" si="263"/>
        <v>7478163000</v>
      </c>
      <c r="D860">
        <f t="shared" si="267"/>
        <v>1588.5</v>
      </c>
      <c r="E860" s="2">
        <f t="shared" si="264"/>
        <v>540000</v>
      </c>
      <c r="F860" s="2">
        <f t="shared" si="268"/>
        <v>634694.28200000001</v>
      </c>
      <c r="G860" s="2">
        <f t="shared" si="269"/>
        <v>13207.424399999998</v>
      </c>
      <c r="H860" s="2">
        <f t="shared" si="270"/>
        <v>46225.985399999998</v>
      </c>
      <c r="I860" s="2">
        <f t="shared" si="272"/>
        <v>40.88609433948379</v>
      </c>
      <c r="J860" s="2">
        <f t="shared" si="273"/>
        <v>13.730248830996256</v>
      </c>
      <c r="K860">
        <f t="shared" si="274"/>
        <v>5.7095930908759904E+17</v>
      </c>
      <c r="L860" s="13">
        <f t="shared" si="265"/>
        <v>7324544863.6862974</v>
      </c>
      <c r="M860" s="2">
        <f t="shared" si="275"/>
        <v>918271.91642293707</v>
      </c>
      <c r="N860" s="2">
        <f t="shared" si="276"/>
        <v>3.7259324501940542E+20</v>
      </c>
      <c r="O860" s="2">
        <f t="shared" si="277"/>
        <v>1.1782432950545037E+18</v>
      </c>
      <c r="P860" s="2">
        <f t="shared" si="271"/>
        <v>1.7252780885243897E+21</v>
      </c>
      <c r="Q860" s="2">
        <f t="shared" si="266"/>
        <v>2.9664406697929506E+21</v>
      </c>
    </row>
    <row r="861" spans="1:17" x14ac:dyDescent="0.2">
      <c r="A861">
        <f t="shared" si="279"/>
        <v>230</v>
      </c>
      <c r="B861">
        <f t="shared" si="278"/>
        <v>230000</v>
      </c>
      <c r="C861" s="1">
        <f t="shared" si="263"/>
        <v>7445790000</v>
      </c>
      <c r="D861">
        <f t="shared" si="267"/>
        <v>1588</v>
      </c>
      <c r="E861" s="2">
        <f t="shared" si="264"/>
        <v>540000</v>
      </c>
      <c r="F861" s="2">
        <f t="shared" si="268"/>
        <v>634241.06000000006</v>
      </c>
      <c r="G861" s="2">
        <f t="shared" si="269"/>
        <v>13203.267199999998</v>
      </c>
      <c r="H861" s="2">
        <f t="shared" si="270"/>
        <v>46211.435199999993</v>
      </c>
      <c r="I861" s="2">
        <f t="shared" si="272"/>
        <v>40.898967794880349</v>
      </c>
      <c r="J861" s="2">
        <f t="shared" si="273"/>
        <v>13.72476438472528</v>
      </c>
      <c r="K861">
        <f t="shared" si="274"/>
        <v>5.783570433211977E+17</v>
      </c>
      <c r="L861" s="13">
        <f t="shared" si="265"/>
        <v>7377117192.579545</v>
      </c>
      <c r="M861" s="2">
        <f t="shared" si="275"/>
        <v>913249.48864201643</v>
      </c>
      <c r="N861" s="2">
        <f t="shared" si="276"/>
        <v>3.7742081462028003E+20</v>
      </c>
      <c r="O861" s="2">
        <f t="shared" si="277"/>
        <v>1.1935094105562575E+18</v>
      </c>
      <c r="P861" s="2">
        <f t="shared" si="271"/>
        <v>1.7158417936245381E+21</v>
      </c>
      <c r="Q861" s="2">
        <f t="shared" si="266"/>
        <v>2.9877324629947156E+21</v>
      </c>
    </row>
    <row r="862" spans="1:17" x14ac:dyDescent="0.2">
      <c r="A862">
        <f t="shared" si="279"/>
        <v>229</v>
      </c>
      <c r="B862">
        <f t="shared" si="278"/>
        <v>229000</v>
      </c>
      <c r="C862" s="1">
        <f t="shared" si="263"/>
        <v>7413417000</v>
      </c>
      <c r="D862">
        <f t="shared" si="267"/>
        <v>1587.5</v>
      </c>
      <c r="E862" s="2">
        <f t="shared" si="264"/>
        <v>540000</v>
      </c>
      <c r="F862" s="2">
        <f t="shared" si="268"/>
        <v>633787.83799999999</v>
      </c>
      <c r="G862" s="2">
        <f t="shared" si="269"/>
        <v>13199.109999999999</v>
      </c>
      <c r="H862" s="2">
        <f t="shared" si="270"/>
        <v>46196.884999999995</v>
      </c>
      <c r="I862" s="2">
        <f t="shared" si="272"/>
        <v>40.911849359540156</v>
      </c>
      <c r="J862" s="2">
        <f t="shared" si="273"/>
        <v>13.719276483684995</v>
      </c>
      <c r="K862">
        <f t="shared" si="274"/>
        <v>5.8585537842958042E+17</v>
      </c>
      <c r="L862" s="13">
        <f t="shared" si="265"/>
        <v>7430100335.9060726</v>
      </c>
      <c r="M862" s="2">
        <f t="shared" si="275"/>
        <v>908251.39289467281</v>
      </c>
      <c r="N862" s="2">
        <f t="shared" si="276"/>
        <v>3.8231403374431856E+20</v>
      </c>
      <c r="O862" s="2">
        <f t="shared" si="277"/>
        <v>1.2089831280785129E+18</v>
      </c>
      <c r="P862" s="2">
        <f t="shared" si="271"/>
        <v>1.7064512145128198E+21</v>
      </c>
      <c r="Q862" s="2">
        <f t="shared" si="266"/>
        <v>3.0091906360419596E+21</v>
      </c>
    </row>
    <row r="863" spans="1:17" x14ac:dyDescent="0.2">
      <c r="A863">
        <f t="shared" si="279"/>
        <v>228</v>
      </c>
      <c r="B863">
        <f t="shared" si="278"/>
        <v>228000</v>
      </c>
      <c r="C863" s="1">
        <f t="shared" si="263"/>
        <v>7381044000</v>
      </c>
      <c r="D863">
        <f t="shared" si="267"/>
        <v>1587</v>
      </c>
      <c r="E863" s="2">
        <f t="shared" si="264"/>
        <v>540000</v>
      </c>
      <c r="F863" s="2">
        <f t="shared" si="268"/>
        <v>633334.61600000004</v>
      </c>
      <c r="G863" s="2">
        <f t="shared" si="269"/>
        <v>13194.952799999999</v>
      </c>
      <c r="H863" s="2">
        <f t="shared" si="270"/>
        <v>46182.334799999997</v>
      </c>
      <c r="I863" s="2">
        <f t="shared" si="272"/>
        <v>40.924739041127907</v>
      </c>
      <c r="J863" s="2">
        <f t="shared" si="273"/>
        <v>13.713785124610029</v>
      </c>
      <c r="K863">
        <f t="shared" si="274"/>
        <v>5.9345574564140698E+17</v>
      </c>
      <c r="L863" s="13">
        <f t="shared" si="265"/>
        <v>7483497755.1484699</v>
      </c>
      <c r="M863" s="2">
        <f t="shared" si="275"/>
        <v>903277.52750528476</v>
      </c>
      <c r="N863" s="2">
        <f t="shared" si="276"/>
        <v>3.8727383637424479E+20</v>
      </c>
      <c r="O863" s="2">
        <f t="shared" si="277"/>
        <v>1.224667401133973E+18</v>
      </c>
      <c r="P863" s="2">
        <f t="shared" si="271"/>
        <v>1.6971061601578865E+21</v>
      </c>
      <c r="Q863" s="2">
        <f t="shared" si="266"/>
        <v>3.0308165908351303E+21</v>
      </c>
    </row>
    <row r="864" spans="1:17" x14ac:dyDescent="0.2">
      <c r="A864">
        <f t="shared" si="279"/>
        <v>227</v>
      </c>
      <c r="B864">
        <f t="shared" si="278"/>
        <v>227000</v>
      </c>
      <c r="C864" s="1">
        <f t="shared" ref="C864:C927" si="280">$B$3*$B$1*B864</f>
        <v>7348671000</v>
      </c>
      <c r="D864">
        <f t="shared" si="267"/>
        <v>1586.5</v>
      </c>
      <c r="E864" s="2">
        <f t="shared" ref="E864:E927" si="281">+$B$19+$B$16*0</f>
        <v>540000</v>
      </c>
      <c r="F864" s="2">
        <f t="shared" si="268"/>
        <v>632881.39399999997</v>
      </c>
      <c r="G864" s="2">
        <f t="shared" si="269"/>
        <v>13190.795599999999</v>
      </c>
      <c r="H864" s="2">
        <f t="shared" si="270"/>
        <v>46167.784599999992</v>
      </c>
      <c r="I864" s="2">
        <f t="shared" si="272"/>
        <v>40.937636847317989</v>
      </c>
      <c r="J864" s="2">
        <f t="shared" si="273"/>
        <v>13.708290304230887</v>
      </c>
      <c r="K864">
        <f t="shared" si="274"/>
        <v>6.0115959742817715E+17</v>
      </c>
      <c r="L864" s="13">
        <f t="shared" ref="L864:L927" si="282">EXP((300*1000)/($B$17*D864))</f>
        <v>7537312943.0048618</v>
      </c>
      <c r="M864" s="2">
        <f t="shared" si="275"/>
        <v>898327.79114919272</v>
      </c>
      <c r="N864" s="2">
        <f t="shared" si="276"/>
        <v>3.9230117035530938E+20</v>
      </c>
      <c r="O864" s="2">
        <f t="shared" si="277"/>
        <v>1.2405652270724989E+18</v>
      </c>
      <c r="P864" s="2">
        <f t="shared" si="271"/>
        <v>1.687806440187789E+21</v>
      </c>
      <c r="Q864" s="2">
        <f t="shared" ref="Q864:Q927" si="283">$B$12*L864</f>
        <v>3.052611741916969E+21</v>
      </c>
    </row>
    <row r="865" spans="1:17" x14ac:dyDescent="0.2">
      <c r="A865">
        <f t="shared" si="279"/>
        <v>226</v>
      </c>
      <c r="B865">
        <f t="shared" si="278"/>
        <v>226000</v>
      </c>
      <c r="C865" s="1">
        <f t="shared" si="280"/>
        <v>7316298000</v>
      </c>
      <c r="D865">
        <f t="shared" si="267"/>
        <v>1586</v>
      </c>
      <c r="E865" s="2">
        <f t="shared" si="281"/>
        <v>540000</v>
      </c>
      <c r="F865" s="2">
        <f t="shared" si="268"/>
        <v>632428.17200000002</v>
      </c>
      <c r="G865" s="2">
        <f t="shared" si="269"/>
        <v>13186.638399999998</v>
      </c>
      <c r="H865" s="2">
        <f t="shared" si="270"/>
        <v>46153.234399999994</v>
      </c>
      <c r="I865" s="2">
        <f t="shared" si="272"/>
        <v>40.950542785794454</v>
      </c>
      <c r="J865" s="2">
        <f t="shared" si="273"/>
        <v>13.702792019273954</v>
      </c>
      <c r="K865">
        <f t="shared" si="274"/>
        <v>6.089684078323456E+17</v>
      </c>
      <c r="L865" s="13">
        <f t="shared" si="282"/>
        <v>7591549423.6883793</v>
      </c>
      <c r="M865" s="2">
        <f t="shared" si="275"/>
        <v>893402.0828517793</v>
      </c>
      <c r="N865" s="2">
        <f t="shared" si="276"/>
        <v>3.9739699760940889E+20</v>
      </c>
      <c r="O865" s="2">
        <f t="shared" si="277"/>
        <v>1.2566796477582149E+18</v>
      </c>
      <c r="P865" s="2">
        <f t="shared" si="271"/>
        <v>1.6785518648882477E+21</v>
      </c>
      <c r="Q865" s="2">
        <f t="shared" si="283"/>
        <v>3.0745775165937937E+21</v>
      </c>
    </row>
    <row r="866" spans="1:17" x14ac:dyDescent="0.2">
      <c r="A866">
        <f t="shared" si="279"/>
        <v>225</v>
      </c>
      <c r="B866">
        <f t="shared" si="278"/>
        <v>225000</v>
      </c>
      <c r="C866" s="1">
        <f t="shared" si="280"/>
        <v>7283925000</v>
      </c>
      <c r="D866">
        <f t="shared" si="267"/>
        <v>1585.5</v>
      </c>
      <c r="E866" s="2">
        <f t="shared" si="281"/>
        <v>540000</v>
      </c>
      <c r="F866" s="2">
        <f t="shared" si="268"/>
        <v>631974.94999999995</v>
      </c>
      <c r="G866" s="2">
        <f t="shared" si="269"/>
        <v>13182.481199999998</v>
      </c>
      <c r="H866" s="2">
        <f t="shared" si="270"/>
        <v>46138.684199999996</v>
      </c>
      <c r="I866" s="2">
        <f t="shared" si="272"/>
        <v>40.963456864251022</v>
      </c>
      <c r="J866" s="2">
        <f t="shared" si="273"/>
        <v>13.697290266461479</v>
      </c>
      <c r="K866">
        <f t="shared" si="274"/>
        <v>6.1688367280072026E+17</v>
      </c>
      <c r="L866" s="13">
        <f t="shared" si="282"/>
        <v>7646210753.2296524</v>
      </c>
      <c r="M866" s="2">
        <f t="shared" si="275"/>
        <v>888500.30198755057</v>
      </c>
      <c r="N866" s="2">
        <f t="shared" si="276"/>
        <v>4.0256229435265312E+20</v>
      </c>
      <c r="O866" s="2">
        <f t="shared" si="277"/>
        <v>1.2730137502575165E+18</v>
      </c>
      <c r="P866" s="2">
        <f t="shared" si="271"/>
        <v>1.6693422452009274E+21</v>
      </c>
      <c r="Q866" s="2">
        <f t="shared" si="283"/>
        <v>3.096715355058009E+21</v>
      </c>
    </row>
    <row r="867" spans="1:17" x14ac:dyDescent="0.2">
      <c r="A867">
        <f t="shared" si="279"/>
        <v>224</v>
      </c>
      <c r="B867">
        <f t="shared" si="278"/>
        <v>224000</v>
      </c>
      <c r="C867" s="1">
        <f t="shared" si="280"/>
        <v>7251552000</v>
      </c>
      <c r="D867">
        <f t="shared" si="267"/>
        <v>1585</v>
      </c>
      <c r="E867" s="2">
        <f t="shared" si="281"/>
        <v>540000</v>
      </c>
      <c r="F867" s="2">
        <f t="shared" si="268"/>
        <v>631521.728</v>
      </c>
      <c r="G867" s="2">
        <f t="shared" si="269"/>
        <v>13178.323999999999</v>
      </c>
      <c r="H867" s="2">
        <f t="shared" si="270"/>
        <v>46124.133999999998</v>
      </c>
      <c r="I867" s="2">
        <f t="shared" si="272"/>
        <v>40.976379090391163</v>
      </c>
      <c r="J867" s="2">
        <f t="shared" si="273"/>
        <v>13.691785042511585</v>
      </c>
      <c r="K867">
        <f t="shared" si="274"/>
        <v>6.2490691052325645E+17</v>
      </c>
      <c r="L867" s="13">
        <f t="shared" si="282"/>
        <v>7701300519.7824068</v>
      </c>
      <c r="M867" s="2">
        <f t="shared" si="275"/>
        <v>883622.34827922285</v>
      </c>
      <c r="N867" s="2">
        <f t="shared" si="276"/>
        <v>4.0779805131645315E+20</v>
      </c>
      <c r="O867" s="2">
        <f t="shared" si="277"/>
        <v>1.2895706675382124E+18</v>
      </c>
      <c r="P867" s="2">
        <f t="shared" si="271"/>
        <v>1.6601773927217213E+21</v>
      </c>
      <c r="Q867" s="2">
        <f t="shared" si="283"/>
        <v>3.119026710511875E+21</v>
      </c>
    </row>
    <row r="868" spans="1:17" x14ac:dyDescent="0.2">
      <c r="A868">
        <f t="shared" si="279"/>
        <v>223</v>
      </c>
      <c r="B868">
        <f t="shared" si="278"/>
        <v>223000</v>
      </c>
      <c r="C868" s="1">
        <f t="shared" si="280"/>
        <v>7219179000</v>
      </c>
      <c r="D868">
        <f t="shared" si="267"/>
        <v>1584.5</v>
      </c>
      <c r="E868" s="2">
        <f t="shared" si="281"/>
        <v>540000</v>
      </c>
      <c r="F868" s="2">
        <f t="shared" si="268"/>
        <v>631068.50600000005</v>
      </c>
      <c r="G868" s="2">
        <f t="shared" si="269"/>
        <v>13174.166799999999</v>
      </c>
      <c r="H868" s="2">
        <f t="shared" si="270"/>
        <v>46109.583799999993</v>
      </c>
      <c r="I868" s="2">
        <f t="shared" si="272"/>
        <v>40.989309471928053</v>
      </c>
      <c r="J868" s="2">
        <f t="shared" si="273"/>
        <v>13.686276344138248</v>
      </c>
      <c r="K868">
        <f t="shared" si="274"/>
        <v>6.3303966177721882E+17</v>
      </c>
      <c r="L868" s="13">
        <f t="shared" si="282"/>
        <v>7756822343.9322386</v>
      </c>
      <c r="M868" s="2">
        <f t="shared" si="275"/>
        <v>878768.12179680238</v>
      </c>
      <c r="N868" s="2">
        <f t="shared" si="276"/>
        <v>4.1310527397211282E+20</v>
      </c>
      <c r="O868" s="2">
        <f t="shared" si="277"/>
        <v>1.3063535791797443E+18</v>
      </c>
      <c r="P868" s="2">
        <f t="shared" si="271"/>
        <v>1.6510571196990216E+21</v>
      </c>
      <c r="Q868" s="2">
        <f t="shared" si="283"/>
        <v>3.1415130492925567E+21</v>
      </c>
    </row>
    <row r="869" spans="1:17" x14ac:dyDescent="0.2">
      <c r="A869">
        <f t="shared" si="279"/>
        <v>222</v>
      </c>
      <c r="B869">
        <f t="shared" si="278"/>
        <v>222000</v>
      </c>
      <c r="C869" s="1">
        <f t="shared" si="280"/>
        <v>7186806000</v>
      </c>
      <c r="D869">
        <f t="shared" si="267"/>
        <v>1584</v>
      </c>
      <c r="E869" s="2">
        <f t="shared" si="281"/>
        <v>540000</v>
      </c>
      <c r="F869" s="2">
        <f t="shared" si="268"/>
        <v>630615.28399999999</v>
      </c>
      <c r="G869" s="2">
        <f t="shared" si="269"/>
        <v>13170.009599999999</v>
      </c>
      <c r="H869" s="2">
        <f t="shared" si="270"/>
        <v>46095.033599999995</v>
      </c>
      <c r="I869" s="2">
        <f t="shared" si="272"/>
        <v>41.002248016584588</v>
      </c>
      <c r="J869" s="2">
        <f t="shared" si="273"/>
        <v>13.680764168051285</v>
      </c>
      <c r="K869">
        <f t="shared" si="274"/>
        <v>6.4128349027690739E+17</v>
      </c>
      <c r="L869" s="13">
        <f t="shared" si="282"/>
        <v>7812779879.0084314</v>
      </c>
      <c r="M869" s="2">
        <f t="shared" si="275"/>
        <v>873937.52295665909</v>
      </c>
      <c r="N869" s="2">
        <f t="shared" si="276"/>
        <v>4.1848498275905044E+20</v>
      </c>
      <c r="O869" s="2">
        <f t="shared" si="277"/>
        <v>1.3233657120948887E+18</v>
      </c>
      <c r="P869" s="2">
        <f t="shared" si="271"/>
        <v>1.6419812390319796E+21</v>
      </c>
      <c r="Q869" s="2">
        <f t="shared" si="283"/>
        <v>3.1641758509984147E+21</v>
      </c>
    </row>
    <row r="870" spans="1:17" x14ac:dyDescent="0.2">
      <c r="A870">
        <f t="shared" si="279"/>
        <v>221</v>
      </c>
      <c r="B870">
        <f t="shared" si="278"/>
        <v>221000</v>
      </c>
      <c r="C870" s="1">
        <f t="shared" si="280"/>
        <v>7154433000</v>
      </c>
      <c r="D870">
        <f t="shared" si="267"/>
        <v>1583.5</v>
      </c>
      <c r="E870" s="2">
        <f t="shared" si="281"/>
        <v>540000</v>
      </c>
      <c r="F870" s="2">
        <f t="shared" si="268"/>
        <v>630162.06200000003</v>
      </c>
      <c r="G870" s="2">
        <f t="shared" si="269"/>
        <v>13165.852399999998</v>
      </c>
      <c r="H870" s="2">
        <f t="shared" si="270"/>
        <v>46080.483399999997</v>
      </c>
      <c r="I870" s="2">
        <f t="shared" si="272"/>
        <v>41.015194732093462</v>
      </c>
      <c r="J870" s="2">
        <f t="shared" si="273"/>
        <v>13.675248510956378</v>
      </c>
      <c r="K870">
        <f t="shared" si="274"/>
        <v>6.4963998302904858E+17</v>
      </c>
      <c r="L870" s="13">
        <f t="shared" si="282"/>
        <v>7869176811.3989983</v>
      </c>
      <c r="M870" s="2">
        <f t="shared" si="275"/>
        <v>869130.45252064359</v>
      </c>
      <c r="N870" s="2">
        <f t="shared" si="276"/>
        <v>4.2393821331671836E+20</v>
      </c>
      <c r="O870" s="2">
        <f t="shared" si="277"/>
        <v>1.3406103412631493E+18</v>
      </c>
      <c r="P870" s="2">
        <f t="shared" si="271"/>
        <v>1.6329495642688465E+21</v>
      </c>
      <c r="Q870" s="2">
        <f t="shared" si="283"/>
        <v>3.1870166086165945E+21</v>
      </c>
    </row>
    <row r="871" spans="1:17" x14ac:dyDescent="0.2">
      <c r="A871">
        <f t="shared" si="279"/>
        <v>220</v>
      </c>
      <c r="B871">
        <f t="shared" si="278"/>
        <v>220000</v>
      </c>
      <c r="C871" s="1">
        <f t="shared" si="280"/>
        <v>7122060000</v>
      </c>
      <c r="D871">
        <f t="shared" si="267"/>
        <v>1583</v>
      </c>
      <c r="E871" s="2">
        <f t="shared" si="281"/>
        <v>540000</v>
      </c>
      <c r="F871" s="2">
        <f t="shared" si="268"/>
        <v>629708.84</v>
      </c>
      <c r="G871" s="2">
        <f t="shared" si="269"/>
        <v>13161.695199999998</v>
      </c>
      <c r="H871" s="2">
        <f t="shared" si="270"/>
        <v>46065.933199999992</v>
      </c>
      <c r="I871" s="2">
        <f t="shared" si="272"/>
        <v>41.028149626197091</v>
      </c>
      <c r="J871" s="2">
        <f t="shared" si="273"/>
        <v>13.669729369555029</v>
      </c>
      <c r="K871">
        <f t="shared" si="274"/>
        <v>6.581107506938039E+17</v>
      </c>
      <c r="L871" s="13">
        <f t="shared" si="282"/>
        <v>7926016860.8687944</v>
      </c>
      <c r="M871" s="2">
        <f t="shared" si="275"/>
        <v>864346.81159514084</v>
      </c>
      <c r="N871" s="2">
        <f t="shared" si="276"/>
        <v>4.2946601672018716E+20</v>
      </c>
      <c r="O871" s="2">
        <f t="shared" si="277"/>
        <v>1.3580907904757414E+18</v>
      </c>
      <c r="P871" s="2">
        <f t="shared" si="271"/>
        <v>1.6239619096051953E+21</v>
      </c>
      <c r="Q871" s="2">
        <f t="shared" si="283"/>
        <v>3.2100368286518618E+21</v>
      </c>
    </row>
    <row r="872" spans="1:17" x14ac:dyDescent="0.2">
      <c r="A872">
        <f t="shared" si="279"/>
        <v>219</v>
      </c>
      <c r="B872">
        <f t="shared" si="278"/>
        <v>219000</v>
      </c>
      <c r="C872" s="1">
        <f t="shared" si="280"/>
        <v>7089687000</v>
      </c>
      <c r="D872">
        <f t="shared" si="267"/>
        <v>1582.5</v>
      </c>
      <c r="E872" s="2">
        <f t="shared" si="281"/>
        <v>540000</v>
      </c>
      <c r="F872" s="2">
        <f t="shared" si="268"/>
        <v>629255.61800000002</v>
      </c>
      <c r="G872" s="2">
        <f t="shared" si="269"/>
        <v>13157.537999999999</v>
      </c>
      <c r="H872" s="2">
        <f t="shared" si="270"/>
        <v>46051.382999999994</v>
      </c>
      <c r="I872" s="2">
        <f t="shared" si="272"/>
        <v>41.041112706647709</v>
      </c>
      <c r="J872" s="2">
        <f t="shared" si="273"/>
        <v>13.66420674054458</v>
      </c>
      <c r="K872">
        <f t="shared" si="274"/>
        <v>6.6669742795170483E+17</v>
      </c>
      <c r="L872" s="13">
        <f t="shared" si="282"/>
        <v>7983303780.881175</v>
      </c>
      <c r="M872" s="2">
        <f t="shared" si="275"/>
        <v>859586.50163018215</v>
      </c>
      <c r="N872" s="2">
        <f t="shared" si="276"/>
        <v>4.3506945971959851E+20</v>
      </c>
      <c r="O872" s="2">
        <f t="shared" si="277"/>
        <v>1.3758104330928067E+18</v>
      </c>
      <c r="P872" s="2">
        <f t="shared" si="271"/>
        <v>1.615018089882253E+21</v>
      </c>
      <c r="Q872" s="2">
        <f t="shared" si="283"/>
        <v>3.2332380312568757E+21</v>
      </c>
    </row>
    <row r="873" spans="1:17" x14ac:dyDescent="0.2">
      <c r="A873">
        <f t="shared" si="279"/>
        <v>218</v>
      </c>
      <c r="B873">
        <f t="shared" si="278"/>
        <v>218000</v>
      </c>
      <c r="C873" s="1">
        <f t="shared" si="280"/>
        <v>7057314000</v>
      </c>
      <c r="D873">
        <f t="shared" si="267"/>
        <v>1582</v>
      </c>
      <c r="E873" s="2">
        <f t="shared" si="281"/>
        <v>540000</v>
      </c>
      <c r="F873" s="2">
        <f t="shared" si="268"/>
        <v>628802.39599999995</v>
      </c>
      <c r="G873" s="2">
        <f t="shared" si="269"/>
        <v>13153.380799999999</v>
      </c>
      <c r="H873" s="2">
        <f t="shared" si="270"/>
        <v>46036.832799999996</v>
      </c>
      <c r="I873" s="2">
        <f t="shared" si="272"/>
        <v>41.054083981207327</v>
      </c>
      <c r="J873" s="2">
        <f t="shared" si="273"/>
        <v>13.658680620618194</v>
      </c>
      <c r="K873">
        <f t="shared" si="274"/>
        <v>6.7540167387640525E+17</v>
      </c>
      <c r="L873" s="13">
        <f t="shared" si="282"/>
        <v>8041041358.9227123</v>
      </c>
      <c r="M873" s="2">
        <f t="shared" si="275"/>
        <v>854849.42441852298</v>
      </c>
      <c r="N873" s="2">
        <f t="shared" si="276"/>
        <v>4.4074962498341326E+20</v>
      </c>
      <c r="O873" s="2">
        <f t="shared" si="277"/>
        <v>1.3937726928126326E+18</v>
      </c>
      <c r="P873" s="2">
        <f t="shared" si="271"/>
        <v>1.6061179205851671E+21</v>
      </c>
      <c r="Q873" s="2">
        <f t="shared" si="283"/>
        <v>3.2566217503636985E+21</v>
      </c>
    </row>
    <row r="874" spans="1:17" x14ac:dyDescent="0.2">
      <c r="A874">
        <f t="shared" si="279"/>
        <v>217</v>
      </c>
      <c r="B874">
        <f t="shared" si="278"/>
        <v>217000</v>
      </c>
      <c r="C874" s="1">
        <f t="shared" si="280"/>
        <v>7024941000</v>
      </c>
      <c r="D874">
        <f t="shared" si="267"/>
        <v>1581.5</v>
      </c>
      <c r="E874" s="2">
        <f t="shared" si="281"/>
        <v>540000</v>
      </c>
      <c r="F874" s="2">
        <f t="shared" si="268"/>
        <v>628349.174</v>
      </c>
      <c r="G874" s="2">
        <f t="shared" si="269"/>
        <v>13149.223599999999</v>
      </c>
      <c r="H874" s="2">
        <f t="shared" si="270"/>
        <v>46022.282599999999</v>
      </c>
      <c r="I874" s="2">
        <f t="shared" si="272"/>
        <v>41.067063457647798</v>
      </c>
      <c r="J874" s="2">
        <f t="shared" si="273"/>
        <v>13.653151006464856</v>
      </c>
      <c r="K874">
        <f t="shared" si="274"/>
        <v>6.8422517231351117E+17</v>
      </c>
      <c r="L874" s="13">
        <f t="shared" si="282"/>
        <v>8099233416.8311415</v>
      </c>
      <c r="M874" s="2">
        <f t="shared" si="275"/>
        <v>850135.48209474946</v>
      </c>
      <c r="N874" s="2">
        <f t="shared" si="276"/>
        <v>4.4650761134562627E+20</v>
      </c>
      <c r="O874" s="2">
        <f t="shared" si="277"/>
        <v>1.4119810444534126E+18</v>
      </c>
      <c r="P874" s="2">
        <f t="shared" si="271"/>
        <v>1.5972612178413271E+21</v>
      </c>
      <c r="Q874" s="2">
        <f t="shared" si="283"/>
        <v>3.2801895338166122E+21</v>
      </c>
    </row>
    <row r="875" spans="1:17" x14ac:dyDescent="0.2">
      <c r="A875">
        <f t="shared" si="279"/>
        <v>216</v>
      </c>
      <c r="B875">
        <f t="shared" si="278"/>
        <v>216000</v>
      </c>
      <c r="C875" s="1">
        <f t="shared" si="280"/>
        <v>6992568000</v>
      </c>
      <c r="D875">
        <f t="shared" si="267"/>
        <v>1581</v>
      </c>
      <c r="E875" s="2">
        <f t="shared" si="281"/>
        <v>540000</v>
      </c>
      <c r="F875" s="2">
        <f t="shared" si="268"/>
        <v>627895.95200000005</v>
      </c>
      <c r="G875" s="2">
        <f t="shared" si="269"/>
        <v>13145.066399999998</v>
      </c>
      <c r="H875" s="2">
        <f t="shared" si="270"/>
        <v>46007.732399999994</v>
      </c>
      <c r="I875" s="2">
        <f t="shared" si="272"/>
        <v>41.080051143750794</v>
      </c>
      <c r="J875" s="2">
        <f t="shared" si="273"/>
        <v>13.647617894769361</v>
      </c>
      <c r="K875">
        <f t="shared" si="274"/>
        <v>6.9316963226546419E+17</v>
      </c>
      <c r="L875" s="13">
        <f t="shared" si="282"/>
        <v>8157883811.1269341</v>
      </c>
      <c r="M875" s="2">
        <f t="shared" si="275"/>
        <v>845444.57713435707</v>
      </c>
      <c r="N875" s="2">
        <f t="shared" si="276"/>
        <v>4.5234453405693103E+20</v>
      </c>
      <c r="O875" s="2">
        <f t="shared" si="277"/>
        <v>1.4304390147475011E+18</v>
      </c>
      <c r="P875" s="2">
        <f t="shared" si="271"/>
        <v>1.5884477984186342E+21</v>
      </c>
      <c r="Q875" s="2">
        <f t="shared" si="283"/>
        <v>3.3039429435064084E+21</v>
      </c>
    </row>
    <row r="876" spans="1:17" x14ac:dyDescent="0.2">
      <c r="A876">
        <f t="shared" si="279"/>
        <v>215</v>
      </c>
      <c r="B876">
        <f t="shared" si="278"/>
        <v>215000</v>
      </c>
      <c r="C876" s="1">
        <f t="shared" si="280"/>
        <v>6960195000</v>
      </c>
      <c r="D876">
        <f t="shared" si="267"/>
        <v>1580.5</v>
      </c>
      <c r="E876" s="2">
        <f t="shared" si="281"/>
        <v>540000</v>
      </c>
      <c r="F876" s="2">
        <f t="shared" si="268"/>
        <v>627442.73</v>
      </c>
      <c r="G876" s="2">
        <f t="shared" si="269"/>
        <v>13140.909199999998</v>
      </c>
      <c r="H876" s="2">
        <f t="shared" si="270"/>
        <v>45993.182199999996</v>
      </c>
      <c r="I876" s="2">
        <f t="shared" si="272"/>
        <v>41.093047047307813</v>
      </c>
      <c r="J876" s="2">
        <f t="shared" si="273"/>
        <v>13.642081282212303</v>
      </c>
      <c r="K876">
        <f t="shared" si="274"/>
        <v>7.0223678828265139E+17</v>
      </c>
      <c r="L876" s="13">
        <f t="shared" si="282"/>
        <v>8216996433.3479433</v>
      </c>
      <c r="M876" s="2">
        <f t="shared" si="275"/>
        <v>840776.61235285096</v>
      </c>
      <c r="N876" s="2">
        <f t="shared" si="276"/>
        <v>4.5826152503994817E+20</v>
      </c>
      <c r="O876" s="2">
        <f t="shared" si="277"/>
        <v>1.4491501831485138E+18</v>
      </c>
      <c r="P876" s="2">
        <f t="shared" si="271"/>
        <v>1.5796774797238102E+21</v>
      </c>
      <c r="Q876" s="2">
        <f t="shared" si="283"/>
        <v>3.3278835555059169E+21</v>
      </c>
    </row>
    <row r="877" spans="1:17" x14ac:dyDescent="0.2">
      <c r="A877">
        <f t="shared" si="279"/>
        <v>214</v>
      </c>
      <c r="B877">
        <f t="shared" si="278"/>
        <v>214000</v>
      </c>
      <c r="C877" s="1">
        <f t="shared" si="280"/>
        <v>6927822000</v>
      </c>
      <c r="D877">
        <f t="shared" si="267"/>
        <v>1580</v>
      </c>
      <c r="E877" s="2">
        <f t="shared" si="281"/>
        <v>540000</v>
      </c>
      <c r="F877" s="2">
        <f t="shared" si="268"/>
        <v>626989.50800000003</v>
      </c>
      <c r="G877" s="2">
        <f t="shared" si="269"/>
        <v>13136.751999999999</v>
      </c>
      <c r="H877" s="2">
        <f t="shared" si="270"/>
        <v>45978.631999999998</v>
      </c>
      <c r="I877" s="2">
        <f t="shared" si="272"/>
        <v>41.106051176120253</v>
      </c>
      <c r="J877" s="2">
        <f t="shared" si="273"/>
        <v>13.636541165470083</v>
      </c>
      <c r="K877">
        <f t="shared" si="274"/>
        <v>7.1142840086087629E+17</v>
      </c>
      <c r="L877" s="13">
        <f t="shared" si="282"/>
        <v>8276575210.3877277</v>
      </c>
      <c r="M877" s="2">
        <f t="shared" si="275"/>
        <v>836131.4909048524</v>
      </c>
      <c r="N877" s="2">
        <f t="shared" si="276"/>
        <v>4.6425973314860437E+20</v>
      </c>
      <c r="O877" s="2">
        <f t="shared" si="277"/>
        <v>1.4681181826515581E+18</v>
      </c>
      <c r="P877" s="2">
        <f t="shared" si="271"/>
        <v>1.5709500798007187E+21</v>
      </c>
      <c r="Q877" s="2">
        <f t="shared" si="283"/>
        <v>3.3520129602070297E+21</v>
      </c>
    </row>
    <row r="878" spans="1:17" x14ac:dyDescent="0.2">
      <c r="A878">
        <f t="shared" si="279"/>
        <v>213</v>
      </c>
      <c r="B878">
        <f t="shared" si="278"/>
        <v>213000</v>
      </c>
      <c r="C878" s="1">
        <f t="shared" si="280"/>
        <v>6895449000</v>
      </c>
      <c r="D878">
        <f t="shared" si="267"/>
        <v>1579.5</v>
      </c>
      <c r="E878" s="2">
        <f t="shared" si="281"/>
        <v>540000</v>
      </c>
      <c r="F878" s="2">
        <f t="shared" si="268"/>
        <v>626536.28599999996</v>
      </c>
      <c r="G878" s="2">
        <f t="shared" si="269"/>
        <v>13132.594799999999</v>
      </c>
      <c r="H878" s="2">
        <f t="shared" si="270"/>
        <v>45964.081799999993</v>
      </c>
      <c r="I878" s="2">
        <f t="shared" si="272"/>
        <v>41.119063537999367</v>
      </c>
      <c r="J878" s="2">
        <f t="shared" si="273"/>
        <v>13.63099754121489</v>
      </c>
      <c r="K878">
        <f t="shared" si="274"/>
        <v>7.2074625684516979E+17</v>
      </c>
      <c r="L878" s="13">
        <f t="shared" si="282"/>
        <v>8336624104.8373117</v>
      </c>
      <c r="M878" s="2">
        <f t="shared" si="275"/>
        <v>831509.11628318322</v>
      </c>
      <c r="N878" s="2">
        <f t="shared" si="276"/>
        <v>4.7034032443164931E+20</v>
      </c>
      <c r="O878" s="2">
        <f t="shared" si="277"/>
        <v>1.4873467006265457E+18</v>
      </c>
      <c r="P878" s="2">
        <f t="shared" si="271"/>
        <v>1.5622654173286454E+21</v>
      </c>
      <c r="Q878" s="2">
        <f t="shared" si="283"/>
        <v>3.3763327624591112E+21</v>
      </c>
    </row>
    <row r="879" spans="1:17" x14ac:dyDescent="0.2">
      <c r="A879">
        <f t="shared" si="279"/>
        <v>212</v>
      </c>
      <c r="B879">
        <f t="shared" si="278"/>
        <v>212000</v>
      </c>
      <c r="C879" s="1">
        <f t="shared" si="280"/>
        <v>6863076000</v>
      </c>
      <c r="D879">
        <f t="shared" si="267"/>
        <v>1579</v>
      </c>
      <c r="E879" s="2">
        <f t="shared" si="281"/>
        <v>540000</v>
      </c>
      <c r="F879" s="2">
        <f t="shared" si="268"/>
        <v>626083.06400000001</v>
      </c>
      <c r="G879" s="2">
        <f t="shared" si="269"/>
        <v>13128.437599999999</v>
      </c>
      <c r="H879" s="2">
        <f t="shared" si="270"/>
        <v>45949.531599999995</v>
      </c>
      <c r="I879" s="2">
        <f t="shared" si="272"/>
        <v>41.132084140766302</v>
      </c>
      <c r="J879" s="2">
        <f t="shared" si="273"/>
        <v>13.625450406114696</v>
      </c>
      <c r="K879">
        <f t="shared" si="274"/>
        <v>7.3019216984018867E+17</v>
      </c>
      <c r="L879" s="13">
        <f t="shared" si="282"/>
        <v>8397147115.330142</v>
      </c>
      <c r="M879" s="2">
        <f t="shared" si="275"/>
        <v>826909.39231797087</v>
      </c>
      <c r="N879" s="2">
        <f t="shared" si="276"/>
        <v>4.7650448240047063E+20</v>
      </c>
      <c r="O879" s="2">
        <f t="shared" si="277"/>
        <v>1.5068394796650982E+18</v>
      </c>
      <c r="P879" s="2">
        <f t="shared" si="271"/>
        <v>1.5536233116206165E+21</v>
      </c>
      <c r="Q879" s="2">
        <f t="shared" si="283"/>
        <v>3.4008445817087077E+21</v>
      </c>
    </row>
    <row r="880" spans="1:17" x14ac:dyDescent="0.2">
      <c r="A880">
        <f t="shared" si="279"/>
        <v>211</v>
      </c>
      <c r="B880">
        <f t="shared" si="278"/>
        <v>211000</v>
      </c>
      <c r="C880" s="1">
        <f t="shared" si="280"/>
        <v>6830703000</v>
      </c>
      <c r="D880">
        <f t="shared" si="267"/>
        <v>1578.5</v>
      </c>
      <c r="E880" s="2">
        <f t="shared" si="281"/>
        <v>540000</v>
      </c>
      <c r="F880" s="2">
        <f t="shared" si="268"/>
        <v>625629.84199999995</v>
      </c>
      <c r="G880" s="2">
        <f t="shared" si="269"/>
        <v>13124.280399999998</v>
      </c>
      <c r="H880" s="2">
        <f t="shared" si="270"/>
        <v>45934.981399999997</v>
      </c>
      <c r="I880" s="2">
        <f t="shared" si="272"/>
        <v>41.145112992252137</v>
      </c>
      <c r="J880" s="2">
        <f t="shared" si="273"/>
        <v>13.619899756833252</v>
      </c>
      <c r="K880">
        <f t="shared" si="274"/>
        <v>7.3976798062724147E+17</v>
      </c>
      <c r="L880" s="13">
        <f t="shared" si="282"/>
        <v>8458148276.8909864</v>
      </c>
      <c r="M880" s="2">
        <f t="shared" si="275"/>
        <v>822332.22317575093</v>
      </c>
      <c r="N880" s="2">
        <f t="shared" si="276"/>
        <v>4.8275340830123465E+20</v>
      </c>
      <c r="O880" s="2">
        <f t="shared" si="277"/>
        <v>1.5266003184411318E+18</v>
      </c>
      <c r="P880" s="2">
        <f t="shared" si="271"/>
        <v>1.5450235826217117E+21</v>
      </c>
      <c r="Q880" s="2">
        <f t="shared" si="283"/>
        <v>3.4255500521408493E+21</v>
      </c>
    </row>
    <row r="881" spans="1:17" x14ac:dyDescent="0.2">
      <c r="A881">
        <f t="shared" si="279"/>
        <v>210</v>
      </c>
      <c r="B881">
        <f t="shared" si="278"/>
        <v>210000</v>
      </c>
      <c r="C881" s="1">
        <f t="shared" si="280"/>
        <v>6798330000</v>
      </c>
      <c r="D881">
        <f t="shared" si="267"/>
        <v>1578</v>
      </c>
      <c r="E881" s="2">
        <f t="shared" si="281"/>
        <v>540000</v>
      </c>
      <c r="F881" s="2">
        <f t="shared" si="268"/>
        <v>625176.62</v>
      </c>
      <c r="G881" s="2">
        <f t="shared" si="269"/>
        <v>13120.123199999998</v>
      </c>
      <c r="H881" s="2">
        <f t="shared" si="270"/>
        <v>45920.431199999992</v>
      </c>
      <c r="I881" s="2">
        <f t="shared" si="272"/>
        <v>41.158150100297846</v>
      </c>
      <c r="J881" s="2">
        <f t="shared" si="273"/>
        <v>13.614345590030089</v>
      </c>
      <c r="K881">
        <f t="shared" si="274"/>
        <v>7.4947555758802074E+17</v>
      </c>
      <c r="L881" s="13">
        <f t="shared" si="282"/>
        <v>8519631661.288085</v>
      </c>
      <c r="M881" s="2">
        <f t="shared" si="275"/>
        <v>817777.51335857552</v>
      </c>
      <c r="N881" s="2">
        <f t="shared" si="276"/>
        <v>4.8908832139140275E+20</v>
      </c>
      <c r="O881" s="2">
        <f t="shared" si="277"/>
        <v>1.5466330725852785E+18</v>
      </c>
      <c r="P881" s="2">
        <f t="shared" si="271"/>
        <v>1.5364660509073906E+21</v>
      </c>
      <c r="Q881" s="2">
        <f t="shared" si="283"/>
        <v>3.4504508228216742E+21</v>
      </c>
    </row>
    <row r="882" spans="1:17" x14ac:dyDescent="0.2">
      <c r="A882">
        <f t="shared" si="279"/>
        <v>209</v>
      </c>
      <c r="B882">
        <f t="shared" si="278"/>
        <v>209000</v>
      </c>
      <c r="C882" s="1">
        <f t="shared" si="280"/>
        <v>6765957000</v>
      </c>
      <c r="D882">
        <f t="shared" si="267"/>
        <v>1577.5</v>
      </c>
      <c r="E882" s="2">
        <f t="shared" si="281"/>
        <v>540000</v>
      </c>
      <c r="F882" s="2">
        <f t="shared" si="268"/>
        <v>624723.39800000004</v>
      </c>
      <c r="G882" s="2">
        <f t="shared" si="269"/>
        <v>13115.965999999999</v>
      </c>
      <c r="H882" s="2">
        <f t="shared" si="270"/>
        <v>45905.880999999994</v>
      </c>
      <c r="I882" s="2">
        <f t="shared" si="272"/>
        <v>41.171195472754356</v>
      </c>
      <c r="J882" s="2">
        <f t="shared" si="273"/>
        <v>13.608787902360486</v>
      </c>
      <c r="K882">
        <f t="shared" si="274"/>
        <v>7.5931679713525875E+17</v>
      </c>
      <c r="L882" s="13">
        <f t="shared" si="282"/>
        <v>8581601377.3891754</v>
      </c>
      <c r="M882" s="2">
        <f t="shared" si="275"/>
        <v>813245.16770309722</v>
      </c>
      <c r="N882" s="2">
        <f t="shared" si="276"/>
        <v>4.9551045922076629E+20</v>
      </c>
      <c r="O882" s="2">
        <f t="shared" si="277"/>
        <v>1.5669416555735969E+18</v>
      </c>
      <c r="P882" s="2">
        <f t="shared" si="271"/>
        <v>1.5279505376817701E+21</v>
      </c>
      <c r="Q882" s="2">
        <f t="shared" si="283"/>
        <v>3.4755485578426162E+21</v>
      </c>
    </row>
    <row r="883" spans="1:17" x14ac:dyDescent="0.2">
      <c r="A883">
        <f t="shared" si="279"/>
        <v>208</v>
      </c>
      <c r="B883">
        <f t="shared" si="278"/>
        <v>208000</v>
      </c>
      <c r="C883" s="1">
        <f t="shared" si="280"/>
        <v>6733584000</v>
      </c>
      <c r="D883">
        <f t="shared" ref="D883:D946" si="284">IF(A883&gt;$B$4,$B$2+(A883-$B$4)*$B$5,$B$6+(($B$2-$B$6)/$B$4)*(A883))</f>
        <v>1577</v>
      </c>
      <c r="E883" s="2">
        <f t="shared" si="281"/>
        <v>540000</v>
      </c>
      <c r="F883" s="2">
        <f t="shared" ref="F883:F946" si="285">+$F$20+$H$15*C883*(0.000001)</f>
        <v>624270.17599999998</v>
      </c>
      <c r="G883" s="2">
        <f t="shared" ref="G883:G946" si="286">+$B$17*D883</f>
        <v>13111.808799999999</v>
      </c>
      <c r="H883" s="2">
        <f t="shared" ref="H883:H946" si="287">+$B$23*$B$17*D883</f>
        <v>45891.330799999996</v>
      </c>
      <c r="I883" s="2">
        <f t="shared" si="272"/>
        <v>41.184249117482558</v>
      </c>
      <c r="J883" s="2">
        <f t="shared" si="273"/>
        <v>13.603226690475493</v>
      </c>
      <c r="K883">
        <f t="shared" si="274"/>
        <v>7.6929362415032397E+17</v>
      </c>
      <c r="L883" s="13">
        <f t="shared" si="282"/>
        <v>8644061571.5209274</v>
      </c>
      <c r="M883" s="2">
        <f t="shared" si="275"/>
        <v>808735.09137969674</v>
      </c>
      <c r="N883" s="2">
        <f t="shared" si="276"/>
        <v>5.0202107791701049E+20</v>
      </c>
      <c r="O883" s="2">
        <f t="shared" si="277"/>
        <v>1.5875300396306045E+18</v>
      </c>
      <c r="P883" s="2">
        <f t="shared" ref="P883:P946" si="288">(1000000)*($F$18^(-1/$B$23))*($F$19^((1/$B$23)-1))*M883</f>
        <v>1.5194768647759861E+21</v>
      </c>
      <c r="Q883" s="2">
        <f t="shared" si="283"/>
        <v>3.5008449364659756E+21</v>
      </c>
    </row>
    <row r="884" spans="1:17" x14ac:dyDescent="0.2">
      <c r="A884">
        <f t="shared" si="279"/>
        <v>207</v>
      </c>
      <c r="B884">
        <f t="shared" si="278"/>
        <v>207000</v>
      </c>
      <c r="C884" s="1">
        <f t="shared" si="280"/>
        <v>6701211000</v>
      </c>
      <c r="D884">
        <f t="shared" si="284"/>
        <v>1576.5</v>
      </c>
      <c r="E884" s="2">
        <f t="shared" si="281"/>
        <v>540000</v>
      </c>
      <c r="F884" s="2">
        <f t="shared" si="285"/>
        <v>623816.95400000003</v>
      </c>
      <c r="G884" s="2">
        <f t="shared" si="286"/>
        <v>13107.651599999999</v>
      </c>
      <c r="H884" s="2">
        <f t="shared" si="287"/>
        <v>45876.780599999998</v>
      </c>
      <c r="I884" s="2">
        <f t="shared" ref="I884:I947" si="289">+E884/G884</f>
        <v>41.197311042353313</v>
      </c>
      <c r="J884" s="2">
        <f t="shared" ref="J884:J947" si="290">+F884/H884</f>
        <v>13.597661951021909</v>
      </c>
      <c r="K884">
        <f t="shared" ref="K884:K947" si="291">+EXP(I884)</f>
        <v>7.7940799242791104E+17</v>
      </c>
      <c r="L884" s="13">
        <f t="shared" si="282"/>
        <v>8707016427.8321819</v>
      </c>
      <c r="M884" s="2">
        <f t="shared" ref="M884:M947" si="292">+EXP(J884)</f>
        <v>804247.18989158084</v>
      </c>
      <c r="N884" s="2">
        <f t="shared" ref="N884:N947" si="293">+$B$13*(($B$15/$B$21)^($B$23-1))*K884</f>
        <v>5.0862145247590803E+20</v>
      </c>
      <c r="O884" s="2">
        <f t="shared" ref="O884:O947" si="294">+$B$13*(($B$15/$B$22)^($B$23-1))*K884</f>
        <v>1.6084022566469496E+18</v>
      </c>
      <c r="P884" s="2">
        <f t="shared" si="288"/>
        <v>1.5110448546464984E+21</v>
      </c>
      <c r="Q884" s="2">
        <f t="shared" si="283"/>
        <v>3.5263416532720335E+21</v>
      </c>
    </row>
    <row r="885" spans="1:17" x14ac:dyDescent="0.2">
      <c r="A885">
        <f t="shared" si="279"/>
        <v>206</v>
      </c>
      <c r="B885">
        <f t="shared" si="278"/>
        <v>206000</v>
      </c>
      <c r="C885" s="1">
        <f t="shared" si="280"/>
        <v>6668838000</v>
      </c>
      <c r="D885">
        <f t="shared" si="284"/>
        <v>1576</v>
      </c>
      <c r="E885" s="2">
        <f t="shared" si="281"/>
        <v>540000</v>
      </c>
      <c r="F885" s="2">
        <f t="shared" si="285"/>
        <v>623363.73199999996</v>
      </c>
      <c r="G885" s="2">
        <f t="shared" si="286"/>
        <v>13103.494399999998</v>
      </c>
      <c r="H885" s="2">
        <f t="shared" si="287"/>
        <v>45862.230399999993</v>
      </c>
      <c r="I885" s="2">
        <f t="shared" si="289"/>
        <v>41.210381255247462</v>
      </c>
      <c r="J885" s="2">
        <f t="shared" si="290"/>
        <v>13.592093680642275</v>
      </c>
      <c r="K885">
        <f t="shared" si="291"/>
        <v>7.8966188512794778E+17</v>
      </c>
      <c r="L885" s="13">
        <f t="shared" si="282"/>
        <v>8770470168.6609631</v>
      </c>
      <c r="M885" s="2">
        <f t="shared" si="292"/>
        <v>799781.36907388887</v>
      </c>
      <c r="N885" s="2">
        <f t="shared" si="293"/>
        <v>5.1531287705622138E+20</v>
      </c>
      <c r="O885" s="2">
        <f t="shared" si="294"/>
        <v>1.6295623991119762E+18</v>
      </c>
      <c r="P885" s="2">
        <f t="shared" si="288"/>
        <v>1.5026543303734122E+21</v>
      </c>
      <c r="Q885" s="2">
        <f t="shared" si="283"/>
        <v>3.5520404183076899E+21</v>
      </c>
    </row>
    <row r="886" spans="1:17" x14ac:dyDescent="0.2">
      <c r="A886">
        <f t="shared" si="279"/>
        <v>205</v>
      </c>
      <c r="B886">
        <f t="shared" si="278"/>
        <v>205000</v>
      </c>
      <c r="C886" s="1">
        <f t="shared" si="280"/>
        <v>6636465000</v>
      </c>
      <c r="D886">
        <f t="shared" si="284"/>
        <v>1575.5</v>
      </c>
      <c r="E886" s="2">
        <f t="shared" si="281"/>
        <v>540000</v>
      </c>
      <c r="F886" s="2">
        <f t="shared" si="285"/>
        <v>622910.51</v>
      </c>
      <c r="G886" s="2">
        <f t="shared" si="286"/>
        <v>13099.337199999998</v>
      </c>
      <c r="H886" s="2">
        <f t="shared" si="287"/>
        <v>45847.680199999995</v>
      </c>
      <c r="I886" s="2">
        <f t="shared" si="289"/>
        <v>41.223459764055853</v>
      </c>
      <c r="J886" s="2">
        <f t="shared" si="290"/>
        <v>13.586521875974874</v>
      </c>
      <c r="K886">
        <f t="shared" si="291"/>
        <v>8.0005731523484211E+17</v>
      </c>
      <c r="L886" s="13">
        <f t="shared" si="282"/>
        <v>8834427054.9050465</v>
      </c>
      <c r="M886" s="2">
        <f t="shared" si="292"/>
        <v>795337.53509280668</v>
      </c>
      <c r="N886" s="2">
        <f t="shared" si="293"/>
        <v>5.2209666527939566E+20</v>
      </c>
      <c r="O886" s="2">
        <f t="shared" si="294"/>
        <v>1.6510146210614333E+18</v>
      </c>
      <c r="P886" s="2">
        <f t="shared" si="288"/>
        <v>1.4943051156588134E+21</v>
      </c>
      <c r="Q886" s="2">
        <f t="shared" si="283"/>
        <v>3.5779429572365438E+21</v>
      </c>
    </row>
    <row r="887" spans="1:17" x14ac:dyDescent="0.2">
      <c r="A887">
        <f t="shared" si="279"/>
        <v>204</v>
      </c>
      <c r="B887">
        <f t="shared" si="278"/>
        <v>204000</v>
      </c>
      <c r="C887" s="1">
        <f t="shared" si="280"/>
        <v>6604092000</v>
      </c>
      <c r="D887">
        <f t="shared" si="284"/>
        <v>1575</v>
      </c>
      <c r="E887" s="2">
        <f t="shared" si="281"/>
        <v>540000</v>
      </c>
      <c r="F887" s="2">
        <f t="shared" si="285"/>
        <v>622457.28799999994</v>
      </c>
      <c r="G887" s="2">
        <f t="shared" si="286"/>
        <v>13095.179999999998</v>
      </c>
      <c r="H887" s="2">
        <f t="shared" si="287"/>
        <v>45833.13</v>
      </c>
      <c r="I887" s="2">
        <f t="shared" si="289"/>
        <v>41.236546576679366</v>
      </c>
      <c r="J887" s="2">
        <f t="shared" si="290"/>
        <v>13.580946533653712</v>
      </c>
      <c r="K887">
        <f t="shared" si="291"/>
        <v>8.1059632602419366E+17</v>
      </c>
      <c r="L887" s="13">
        <f t="shared" si="282"/>
        <v>8898891386.3968029</v>
      </c>
      <c r="M887" s="2">
        <f t="shared" si="292"/>
        <v>790915.59444467095</v>
      </c>
      <c r="N887" s="2">
        <f t="shared" si="293"/>
        <v>5.2897415053412257E+20</v>
      </c>
      <c r="O887" s="2">
        <f t="shared" si="294"/>
        <v>1.6727631390405937E+18</v>
      </c>
      <c r="P887" s="2">
        <f t="shared" si="288"/>
        <v>1.4859970348250856E+21</v>
      </c>
      <c r="Q887" s="2">
        <f t="shared" si="283"/>
        <v>3.604051011490705E+21</v>
      </c>
    </row>
    <row r="888" spans="1:17" x14ac:dyDescent="0.2">
      <c r="A888">
        <f t="shared" si="279"/>
        <v>203</v>
      </c>
      <c r="B888">
        <f t="shared" ref="B888:B951" si="295">A888*1000</f>
        <v>203000</v>
      </c>
      <c r="C888" s="1">
        <f t="shared" si="280"/>
        <v>6571719000</v>
      </c>
      <c r="D888">
        <f t="shared" si="284"/>
        <v>1574.5</v>
      </c>
      <c r="E888" s="2">
        <f t="shared" si="281"/>
        <v>540000</v>
      </c>
      <c r="F888" s="2">
        <f t="shared" si="285"/>
        <v>622004.06599999999</v>
      </c>
      <c r="G888" s="2">
        <f t="shared" si="286"/>
        <v>13091.022799999999</v>
      </c>
      <c r="H888" s="2">
        <f t="shared" si="287"/>
        <v>45818.579799999992</v>
      </c>
      <c r="I888" s="2">
        <f t="shared" si="289"/>
        <v>41.249641701028892</v>
      </c>
      <c r="J888" s="2">
        <f t="shared" si="290"/>
        <v>13.575367650308534</v>
      </c>
      <c r="K888">
        <f t="shared" si="291"/>
        <v>8.2128099153704602E+17</v>
      </c>
      <c r="L888" s="13">
        <f t="shared" si="282"/>
        <v>8963867502.2811756</v>
      </c>
      <c r="M888" s="2">
        <f t="shared" si="292"/>
        <v>786515.45395509829</v>
      </c>
      <c r="N888" s="2">
        <f t="shared" si="293"/>
        <v>5.3594668628582498E+20</v>
      </c>
      <c r="O888" s="2">
        <f t="shared" si="294"/>
        <v>1.6948122330829274E+18</v>
      </c>
      <c r="P888" s="2">
        <f t="shared" si="288"/>
        <v>1.4777299128132737E+21</v>
      </c>
      <c r="Q888" s="2">
        <f t="shared" si="283"/>
        <v>3.6303663384238762E+21</v>
      </c>
    </row>
    <row r="889" spans="1:17" x14ac:dyDescent="0.2">
      <c r="A889">
        <f t="shared" si="279"/>
        <v>202</v>
      </c>
      <c r="B889">
        <f t="shared" si="295"/>
        <v>202000</v>
      </c>
      <c r="C889" s="1">
        <f t="shared" si="280"/>
        <v>6539346000</v>
      </c>
      <c r="D889">
        <f t="shared" si="284"/>
        <v>1574</v>
      </c>
      <c r="E889" s="2">
        <f t="shared" si="281"/>
        <v>540000</v>
      </c>
      <c r="F889" s="2">
        <f t="shared" si="285"/>
        <v>621550.84400000004</v>
      </c>
      <c r="G889" s="2">
        <f t="shared" si="286"/>
        <v>13086.865599999999</v>
      </c>
      <c r="H889" s="2">
        <f t="shared" si="287"/>
        <v>45804.029599999994</v>
      </c>
      <c r="I889" s="2">
        <f t="shared" si="289"/>
        <v>41.262745145025406</v>
      </c>
      <c r="J889" s="2">
        <f t="shared" si="290"/>
        <v>13.569785222564787</v>
      </c>
      <c r="K889">
        <f t="shared" si="291"/>
        <v>8.3211341706192602E+17</v>
      </c>
      <c r="L889" s="13">
        <f t="shared" si="282"/>
        <v>9029359781.3983326</v>
      </c>
      <c r="M889" s="2">
        <f t="shared" si="292"/>
        <v>782137.02077807707</v>
      </c>
      <c r="N889" s="2">
        <f t="shared" si="293"/>
        <v>5.4301564639122339E+20</v>
      </c>
      <c r="O889" s="2">
        <f t="shared" si="294"/>
        <v>1.7171662477048502E+18</v>
      </c>
      <c r="P889" s="2">
        <f t="shared" si="288"/>
        <v>1.4695035751813779E+21</v>
      </c>
      <c r="Q889" s="2">
        <f t="shared" si="283"/>
        <v>3.6568907114663248E+21</v>
      </c>
    </row>
    <row r="890" spans="1:17" x14ac:dyDescent="0.2">
      <c r="A890">
        <f t="shared" si="279"/>
        <v>201</v>
      </c>
      <c r="B890">
        <f t="shared" si="295"/>
        <v>201000</v>
      </c>
      <c r="C890" s="1">
        <f t="shared" si="280"/>
        <v>6506973000</v>
      </c>
      <c r="D890">
        <f t="shared" si="284"/>
        <v>1573.5</v>
      </c>
      <c r="E890" s="2">
        <f t="shared" si="281"/>
        <v>540000</v>
      </c>
      <c r="F890" s="2">
        <f t="shared" si="285"/>
        <v>621097.62199999997</v>
      </c>
      <c r="G890" s="2">
        <f t="shared" si="286"/>
        <v>13082.7084</v>
      </c>
      <c r="H890" s="2">
        <f t="shared" si="287"/>
        <v>45789.479399999997</v>
      </c>
      <c r="I890" s="2">
        <f t="shared" si="289"/>
        <v>41.275856916599935</v>
      </c>
      <c r="J890" s="2">
        <f t="shared" si="290"/>
        <v>13.564199247043634</v>
      </c>
      <c r="K890">
        <f t="shared" si="291"/>
        <v>8.4309573962464269E+17</v>
      </c>
      <c r="L890" s="13">
        <f t="shared" si="282"/>
        <v>9095372642.6695919</v>
      </c>
      <c r="M890" s="2">
        <f t="shared" si="292"/>
        <v>777780.20239509712</v>
      </c>
      <c r="N890" s="2">
        <f t="shared" si="293"/>
        <v>5.5018242541796596E+20</v>
      </c>
      <c r="O890" s="2">
        <f t="shared" si="294"/>
        <v>1.7398295929164813E+18</v>
      </c>
      <c r="P890" s="2">
        <f t="shared" si="288"/>
        <v>1.4613178481027187E+21</v>
      </c>
      <c r="Q890" s="2">
        <f t="shared" si="283"/>
        <v>3.6836259202811848E+21</v>
      </c>
    </row>
    <row r="891" spans="1:17" x14ac:dyDescent="0.2">
      <c r="A891">
        <f t="shared" si="279"/>
        <v>200</v>
      </c>
      <c r="B891">
        <f t="shared" si="295"/>
        <v>200000</v>
      </c>
      <c r="C891" s="1">
        <f t="shared" si="280"/>
        <v>6474600000</v>
      </c>
      <c r="D891">
        <f t="shared" si="284"/>
        <v>1573</v>
      </c>
      <c r="E891" s="2">
        <f t="shared" si="281"/>
        <v>540000</v>
      </c>
      <c r="F891" s="2">
        <f t="shared" si="285"/>
        <v>620644.4</v>
      </c>
      <c r="G891" s="2">
        <f t="shared" si="286"/>
        <v>13078.551199999998</v>
      </c>
      <c r="H891" s="2">
        <f t="shared" si="287"/>
        <v>45774.929199999999</v>
      </c>
      <c r="I891" s="2">
        <f t="shared" si="289"/>
        <v>41.288977023693576</v>
      </c>
      <c r="J891" s="2">
        <f t="shared" si="290"/>
        <v>13.55860972036195</v>
      </c>
      <c r="K891">
        <f t="shared" si="291"/>
        <v>8.5423012848609152E+17</v>
      </c>
      <c r="L891" s="13">
        <f t="shared" si="282"/>
        <v>9161910545.4877949</v>
      </c>
      <c r="M891" s="2">
        <f t="shared" si="292"/>
        <v>773444.90661427309</v>
      </c>
      <c r="N891" s="2">
        <f t="shared" si="293"/>
        <v>5.5744843896948274E+20</v>
      </c>
      <c r="O891" s="2">
        <f t="shared" si="294"/>
        <v>1.7628067452489234E+18</v>
      </c>
      <c r="P891" s="2">
        <f t="shared" si="288"/>
        <v>1.453172558364289E+21</v>
      </c>
      <c r="Q891" s="2">
        <f t="shared" si="283"/>
        <v>3.7105737709225572E+21</v>
      </c>
    </row>
    <row r="892" spans="1:17" x14ac:dyDescent="0.2">
      <c r="A892">
        <f t="shared" si="279"/>
        <v>199</v>
      </c>
      <c r="B892">
        <f t="shared" si="295"/>
        <v>199000</v>
      </c>
      <c r="C892" s="1">
        <f t="shared" si="280"/>
        <v>6442227000</v>
      </c>
      <c r="D892">
        <f t="shared" si="284"/>
        <v>1572.5</v>
      </c>
      <c r="E892" s="2">
        <f t="shared" si="281"/>
        <v>540000</v>
      </c>
      <c r="F892" s="2">
        <f t="shared" si="285"/>
        <v>620191.17799999996</v>
      </c>
      <c r="G892" s="2">
        <f t="shared" si="286"/>
        <v>13074.393999999998</v>
      </c>
      <c r="H892" s="2">
        <f t="shared" si="287"/>
        <v>45760.378999999994</v>
      </c>
      <c r="I892" s="2">
        <f t="shared" si="289"/>
        <v>41.302105474257552</v>
      </c>
      <c r="J892" s="2">
        <f t="shared" si="290"/>
        <v>13.553016639132295</v>
      </c>
      <c r="K892">
        <f t="shared" si="291"/>
        <v>8.6551878564820429E+17</v>
      </c>
      <c r="L892" s="13">
        <f t="shared" si="282"/>
        <v>9228977990.1113548</v>
      </c>
      <c r="M892" s="2">
        <f t="shared" si="292"/>
        <v>769131.04156944295</v>
      </c>
      <c r="N892" s="2">
        <f t="shared" si="293"/>
        <v>5.6481512401515525E+20</v>
      </c>
      <c r="O892" s="2">
        <f t="shared" si="294"/>
        <v>1.7861022487983501E+18</v>
      </c>
      <c r="P892" s="2">
        <f t="shared" si="288"/>
        <v>1.4450675333650614E+21</v>
      </c>
      <c r="Q892" s="2">
        <f t="shared" si="283"/>
        <v>3.7377360859950985E+21</v>
      </c>
    </row>
    <row r="893" spans="1:17" x14ac:dyDescent="0.2">
      <c r="A893">
        <f t="shared" si="279"/>
        <v>198</v>
      </c>
      <c r="B893">
        <f t="shared" si="295"/>
        <v>198000</v>
      </c>
      <c r="C893" s="1">
        <f t="shared" si="280"/>
        <v>6409854000</v>
      </c>
      <c r="D893">
        <f t="shared" si="284"/>
        <v>1572</v>
      </c>
      <c r="E893" s="2">
        <f t="shared" si="281"/>
        <v>540000</v>
      </c>
      <c r="F893" s="2">
        <f t="shared" si="285"/>
        <v>619737.95600000001</v>
      </c>
      <c r="G893" s="2">
        <f t="shared" si="286"/>
        <v>13070.236799999999</v>
      </c>
      <c r="H893" s="2">
        <f t="shared" si="287"/>
        <v>45745.828799999996</v>
      </c>
      <c r="I893" s="2">
        <f t="shared" si="289"/>
        <v>41.31524227625318</v>
      </c>
      <c r="J893" s="2">
        <f t="shared" si="290"/>
        <v>13.547419999962926</v>
      </c>
      <c r="K893">
        <f t="shared" si="291"/>
        <v>8.7696394636806938E+17</v>
      </c>
      <c r="L893" s="13">
        <f t="shared" si="282"/>
        <v>9296579518.0627136</v>
      </c>
      <c r="M893" s="2">
        <f t="shared" si="292"/>
        <v>764838.51571930666</v>
      </c>
      <c r="N893" s="2">
        <f t="shared" si="293"/>
        <v>5.7228393922581843E+20</v>
      </c>
      <c r="O893" s="2">
        <f t="shared" si="294"/>
        <v>1.8097207162869558E+18</v>
      </c>
      <c r="P893" s="2">
        <f t="shared" si="288"/>
        <v>1.4370026011143687E+21</v>
      </c>
      <c r="Q893" s="2">
        <f t="shared" si="283"/>
        <v>3.7651147048153991E+21</v>
      </c>
    </row>
    <row r="894" spans="1:17" x14ac:dyDescent="0.2">
      <c r="A894">
        <f t="shared" si="279"/>
        <v>197</v>
      </c>
      <c r="B894">
        <f t="shared" si="295"/>
        <v>197000</v>
      </c>
      <c r="C894" s="1">
        <f t="shared" si="280"/>
        <v>6377481000</v>
      </c>
      <c r="D894">
        <f t="shared" si="284"/>
        <v>1571.5</v>
      </c>
      <c r="E894" s="2">
        <f t="shared" si="281"/>
        <v>540000</v>
      </c>
      <c r="F894" s="2">
        <f t="shared" si="285"/>
        <v>619284.73399999994</v>
      </c>
      <c r="G894" s="2">
        <f t="shared" si="286"/>
        <v>13066.079599999999</v>
      </c>
      <c r="H894" s="2">
        <f t="shared" si="287"/>
        <v>45731.278599999998</v>
      </c>
      <c r="I894" s="2">
        <f t="shared" si="289"/>
        <v>41.328387437651919</v>
      </c>
      <c r="J894" s="2">
        <f t="shared" si="290"/>
        <v>13.541819799457782</v>
      </c>
      <c r="K894">
        <f t="shared" si="291"/>
        <v>8.8856787968049626E+17</v>
      </c>
      <c r="L894" s="13">
        <f t="shared" si="282"/>
        <v>9364719712.5305023</v>
      </c>
      <c r="M894" s="2">
        <f t="shared" si="292"/>
        <v>760567.23784653831</v>
      </c>
      <c r="N894" s="2">
        <f t="shared" si="293"/>
        <v>5.7985636531477211E+20</v>
      </c>
      <c r="O894" s="2">
        <f t="shared" si="294"/>
        <v>1.8336668301413302E+18</v>
      </c>
      <c r="P894" s="2">
        <f t="shared" si="288"/>
        <v>1.4289775902302373E+21</v>
      </c>
      <c r="Q894" s="2">
        <f t="shared" si="283"/>
        <v>3.7927114835748533E+21</v>
      </c>
    </row>
    <row r="895" spans="1:17" x14ac:dyDescent="0.2">
      <c r="A895">
        <f t="shared" si="279"/>
        <v>196</v>
      </c>
      <c r="B895">
        <f t="shared" si="295"/>
        <v>196000</v>
      </c>
      <c r="C895" s="1">
        <f t="shared" si="280"/>
        <v>6345108000</v>
      </c>
      <c r="D895">
        <f t="shared" si="284"/>
        <v>1571</v>
      </c>
      <c r="E895" s="2">
        <f t="shared" si="281"/>
        <v>540000</v>
      </c>
      <c r="F895" s="2">
        <f t="shared" si="285"/>
        <v>618831.51199999999</v>
      </c>
      <c r="G895" s="2">
        <f t="shared" si="286"/>
        <v>13061.922399999999</v>
      </c>
      <c r="H895" s="2">
        <f t="shared" si="287"/>
        <v>45716.728399999993</v>
      </c>
      <c r="I895" s="2">
        <f t="shared" si="289"/>
        <v>41.341540966435389</v>
      </c>
      <c r="J895" s="2">
        <f t="shared" si="290"/>
        <v>13.536216034216483</v>
      </c>
      <c r="K895">
        <f t="shared" si="291"/>
        <v>9.0033288892908762E+17</v>
      </c>
      <c r="L895" s="13">
        <f t="shared" si="282"/>
        <v>9433403198.7762909</v>
      </c>
      <c r="M895" s="2">
        <f t="shared" si="292"/>
        <v>756317.11705691693</v>
      </c>
      <c r="N895" s="2">
        <f t="shared" si="293"/>
        <v>5.8753390538434544E+20</v>
      </c>
      <c r="O895" s="2">
        <f t="shared" si="294"/>
        <v>1.8579453435883896E+18</v>
      </c>
      <c r="P895" s="2">
        <f t="shared" si="288"/>
        <v>1.4209923299377527E+21</v>
      </c>
      <c r="Q895" s="2">
        <f t="shared" si="283"/>
        <v>3.8205282955043977E+21</v>
      </c>
    </row>
    <row r="896" spans="1:17" x14ac:dyDescent="0.2">
      <c r="A896">
        <f t="shared" si="279"/>
        <v>195</v>
      </c>
      <c r="B896">
        <f t="shared" si="295"/>
        <v>195000</v>
      </c>
      <c r="C896" s="1">
        <f t="shared" si="280"/>
        <v>6312735000</v>
      </c>
      <c r="D896">
        <f t="shared" si="284"/>
        <v>1570.5</v>
      </c>
      <c r="E896" s="2">
        <f t="shared" si="281"/>
        <v>540000</v>
      </c>
      <c r="F896" s="2">
        <f t="shared" si="285"/>
        <v>618378.29</v>
      </c>
      <c r="G896" s="2">
        <f t="shared" si="286"/>
        <v>13057.765199999998</v>
      </c>
      <c r="H896" s="2">
        <f t="shared" si="287"/>
        <v>45702.178199999995</v>
      </c>
      <c r="I896" s="2">
        <f t="shared" si="289"/>
        <v>41.354702870595354</v>
      </c>
      <c r="J896" s="2">
        <f t="shared" si="290"/>
        <v>13.530608700834309</v>
      </c>
      <c r="K896">
        <f t="shared" si="291"/>
        <v>9.1226131230594778E+17</v>
      </c>
      <c r="L896" s="13">
        <f t="shared" si="282"/>
        <v>9502634644.545187</v>
      </c>
      <c r="M896" s="2">
        <f t="shared" si="292"/>
        <v>752088.06277843623</v>
      </c>
      <c r="N896" s="2">
        <f t="shared" si="293"/>
        <v>5.9531808527809642E+20</v>
      </c>
      <c r="O896" s="2">
        <f t="shared" si="294"/>
        <v>1.8825610817691302E+18</v>
      </c>
      <c r="P896" s="2">
        <f t="shared" si="288"/>
        <v>1.4130466500673879E+21</v>
      </c>
      <c r="Q896" s="2">
        <f t="shared" si="283"/>
        <v>3.848567031040801E+21</v>
      </c>
    </row>
    <row r="897" spans="1:17" x14ac:dyDescent="0.2">
      <c r="A897">
        <f t="shared" ref="A897:A960" si="296">+A896-1</f>
        <v>194</v>
      </c>
      <c r="B897">
        <f t="shared" si="295"/>
        <v>194000</v>
      </c>
      <c r="C897" s="1">
        <f t="shared" si="280"/>
        <v>6280362000</v>
      </c>
      <c r="D897">
        <f t="shared" si="284"/>
        <v>1570</v>
      </c>
      <c r="E897" s="2">
        <f t="shared" si="281"/>
        <v>540000</v>
      </c>
      <c r="F897" s="2">
        <f t="shared" si="285"/>
        <v>617925.06799999997</v>
      </c>
      <c r="G897" s="2">
        <f t="shared" si="286"/>
        <v>13053.607999999998</v>
      </c>
      <c r="H897" s="2">
        <f t="shared" si="287"/>
        <v>45687.627999999997</v>
      </c>
      <c r="I897" s="2">
        <f t="shared" si="289"/>
        <v>41.367873158133754</v>
      </c>
      <c r="J897" s="2">
        <f t="shared" si="290"/>
        <v>13.524997795902209</v>
      </c>
      <c r="K897">
        <f t="shared" si="291"/>
        <v>9.2435552340024486E+17</v>
      </c>
      <c r="L897" s="13">
        <f t="shared" si="282"/>
        <v>9572418760.480732</v>
      </c>
      <c r="M897" s="2">
        <f t="shared" si="292"/>
        <v>747879.98476044822</v>
      </c>
      <c r="N897" s="2">
        <f t="shared" si="293"/>
        <v>6.0321045393878942E+20</v>
      </c>
      <c r="O897" s="2">
        <f t="shared" si="294"/>
        <v>1.9075189428706522E+18</v>
      </c>
      <c r="P897" s="2">
        <f t="shared" si="288"/>
        <v>1.4051403810533936E+21</v>
      </c>
      <c r="Q897" s="2">
        <f t="shared" si="283"/>
        <v>3.8768295979946963E+21</v>
      </c>
    </row>
    <row r="898" spans="1:17" x14ac:dyDescent="0.2">
      <c r="A898">
        <f t="shared" si="296"/>
        <v>193</v>
      </c>
      <c r="B898">
        <f t="shared" si="295"/>
        <v>193000</v>
      </c>
      <c r="C898" s="1">
        <f t="shared" si="280"/>
        <v>6247989000</v>
      </c>
      <c r="D898">
        <f t="shared" si="284"/>
        <v>1569.5</v>
      </c>
      <c r="E898" s="2">
        <f t="shared" si="281"/>
        <v>540000</v>
      </c>
      <c r="F898" s="2">
        <f t="shared" si="285"/>
        <v>617471.84600000002</v>
      </c>
      <c r="G898" s="2">
        <f t="shared" si="286"/>
        <v>13049.450799999999</v>
      </c>
      <c r="H898" s="2">
        <f t="shared" si="287"/>
        <v>45673.077799999992</v>
      </c>
      <c r="I898" s="2">
        <f t="shared" si="289"/>
        <v>41.381051837062756</v>
      </c>
      <c r="J898" s="2">
        <f t="shared" si="290"/>
        <v>13.51938331600679</v>
      </c>
      <c r="K898">
        <f t="shared" si="291"/>
        <v>9.366179317557577E+17</v>
      </c>
      <c r="L898" s="13">
        <f t="shared" si="282"/>
        <v>9642760300.5443821</v>
      </c>
      <c r="M898" s="2">
        <f t="shared" si="292"/>
        <v>743692.79307278187</v>
      </c>
      <c r="N898" s="2">
        <f t="shared" si="293"/>
        <v>6.1121258377223537E+20</v>
      </c>
      <c r="O898" s="2">
        <f t="shared" si="294"/>
        <v>1.9328238992767255E+18</v>
      </c>
      <c r="P898" s="2">
        <f t="shared" si="288"/>
        <v>1.3972733539321428E+21</v>
      </c>
      <c r="Q898" s="2">
        <f t="shared" si="283"/>
        <v>3.9053179217204745E+21</v>
      </c>
    </row>
    <row r="899" spans="1:17" x14ac:dyDescent="0.2">
      <c r="A899">
        <f t="shared" si="296"/>
        <v>192</v>
      </c>
      <c r="B899">
        <f t="shared" si="295"/>
        <v>192000</v>
      </c>
      <c r="C899" s="1">
        <f t="shared" si="280"/>
        <v>6215616000</v>
      </c>
      <c r="D899">
        <f t="shared" si="284"/>
        <v>1569</v>
      </c>
      <c r="E899" s="2">
        <f t="shared" si="281"/>
        <v>540000</v>
      </c>
      <c r="F899" s="2">
        <f t="shared" si="285"/>
        <v>617018.62399999995</v>
      </c>
      <c r="G899" s="2">
        <f t="shared" si="286"/>
        <v>13045.293599999999</v>
      </c>
      <c r="H899" s="2">
        <f t="shared" si="287"/>
        <v>45658.527599999994</v>
      </c>
      <c r="I899" s="2">
        <f t="shared" si="289"/>
        <v>41.394238915404713</v>
      </c>
      <c r="J899" s="2">
        <f t="shared" si="290"/>
        <v>13.5137652577303</v>
      </c>
      <c r="K899">
        <f t="shared" si="291"/>
        <v>9.4905098343746214E+17</v>
      </c>
      <c r="L899" s="13">
        <f t="shared" si="282"/>
        <v>9713664062.4389057</v>
      </c>
      <c r="M899" s="2">
        <f t="shared" si="292"/>
        <v>739526.39810486836</v>
      </c>
      <c r="N899" s="2">
        <f t="shared" si="293"/>
        <v>6.1932607101703225E+20</v>
      </c>
      <c r="O899" s="2">
        <f t="shared" si="294"/>
        <v>1.9584809987370074E+18</v>
      </c>
      <c r="P899" s="2">
        <f t="shared" si="288"/>
        <v>1.3894454003404869E+21</v>
      </c>
      <c r="Q899" s="2">
        <f t="shared" si="283"/>
        <v>3.9340339452877566E+21</v>
      </c>
    </row>
    <row r="900" spans="1:17" x14ac:dyDescent="0.2">
      <c r="A900">
        <f t="shared" si="296"/>
        <v>191</v>
      </c>
      <c r="B900">
        <f t="shared" si="295"/>
        <v>191000</v>
      </c>
      <c r="C900" s="1">
        <f t="shared" si="280"/>
        <v>6183243000</v>
      </c>
      <c r="D900">
        <f t="shared" si="284"/>
        <v>1568.5</v>
      </c>
      <c r="E900" s="2">
        <f t="shared" si="281"/>
        <v>540000</v>
      </c>
      <c r="F900" s="2">
        <f t="shared" si="285"/>
        <v>616565.402</v>
      </c>
      <c r="G900" s="2">
        <f t="shared" si="286"/>
        <v>13041.136399999999</v>
      </c>
      <c r="H900" s="2">
        <f t="shared" si="287"/>
        <v>45643.977399999996</v>
      </c>
      <c r="I900" s="2">
        <f t="shared" si="289"/>
        <v>41.407434401192219</v>
      </c>
      <c r="J900" s="2">
        <f t="shared" si="290"/>
        <v>13.50814361765064</v>
      </c>
      <c r="K900">
        <f t="shared" si="291"/>
        <v>9.6165716160746586E+17</v>
      </c>
      <c r="L900" s="13">
        <f t="shared" si="282"/>
        <v>9785134888.0364971</v>
      </c>
      <c r="M900" s="2">
        <f t="shared" si="292"/>
        <v>735380.71056488331</v>
      </c>
      <c r="N900" s="2">
        <f t="shared" si="293"/>
        <v>6.2755253612040408E+20</v>
      </c>
      <c r="O900" s="2">
        <f t="shared" si="294"/>
        <v>1.9844953655555551E+18</v>
      </c>
      <c r="P900" s="2">
        <f t="shared" si="288"/>
        <v>1.3816563525141453E+21</v>
      </c>
      <c r="Q900" s="2">
        <f t="shared" si="283"/>
        <v>3.9629796296547815E+21</v>
      </c>
    </row>
    <row r="901" spans="1:17" x14ac:dyDescent="0.2">
      <c r="A901">
        <f t="shared" si="296"/>
        <v>190</v>
      </c>
      <c r="B901">
        <f t="shared" si="295"/>
        <v>190000</v>
      </c>
      <c r="C901" s="1">
        <f t="shared" si="280"/>
        <v>6150870000</v>
      </c>
      <c r="D901">
        <f t="shared" si="284"/>
        <v>1568</v>
      </c>
      <c r="E901" s="2">
        <f t="shared" si="281"/>
        <v>540000</v>
      </c>
      <c r="F901" s="2">
        <f t="shared" si="285"/>
        <v>616112.17999999993</v>
      </c>
      <c r="G901" s="2">
        <f t="shared" si="286"/>
        <v>13036.979199999998</v>
      </c>
      <c r="H901" s="2">
        <f t="shared" si="287"/>
        <v>45629.427199999998</v>
      </c>
      <c r="I901" s="2">
        <f t="shared" si="289"/>
        <v>41.420638302468113</v>
      </c>
      <c r="J901" s="2">
        <f t="shared" si="290"/>
        <v>13.502518392341335</v>
      </c>
      <c r="K901">
        <f t="shared" si="291"/>
        <v>9.7443898711033293E+17</v>
      </c>
      <c r="L901" s="13">
        <f t="shared" si="282"/>
        <v>9857177663.8111229</v>
      </c>
      <c r="M901" s="2">
        <f t="shared" si="292"/>
        <v>731255.64147886389</v>
      </c>
      <c r="N901" s="2">
        <f t="shared" si="293"/>
        <v>6.3589362412016973E+20</v>
      </c>
      <c r="O901" s="2">
        <f t="shared" si="294"/>
        <v>2.0108722017987121E+18</v>
      </c>
      <c r="P901" s="2">
        <f t="shared" si="288"/>
        <v>1.3739060432860443E+21</v>
      </c>
      <c r="Q901" s="2">
        <f t="shared" si="283"/>
        <v>3.9921569538435045E+21</v>
      </c>
    </row>
    <row r="902" spans="1:17" x14ac:dyDescent="0.2">
      <c r="A902">
        <f t="shared" si="296"/>
        <v>189</v>
      </c>
      <c r="B902">
        <f t="shared" si="295"/>
        <v>189000</v>
      </c>
      <c r="C902" s="1">
        <f t="shared" si="280"/>
        <v>6118497000</v>
      </c>
      <c r="D902">
        <f t="shared" si="284"/>
        <v>1567.5</v>
      </c>
      <c r="E902" s="2">
        <f t="shared" si="281"/>
        <v>540000</v>
      </c>
      <c r="F902" s="2">
        <f t="shared" si="285"/>
        <v>615658.95799999998</v>
      </c>
      <c r="G902" s="2">
        <f t="shared" si="286"/>
        <v>13032.821999999998</v>
      </c>
      <c r="H902" s="2">
        <f t="shared" si="287"/>
        <v>45614.876999999993</v>
      </c>
      <c r="I902" s="2">
        <f t="shared" si="289"/>
        <v>41.433850627285487</v>
      </c>
      <c r="J902" s="2">
        <f t="shared" si="290"/>
        <v>13.496889578371549</v>
      </c>
      <c r="K902">
        <f t="shared" si="291"/>
        <v>9.8739901906799616E+17</v>
      </c>
      <c r="L902" s="13">
        <f t="shared" si="282"/>
        <v>9929797321.2753696</v>
      </c>
      <c r="M902" s="2">
        <f t="shared" si="292"/>
        <v>727151.10218985903</v>
      </c>
      <c r="N902" s="2">
        <f t="shared" si="293"/>
        <v>6.4435100503296626E+20</v>
      </c>
      <c r="O902" s="2">
        <f t="shared" si="294"/>
        <v>2.037616788522783E+18</v>
      </c>
      <c r="P902" s="2">
        <f t="shared" si="288"/>
        <v>1.3661943060847227E+21</v>
      </c>
      <c r="Q902" s="2">
        <f t="shared" si="283"/>
        <v>4.0215679151165245E+21</v>
      </c>
    </row>
    <row r="903" spans="1:17" x14ac:dyDescent="0.2">
      <c r="A903">
        <f t="shared" si="296"/>
        <v>188</v>
      </c>
      <c r="B903">
        <f t="shared" si="295"/>
        <v>188000</v>
      </c>
      <c r="C903" s="1">
        <f t="shared" si="280"/>
        <v>6086124000</v>
      </c>
      <c r="D903">
        <f t="shared" si="284"/>
        <v>1567</v>
      </c>
      <c r="E903" s="2">
        <f t="shared" si="281"/>
        <v>540000</v>
      </c>
      <c r="F903" s="2">
        <f t="shared" si="285"/>
        <v>615205.73600000003</v>
      </c>
      <c r="G903" s="2">
        <f t="shared" si="286"/>
        <v>13028.664799999999</v>
      </c>
      <c r="H903" s="2">
        <f t="shared" si="287"/>
        <v>45600.326799999995</v>
      </c>
      <c r="I903" s="2">
        <f t="shared" si="289"/>
        <v>41.447071383707723</v>
      </c>
      <c r="J903" s="2">
        <f t="shared" si="290"/>
        <v>13.491257172306057</v>
      </c>
      <c r="K903">
        <f t="shared" si="291"/>
        <v>1.0005398554844477E+18</v>
      </c>
      <c r="L903" s="13">
        <f t="shared" si="282"/>
        <v>10002998837.421946</v>
      </c>
      <c r="M903" s="2">
        <f t="shared" si="292"/>
        <v>723067.00435704493</v>
      </c>
      <c r="N903" s="2">
        <f t="shared" si="293"/>
        <v>6.5292637424885498E+20</v>
      </c>
      <c r="O903" s="2">
        <f t="shared" si="294"/>
        <v>2.0647344870218831E+18</v>
      </c>
      <c r="P903" s="2">
        <f t="shared" si="288"/>
        <v>1.3585209749326691E+21</v>
      </c>
      <c r="Q903" s="2">
        <f t="shared" si="283"/>
        <v>4.0512145291558881E+21</v>
      </c>
    </row>
    <row r="904" spans="1:17" x14ac:dyDescent="0.2">
      <c r="A904">
        <f t="shared" si="296"/>
        <v>187</v>
      </c>
      <c r="B904">
        <f t="shared" si="295"/>
        <v>187000</v>
      </c>
      <c r="C904" s="1">
        <f t="shared" si="280"/>
        <v>6053751000</v>
      </c>
      <c r="D904">
        <f t="shared" si="284"/>
        <v>1566.5</v>
      </c>
      <c r="E904" s="2">
        <f t="shared" si="281"/>
        <v>540000</v>
      </c>
      <c r="F904" s="2">
        <f t="shared" si="285"/>
        <v>614752.51399999997</v>
      </c>
      <c r="G904" s="2">
        <f t="shared" si="286"/>
        <v>13024.507599999999</v>
      </c>
      <c r="H904" s="2">
        <f t="shared" si="287"/>
        <v>45585.776599999997</v>
      </c>
      <c r="I904" s="2">
        <f t="shared" si="289"/>
        <v>41.460300579808489</v>
      </c>
      <c r="J904" s="2">
        <f t="shared" si="290"/>
        <v>13.485621170705251</v>
      </c>
      <c r="K904">
        <f t="shared" si="291"/>
        <v>1.0138641338603131E+18</v>
      </c>
      <c r="L904" s="13">
        <f t="shared" si="282"/>
        <v>10076787235.169767</v>
      </c>
      <c r="M904" s="2">
        <f t="shared" si="292"/>
        <v>719003.25995487662</v>
      </c>
      <c r="N904" s="2">
        <f t="shared" si="293"/>
        <v>6.6162145293237617E+20</v>
      </c>
      <c r="O904" s="2">
        <f t="shared" si="294"/>
        <v>2.0922307400961884E+18</v>
      </c>
      <c r="P904" s="2">
        <f t="shared" si="288"/>
        <v>1.3508858844447276E+21</v>
      </c>
      <c r="Q904" s="2">
        <f t="shared" si="283"/>
        <v>4.081098830243756E+21</v>
      </c>
    </row>
    <row r="905" spans="1:17" x14ac:dyDescent="0.2">
      <c r="A905">
        <f t="shared" si="296"/>
        <v>186</v>
      </c>
      <c r="B905">
        <f t="shared" si="295"/>
        <v>186000</v>
      </c>
      <c r="C905" s="1">
        <f t="shared" si="280"/>
        <v>6021378000</v>
      </c>
      <c r="D905">
        <f t="shared" si="284"/>
        <v>1566</v>
      </c>
      <c r="E905" s="2">
        <f t="shared" si="281"/>
        <v>540000</v>
      </c>
      <c r="F905" s="2">
        <f t="shared" si="285"/>
        <v>614299.29200000002</v>
      </c>
      <c r="G905" s="2">
        <f t="shared" si="286"/>
        <v>13020.350399999999</v>
      </c>
      <c r="H905" s="2">
        <f t="shared" si="287"/>
        <v>45571.226399999992</v>
      </c>
      <c r="I905" s="2">
        <f t="shared" si="289"/>
        <v>41.473538223671774</v>
      </c>
      <c r="J905" s="2">
        <f t="shared" si="290"/>
        <v>13.479981570125137</v>
      </c>
      <c r="K905">
        <f t="shared" si="291"/>
        <v>1.0273745318175365E+18</v>
      </c>
      <c r="L905" s="13">
        <f t="shared" si="282"/>
        <v>10151167583.814285</v>
      </c>
      <c r="M905" s="2">
        <f t="shared" si="292"/>
        <v>714959.78127222287</v>
      </c>
      <c r="N905" s="2">
        <f t="shared" si="293"/>
        <v>6.704379884302028E+20</v>
      </c>
      <c r="O905" s="2">
        <f t="shared" si="294"/>
        <v>2.120111073341047E+18</v>
      </c>
      <c r="P905" s="2">
        <f t="shared" si="288"/>
        <v>1.3432888698264727E+21</v>
      </c>
      <c r="Q905" s="2">
        <f t="shared" si="283"/>
        <v>4.1112228714447855E+21</v>
      </c>
    </row>
    <row r="906" spans="1:17" x14ac:dyDescent="0.2">
      <c r="A906">
        <f t="shared" si="296"/>
        <v>185</v>
      </c>
      <c r="B906">
        <f t="shared" si="295"/>
        <v>185000</v>
      </c>
      <c r="C906" s="1">
        <f t="shared" si="280"/>
        <v>5989005000</v>
      </c>
      <c r="D906">
        <f t="shared" si="284"/>
        <v>1565.5</v>
      </c>
      <c r="E906" s="2">
        <f t="shared" si="281"/>
        <v>540000</v>
      </c>
      <c r="F906" s="2">
        <f t="shared" si="285"/>
        <v>613846.06999999995</v>
      </c>
      <c r="G906" s="2">
        <f t="shared" si="286"/>
        <v>13016.193199999998</v>
      </c>
      <c r="H906" s="2">
        <f t="shared" si="287"/>
        <v>45556.676199999994</v>
      </c>
      <c r="I906" s="2">
        <f t="shared" si="289"/>
        <v>41.486784323391888</v>
      </c>
      <c r="J906" s="2">
        <f t="shared" si="290"/>
        <v>13.47433836711731</v>
      </c>
      <c r="K906">
        <f t="shared" si="291"/>
        <v>1.041073767734304E+18</v>
      </c>
      <c r="L906" s="13">
        <f t="shared" si="282"/>
        <v>10226144999.48316</v>
      </c>
      <c r="M906" s="2">
        <f t="shared" si="292"/>
        <v>710936.48091149679</v>
      </c>
      <c r="N906" s="2">
        <f t="shared" si="293"/>
        <v>6.7937775468547487E+20</v>
      </c>
      <c r="O906" s="2">
        <f t="shared" si="294"/>
        <v>2.1483810964572211E+18</v>
      </c>
      <c r="P906" s="2">
        <f t="shared" si="288"/>
        <v>1.3357297668725762E+21</v>
      </c>
      <c r="Q906" s="2">
        <f t="shared" si="283"/>
        <v>4.1415887247906796E+21</v>
      </c>
    </row>
    <row r="907" spans="1:17" x14ac:dyDescent="0.2">
      <c r="A907">
        <f t="shared" si="296"/>
        <v>184</v>
      </c>
      <c r="B907">
        <f t="shared" si="295"/>
        <v>184000</v>
      </c>
      <c r="C907" s="1">
        <f t="shared" si="280"/>
        <v>5956632000</v>
      </c>
      <c r="D907">
        <f t="shared" si="284"/>
        <v>1565</v>
      </c>
      <c r="E907" s="2">
        <f t="shared" si="281"/>
        <v>540000</v>
      </c>
      <c r="F907" s="2">
        <f t="shared" si="285"/>
        <v>613392.848</v>
      </c>
      <c r="G907" s="2">
        <f t="shared" si="286"/>
        <v>13012.035999999998</v>
      </c>
      <c r="H907" s="2">
        <f t="shared" si="287"/>
        <v>45542.125999999997</v>
      </c>
      <c r="I907" s="2">
        <f t="shared" si="289"/>
        <v>41.50003888707348</v>
      </c>
      <c r="J907" s="2">
        <f t="shared" si="290"/>
        <v>13.468691558228969</v>
      </c>
      <c r="K907">
        <f t="shared" si="291"/>
        <v>1.0549646013904032E+18</v>
      </c>
      <c r="L907" s="13">
        <f t="shared" si="282"/>
        <v>10301724645.595991</v>
      </c>
      <c r="M907" s="2">
        <f t="shared" si="292"/>
        <v>706933.27178780863</v>
      </c>
      <c r="N907" s="2">
        <f t="shared" si="293"/>
        <v>6.8844255265894433E+20</v>
      </c>
      <c r="O907" s="2">
        <f t="shared" si="294"/>
        <v>2.1770465045826629E+18</v>
      </c>
      <c r="P907" s="2">
        <f t="shared" si="288"/>
        <v>1.3282084119652144E+21</v>
      </c>
      <c r="Q907" s="2">
        <f t="shared" si="283"/>
        <v>4.1721984814663766E+21</v>
      </c>
    </row>
    <row r="908" spans="1:17" x14ac:dyDescent="0.2">
      <c r="A908">
        <f t="shared" si="296"/>
        <v>183</v>
      </c>
      <c r="B908">
        <f t="shared" si="295"/>
        <v>183000</v>
      </c>
      <c r="C908" s="1">
        <f t="shared" si="280"/>
        <v>5924259000</v>
      </c>
      <c r="D908">
        <f t="shared" si="284"/>
        <v>1564.5</v>
      </c>
      <c r="E908" s="2">
        <f t="shared" si="281"/>
        <v>540000</v>
      </c>
      <c r="F908" s="2">
        <f t="shared" si="285"/>
        <v>612939.62599999993</v>
      </c>
      <c r="G908" s="2">
        <f t="shared" si="286"/>
        <v>13007.878799999999</v>
      </c>
      <c r="H908" s="2">
        <f t="shared" si="287"/>
        <v>45527.575799999999</v>
      </c>
      <c r="I908" s="2">
        <f t="shared" si="289"/>
        <v>41.513301922831573</v>
      </c>
      <c r="J908" s="2">
        <f t="shared" si="290"/>
        <v>13.46304114000289</v>
      </c>
      <c r="K908">
        <f t="shared" si="291"/>
        <v>1.0690498346232145E+18</v>
      </c>
      <c r="L908" s="13">
        <f t="shared" si="282"/>
        <v>10377911733.329332</v>
      </c>
      <c r="M908" s="2">
        <f t="shared" si="292"/>
        <v>702950.06712809834</v>
      </c>
      <c r="N908" s="2">
        <f t="shared" si="293"/>
        <v>6.9763421075705784E+20</v>
      </c>
      <c r="O908" s="2">
        <f t="shared" si="294"/>
        <v>2.2061130796462328E+18</v>
      </c>
      <c r="P908" s="2">
        <f t="shared" si="288"/>
        <v>1.3207246420724398E+21</v>
      </c>
      <c r="Q908" s="2">
        <f t="shared" si="283"/>
        <v>4.2030542519983795E+21</v>
      </c>
    </row>
    <row r="909" spans="1:17" x14ac:dyDescent="0.2">
      <c r="A909">
        <f t="shared" si="296"/>
        <v>182</v>
      </c>
      <c r="B909">
        <f t="shared" si="295"/>
        <v>182000</v>
      </c>
      <c r="C909" s="1">
        <f t="shared" si="280"/>
        <v>5891886000</v>
      </c>
      <c r="D909">
        <f t="shared" si="284"/>
        <v>1564</v>
      </c>
      <c r="E909" s="2">
        <f t="shared" si="281"/>
        <v>540000</v>
      </c>
      <c r="F909" s="2">
        <f t="shared" si="285"/>
        <v>612486.40399999998</v>
      </c>
      <c r="G909" s="2">
        <f t="shared" si="286"/>
        <v>13003.721599999999</v>
      </c>
      <c r="H909" s="2">
        <f t="shared" si="287"/>
        <v>45513.025599999994</v>
      </c>
      <c r="I909" s="2">
        <f t="shared" si="289"/>
        <v>41.526573438791559</v>
      </c>
      <c r="J909" s="2">
        <f t="shared" si="290"/>
        <v>13.457387108977438</v>
      </c>
      <c r="K909">
        <f t="shared" si="291"/>
        <v>1.083332311994448E+18</v>
      </c>
      <c r="L909" s="13">
        <f t="shared" si="282"/>
        <v>10454711522.086214</v>
      </c>
      <c r="M909" s="2">
        <f t="shared" si="292"/>
        <v>698986.78047028754</v>
      </c>
      <c r="N909" s="2">
        <f t="shared" si="293"/>
        <v>7.0695458526705235E+20</v>
      </c>
      <c r="O909" s="2">
        <f t="shared" si="294"/>
        <v>2.2355866917435912E+18</v>
      </c>
      <c r="P909" s="2">
        <f t="shared" si="288"/>
        <v>1.3132782947465864E+21</v>
      </c>
      <c r="Q909" s="2">
        <f t="shared" si="283"/>
        <v>4.2341581664449169E+21</v>
      </c>
    </row>
    <row r="910" spans="1:17" x14ac:dyDescent="0.2">
      <c r="A910">
        <f t="shared" si="296"/>
        <v>181</v>
      </c>
      <c r="B910">
        <f t="shared" si="295"/>
        <v>181000</v>
      </c>
      <c r="C910" s="1">
        <f t="shared" si="280"/>
        <v>5859513000</v>
      </c>
      <c r="D910">
        <f t="shared" si="284"/>
        <v>1563.5</v>
      </c>
      <c r="E910" s="2">
        <f t="shared" si="281"/>
        <v>540000</v>
      </c>
      <c r="F910" s="2">
        <f t="shared" si="285"/>
        <v>612033.18200000003</v>
      </c>
      <c r="G910" s="2">
        <f t="shared" si="286"/>
        <v>12999.564399999999</v>
      </c>
      <c r="H910" s="2">
        <f t="shared" si="287"/>
        <v>45498.475399999996</v>
      </c>
      <c r="I910" s="2">
        <f t="shared" si="289"/>
        <v>41.539853443089221</v>
      </c>
      <c r="J910" s="2">
        <f t="shared" si="290"/>
        <v>13.451729461686536</v>
      </c>
      <c r="K910">
        <f t="shared" si="291"/>
        <v>1.0978149214678903E+18</v>
      </c>
      <c r="L910" s="13">
        <f t="shared" si="282"/>
        <v>10532129319.970844</v>
      </c>
      <c r="M910" s="2">
        <f t="shared" si="292"/>
        <v>695043.32566241187</v>
      </c>
      <c r="N910" s="2">
        <f t="shared" si="293"/>
        <v>7.1640556079923475E+20</v>
      </c>
      <c r="O910" s="2">
        <f t="shared" si="294"/>
        <v>2.2654733005358093E+18</v>
      </c>
      <c r="P910" s="2">
        <f t="shared" si="288"/>
        <v>1.3058692081226408E+21</v>
      </c>
      <c r="Q910" s="2">
        <f t="shared" si="283"/>
        <v>4.2655123745881918E+21</v>
      </c>
    </row>
    <row r="911" spans="1:17" x14ac:dyDescent="0.2">
      <c r="A911">
        <f t="shared" si="296"/>
        <v>180</v>
      </c>
      <c r="B911">
        <f t="shared" si="295"/>
        <v>180000</v>
      </c>
      <c r="C911" s="1">
        <f t="shared" si="280"/>
        <v>5827140000</v>
      </c>
      <c r="D911">
        <f t="shared" si="284"/>
        <v>1563</v>
      </c>
      <c r="E911" s="2">
        <f t="shared" si="281"/>
        <v>540000</v>
      </c>
      <c r="F911" s="2">
        <f t="shared" si="285"/>
        <v>611579.96</v>
      </c>
      <c r="G911" s="2">
        <f t="shared" si="286"/>
        <v>12995.407199999998</v>
      </c>
      <c r="H911" s="2">
        <f t="shared" si="287"/>
        <v>45483.925199999998</v>
      </c>
      <c r="I911" s="2">
        <f t="shared" si="289"/>
        <v>41.553141943870763</v>
      </c>
      <c r="J911" s="2">
        <f t="shared" si="290"/>
        <v>13.446068194659681</v>
      </c>
      <c r="K911">
        <f t="shared" si="291"/>
        <v>1.1125005950983059E+18</v>
      </c>
      <c r="L911" s="13">
        <f t="shared" si="282"/>
        <v>10610170484.267994</v>
      </c>
      <c r="M911" s="2">
        <f t="shared" si="292"/>
        <v>691119.61686177971</v>
      </c>
      <c r="N911" s="2">
        <f t="shared" si="293"/>
        <v>7.2598905073654117E+20</v>
      </c>
      <c r="O911" s="2">
        <f t="shared" si="294"/>
        <v>2.2957789566710019E+18</v>
      </c>
      <c r="P911" s="2">
        <f t="shared" si="288"/>
        <v>1.2984972209166607E+21</v>
      </c>
      <c r="Q911" s="2">
        <f t="shared" si="283"/>
        <v>4.2971190461285374E+21</v>
      </c>
    </row>
    <row r="912" spans="1:17" x14ac:dyDescent="0.2">
      <c r="A912">
        <f t="shared" si="296"/>
        <v>179</v>
      </c>
      <c r="B912">
        <f t="shared" si="295"/>
        <v>179000</v>
      </c>
      <c r="C912" s="1">
        <f t="shared" si="280"/>
        <v>5794767000</v>
      </c>
      <c r="D912">
        <f t="shared" si="284"/>
        <v>1562.5</v>
      </c>
      <c r="E912" s="2">
        <f t="shared" si="281"/>
        <v>540000</v>
      </c>
      <c r="F912" s="2">
        <f t="shared" si="285"/>
        <v>611126.73800000001</v>
      </c>
      <c r="G912" s="2">
        <f t="shared" si="286"/>
        <v>12991.249999999998</v>
      </c>
      <c r="H912" s="2">
        <f t="shared" si="287"/>
        <v>45469.374999999993</v>
      </c>
      <c r="I912" s="2">
        <f t="shared" si="289"/>
        <v>41.566438949292802</v>
      </c>
      <c r="J912" s="2">
        <f t="shared" si="290"/>
        <v>13.440403304421935</v>
      </c>
      <c r="K912">
        <f t="shared" si="291"/>
        <v>1.1273923097316646E+18</v>
      </c>
      <c r="L912" s="13">
        <f t="shared" si="282"/>
        <v>10688840421.927269</v>
      </c>
      <c r="M912" s="2">
        <f t="shared" si="292"/>
        <v>687215.56853412371</v>
      </c>
      <c r="N912" s="2">
        <f t="shared" si="293"/>
        <v>7.3570699769148749E+20</v>
      </c>
      <c r="O912" s="2">
        <f t="shared" si="294"/>
        <v>2.3265098032293299E+18</v>
      </c>
      <c r="P912" s="2">
        <f t="shared" si="288"/>
        <v>1.2911621724241802E+21</v>
      </c>
      <c r="Q912" s="2">
        <f t="shared" si="283"/>
        <v>4.3289803708805441E+21</v>
      </c>
    </row>
    <row r="913" spans="1:17" x14ac:dyDescent="0.2">
      <c r="A913">
        <f t="shared" si="296"/>
        <v>178</v>
      </c>
      <c r="B913">
        <f t="shared" si="295"/>
        <v>178000</v>
      </c>
      <c r="C913" s="1">
        <f t="shared" si="280"/>
        <v>5762394000</v>
      </c>
      <c r="D913">
        <f t="shared" si="284"/>
        <v>1562</v>
      </c>
      <c r="E913" s="2">
        <f t="shared" si="281"/>
        <v>540000</v>
      </c>
      <c r="F913" s="2">
        <f t="shared" si="285"/>
        <v>610673.51600000006</v>
      </c>
      <c r="G913" s="2">
        <f t="shared" si="286"/>
        <v>12987.092799999999</v>
      </c>
      <c r="H913" s="2">
        <f t="shared" si="287"/>
        <v>45454.824799999995</v>
      </c>
      <c r="I913" s="2">
        <f t="shared" si="289"/>
        <v>41.579744467522403</v>
      </c>
      <c r="J913" s="2">
        <f t="shared" si="290"/>
        <v>13.434734787493893</v>
      </c>
      <c r="K913">
        <f t="shared" si="291"/>
        <v>1.1424930877169466E+18</v>
      </c>
      <c r="L913" s="13">
        <f t="shared" si="282"/>
        <v>10768144590.053089</v>
      </c>
      <c r="M913" s="2">
        <f t="shared" si="292"/>
        <v>683331.09545272915</v>
      </c>
      <c r="N913" s="2">
        <f t="shared" si="293"/>
        <v>7.4556137397067448E+20</v>
      </c>
      <c r="O913" s="2">
        <f t="shared" si="294"/>
        <v>2.3576720771918956E+18</v>
      </c>
      <c r="P913" s="2">
        <f t="shared" si="288"/>
        <v>1.2838639025185741E+21</v>
      </c>
      <c r="Q913" s="2">
        <f t="shared" si="283"/>
        <v>4.3610985589715013E+21</v>
      </c>
    </row>
    <row r="914" spans="1:17" x14ac:dyDescent="0.2">
      <c r="A914">
        <f t="shared" si="296"/>
        <v>177</v>
      </c>
      <c r="B914">
        <f t="shared" si="295"/>
        <v>177000</v>
      </c>
      <c r="C914" s="1">
        <f t="shared" si="280"/>
        <v>5730021000</v>
      </c>
      <c r="D914">
        <f t="shared" si="284"/>
        <v>1561.5</v>
      </c>
      <c r="E914" s="2">
        <f t="shared" si="281"/>
        <v>540000</v>
      </c>
      <c r="F914" s="2">
        <f t="shared" si="285"/>
        <v>610220.29399999999</v>
      </c>
      <c r="G914" s="2">
        <f t="shared" si="286"/>
        <v>12982.935599999999</v>
      </c>
      <c r="H914" s="2">
        <f t="shared" si="287"/>
        <v>45440.274599999997</v>
      </c>
      <c r="I914" s="2">
        <f t="shared" si="289"/>
        <v>41.593058506737108</v>
      </c>
      <c r="J914" s="2">
        <f t="shared" si="290"/>
        <v>13.429062640391702</v>
      </c>
      <c r="K914">
        <f t="shared" si="291"/>
        <v>1.157805997629697E+18</v>
      </c>
      <c r="L914" s="13">
        <f t="shared" si="282"/>
        <v>10848088496.398933</v>
      </c>
      <c r="M914" s="2">
        <f t="shared" si="292"/>
        <v>679466.11269760423</v>
      </c>
      <c r="N914" s="2">
        <f t="shared" si="293"/>
        <v>7.5555418204696098E+20</v>
      </c>
      <c r="O914" s="2">
        <f t="shared" si="294"/>
        <v>2.3892721109338865E+18</v>
      </c>
      <c r="P914" s="2">
        <f t="shared" si="288"/>
        <v>1.2766022516494969E+21</v>
      </c>
      <c r="Q914" s="2">
        <f t="shared" si="283"/>
        <v>4.3934758410415678E+21</v>
      </c>
    </row>
    <row r="915" spans="1:17" x14ac:dyDescent="0.2">
      <c r="A915">
        <f t="shared" si="296"/>
        <v>176</v>
      </c>
      <c r="B915">
        <f t="shared" si="295"/>
        <v>176000</v>
      </c>
      <c r="C915" s="1">
        <f t="shared" si="280"/>
        <v>5697648000</v>
      </c>
      <c r="D915">
        <f t="shared" si="284"/>
        <v>1561</v>
      </c>
      <c r="E915" s="2">
        <f t="shared" si="281"/>
        <v>540000</v>
      </c>
      <c r="F915" s="2">
        <f t="shared" si="285"/>
        <v>609767.07200000004</v>
      </c>
      <c r="G915" s="2">
        <f t="shared" si="286"/>
        <v>12978.778399999999</v>
      </c>
      <c r="H915" s="2">
        <f t="shared" si="287"/>
        <v>45425.724399999992</v>
      </c>
      <c r="I915" s="2">
        <f t="shared" si="289"/>
        <v>41.606381075124915</v>
      </c>
      <c r="J915" s="2">
        <f t="shared" si="290"/>
        <v>13.423386859627056</v>
      </c>
      <c r="K915">
        <f t="shared" si="291"/>
        <v>1.1733341550074519E+18</v>
      </c>
      <c r="L915" s="13">
        <f t="shared" si="282"/>
        <v>10928677699.867327</v>
      </c>
      <c r="M915" s="2">
        <f t="shared" si="292"/>
        <v>675620.53565463331</v>
      </c>
      <c r="N915" s="2">
        <f t="shared" si="293"/>
        <v>7.6568745503938367E+20</v>
      </c>
      <c r="O915" s="2">
        <f t="shared" si="294"/>
        <v>2.4213163337422126E+18</v>
      </c>
      <c r="P915" s="2">
        <f t="shared" si="288"/>
        <v>1.2693770608412936E+21</v>
      </c>
      <c r="Q915" s="2">
        <f t="shared" si="283"/>
        <v>4.4261144684462672E+21</v>
      </c>
    </row>
    <row r="916" spans="1:17" x14ac:dyDescent="0.2">
      <c r="A916">
        <f t="shared" si="296"/>
        <v>175</v>
      </c>
      <c r="B916">
        <f t="shared" si="295"/>
        <v>175000</v>
      </c>
      <c r="C916" s="1">
        <f t="shared" si="280"/>
        <v>5665275000</v>
      </c>
      <c r="D916">
        <f t="shared" si="284"/>
        <v>1560.5</v>
      </c>
      <c r="E916" s="2">
        <f t="shared" si="281"/>
        <v>540000</v>
      </c>
      <c r="F916" s="2">
        <f t="shared" si="285"/>
        <v>609313.85</v>
      </c>
      <c r="G916" s="2">
        <f t="shared" si="286"/>
        <v>12974.621199999998</v>
      </c>
      <c r="H916" s="2">
        <f t="shared" si="287"/>
        <v>45411.174199999994</v>
      </c>
      <c r="I916" s="2">
        <f t="shared" si="289"/>
        <v>41.619712180884335</v>
      </c>
      <c r="J916" s="2">
        <f t="shared" si="290"/>
        <v>13.417707441707156</v>
      </c>
      <c r="K916">
        <f t="shared" si="291"/>
        <v>1.1890807230974154E+18</v>
      </c>
      <c r="L916" s="13">
        <f t="shared" si="282"/>
        <v>11009917811.014793</v>
      </c>
      <c r="M916" s="2">
        <f t="shared" si="292"/>
        <v>671794.28001470957</v>
      </c>
      <c r="N916" s="2">
        <f t="shared" si="293"/>
        <v>7.7596325720107214E+20</v>
      </c>
      <c r="O916" s="2">
        <f t="shared" si="294"/>
        <v>2.4538112733584297E+18</v>
      </c>
      <c r="P916" s="2">
        <f t="shared" si="288"/>
        <v>1.2621881716913692E+21</v>
      </c>
      <c r="Q916" s="2">
        <f t="shared" si="283"/>
        <v>4.4590167134609914E+21</v>
      </c>
    </row>
    <row r="917" spans="1:17" x14ac:dyDescent="0.2">
      <c r="A917">
        <f t="shared" si="296"/>
        <v>174</v>
      </c>
      <c r="B917">
        <f t="shared" si="295"/>
        <v>174000</v>
      </c>
      <c r="C917" s="1">
        <f t="shared" si="280"/>
        <v>5632902000</v>
      </c>
      <c r="D917">
        <f t="shared" si="284"/>
        <v>1560</v>
      </c>
      <c r="E917" s="2">
        <f t="shared" si="281"/>
        <v>540000</v>
      </c>
      <c r="F917" s="2">
        <f t="shared" si="285"/>
        <v>608860.62800000003</v>
      </c>
      <c r="G917" s="2">
        <f t="shared" si="286"/>
        <v>12970.463999999998</v>
      </c>
      <c r="H917" s="2">
        <f t="shared" si="287"/>
        <v>45396.623999999996</v>
      </c>
      <c r="I917" s="2">
        <f t="shared" si="289"/>
        <v>41.633051832224361</v>
      </c>
      <c r="J917" s="2">
        <f t="shared" si="290"/>
        <v>13.412024383134748</v>
      </c>
      <c r="K917">
        <f t="shared" si="291"/>
        <v>1.2050489136163776E+18</v>
      </c>
      <c r="L917" s="13">
        <f t="shared" si="282"/>
        <v>11091814492.562044</v>
      </c>
      <c r="M917" s="2">
        <f t="shared" si="292"/>
        <v>667987.26177292003</v>
      </c>
      <c r="N917" s="2">
        <f t="shared" si="293"/>
        <v>7.8638368441515128E+20</v>
      </c>
      <c r="O917" s="2">
        <f t="shared" si="294"/>
        <v>2.4867635575469225E+18</v>
      </c>
      <c r="P917" s="2">
        <f t="shared" si="288"/>
        <v>1.255035426368657E+21</v>
      </c>
      <c r="Q917" s="2">
        <f t="shared" si="283"/>
        <v>4.492184869487628E+21</v>
      </c>
    </row>
    <row r="918" spans="1:17" x14ac:dyDescent="0.2">
      <c r="A918">
        <f t="shared" si="296"/>
        <v>173</v>
      </c>
      <c r="B918">
        <f t="shared" si="295"/>
        <v>173000</v>
      </c>
      <c r="C918" s="1">
        <f t="shared" si="280"/>
        <v>5600529000</v>
      </c>
      <c r="D918">
        <f t="shared" si="284"/>
        <v>1559.5</v>
      </c>
      <c r="E918" s="2">
        <f t="shared" si="281"/>
        <v>540000</v>
      </c>
      <c r="F918" s="2">
        <f t="shared" si="285"/>
        <v>608407.40599999996</v>
      </c>
      <c r="G918" s="2">
        <f t="shared" si="286"/>
        <v>12966.306799999998</v>
      </c>
      <c r="H918" s="2">
        <f t="shared" si="287"/>
        <v>45382.073799999998</v>
      </c>
      <c r="I918" s="2">
        <f t="shared" si="289"/>
        <v>41.646400037364536</v>
      </c>
      <c r="J918" s="2">
        <f t="shared" si="290"/>
        <v>13.406337680408074</v>
      </c>
      <c r="K918">
        <f t="shared" si="291"/>
        <v>1.2212419875233229E+18</v>
      </c>
      <c r="L918" s="13">
        <f t="shared" si="282"/>
        <v>11174373459.90984</v>
      </c>
      <c r="M918" s="2">
        <f t="shared" si="292"/>
        <v>664199.39722767496</v>
      </c>
      <c r="N918" s="2">
        <f t="shared" si="293"/>
        <v>7.9695086469892551E+20</v>
      </c>
      <c r="O918" s="2">
        <f t="shared" si="294"/>
        <v>2.5201799156892733E+18</v>
      </c>
      <c r="P918" s="2">
        <f t="shared" si="288"/>
        <v>1.2479186676119841E+21</v>
      </c>
      <c r="Q918" s="2">
        <f t="shared" si="283"/>
        <v>4.5256212512634852E+21</v>
      </c>
    </row>
    <row r="919" spans="1:17" x14ac:dyDescent="0.2">
      <c r="A919">
        <f t="shared" si="296"/>
        <v>172</v>
      </c>
      <c r="B919">
        <f t="shared" si="295"/>
        <v>172000</v>
      </c>
      <c r="C919" s="1">
        <f t="shared" si="280"/>
        <v>5568156000</v>
      </c>
      <c r="D919">
        <f t="shared" si="284"/>
        <v>1559</v>
      </c>
      <c r="E919" s="2">
        <f t="shared" si="281"/>
        <v>540000</v>
      </c>
      <c r="F919" s="2">
        <f t="shared" si="285"/>
        <v>607954.18400000001</v>
      </c>
      <c r="G919" s="2">
        <f t="shared" si="286"/>
        <v>12962.149599999999</v>
      </c>
      <c r="H919" s="2">
        <f t="shared" si="287"/>
        <v>45367.523599999993</v>
      </c>
      <c r="I919" s="2">
        <f t="shared" si="289"/>
        <v>41.659756804534958</v>
      </c>
      <c r="J919" s="2">
        <f t="shared" si="290"/>
        <v>13.400647330020899</v>
      </c>
      <c r="K919">
        <f t="shared" si="291"/>
        <v>1.2376632558047386E+18</v>
      </c>
      <c r="L919" s="13">
        <f t="shared" si="282"/>
        <v>11257600481.659746</v>
      </c>
      <c r="M919" s="2">
        <f t="shared" si="292"/>
        <v>660430.60297988786</v>
      </c>
      <c r="N919" s="2">
        <f t="shared" si="293"/>
        <v>8.0766695871635076E+20</v>
      </c>
      <c r="O919" s="2">
        <f t="shared" si="294"/>
        <v>2.554067180404841E+18</v>
      </c>
      <c r="P919" s="2">
        <f t="shared" si="288"/>
        <v>1.2408377387285301E+21</v>
      </c>
      <c r="Q919" s="2">
        <f t="shared" si="283"/>
        <v>4.5593281950721974E+21</v>
      </c>
    </row>
    <row r="920" spans="1:17" x14ac:dyDescent="0.2">
      <c r="A920">
        <f t="shared" si="296"/>
        <v>171</v>
      </c>
      <c r="B920">
        <f t="shared" si="295"/>
        <v>171000</v>
      </c>
      <c r="C920" s="1">
        <f t="shared" si="280"/>
        <v>5535783000</v>
      </c>
      <c r="D920">
        <f t="shared" si="284"/>
        <v>1558.5</v>
      </c>
      <c r="E920" s="2">
        <f t="shared" si="281"/>
        <v>540000</v>
      </c>
      <c r="F920" s="2">
        <f t="shared" si="285"/>
        <v>607500.96200000006</v>
      </c>
      <c r="G920" s="2">
        <f t="shared" si="286"/>
        <v>12957.992399999999</v>
      </c>
      <c r="H920" s="2">
        <f t="shared" si="287"/>
        <v>45352.973399999995</v>
      </c>
      <c r="I920" s="2">
        <f t="shared" si="289"/>
        <v>41.673122141976258</v>
      </c>
      <c r="J920" s="2">
        <f t="shared" si="290"/>
        <v>13.394953328462476</v>
      </c>
      <c r="K920">
        <f t="shared" si="291"/>
        <v>1.2543160802729039E+18</v>
      </c>
      <c r="L920" s="13">
        <f t="shared" si="282"/>
        <v>11341501380.140778</v>
      </c>
      <c r="M920" s="2">
        <f t="shared" si="292"/>
        <v>656680.79593211715</v>
      </c>
      <c r="N920" s="2">
        <f t="shared" si="293"/>
        <v>8.1853416029897766E+20</v>
      </c>
      <c r="O920" s="2">
        <f t="shared" si="294"/>
        <v>2.5884322891981281E+18</v>
      </c>
      <c r="P920" s="2">
        <f t="shared" si="288"/>
        <v>1.2337924835922144E+21</v>
      </c>
      <c r="Q920" s="2">
        <f t="shared" si="283"/>
        <v>4.5933080589570152E+21</v>
      </c>
    </row>
    <row r="921" spans="1:17" x14ac:dyDescent="0.2">
      <c r="A921">
        <f t="shared" si="296"/>
        <v>170</v>
      </c>
      <c r="B921">
        <f t="shared" si="295"/>
        <v>170000</v>
      </c>
      <c r="C921" s="1">
        <f t="shared" si="280"/>
        <v>5503410000</v>
      </c>
      <c r="D921">
        <f t="shared" si="284"/>
        <v>1558</v>
      </c>
      <c r="E921" s="2">
        <f t="shared" si="281"/>
        <v>540000</v>
      </c>
      <c r="F921" s="2">
        <f t="shared" si="285"/>
        <v>607047.74</v>
      </c>
      <c r="G921" s="2">
        <f t="shared" si="286"/>
        <v>12953.8352</v>
      </c>
      <c r="H921" s="2">
        <f t="shared" si="287"/>
        <v>45338.423199999997</v>
      </c>
      <c r="I921" s="2">
        <f t="shared" si="289"/>
        <v>41.686496057939664</v>
      </c>
      <c r="J921" s="2">
        <f t="shared" si="290"/>
        <v>13.389255672217555</v>
      </c>
      <c r="K921">
        <f t="shared" si="291"/>
        <v>1.2712038743774917E+18</v>
      </c>
      <c r="L921" s="13">
        <f t="shared" si="282"/>
        <v>11426082031.941334</v>
      </c>
      <c r="M921" s="2">
        <f t="shared" si="292"/>
        <v>652949.89328773832</v>
      </c>
      <c r="N921" s="2">
        <f t="shared" si="293"/>
        <v>8.2955469697558092E+20</v>
      </c>
      <c r="O921" s="2">
        <f t="shared" si="294"/>
        <v>2.6232822861336172E+18</v>
      </c>
      <c r="P921" s="2">
        <f t="shared" si="288"/>
        <v>1.2267827466421412E+21</v>
      </c>
      <c r="Q921" s="2">
        <f t="shared" si="283"/>
        <v>4.6275632229362403E+21</v>
      </c>
    </row>
    <row r="922" spans="1:17" x14ac:dyDescent="0.2">
      <c r="A922">
        <f t="shared" si="296"/>
        <v>169</v>
      </c>
      <c r="B922">
        <f t="shared" si="295"/>
        <v>169000</v>
      </c>
      <c r="C922" s="1">
        <f t="shared" si="280"/>
        <v>5471037000</v>
      </c>
      <c r="D922">
        <f t="shared" si="284"/>
        <v>1557.5</v>
      </c>
      <c r="E922" s="2">
        <f t="shared" si="281"/>
        <v>540000</v>
      </c>
      <c r="F922" s="2">
        <f t="shared" si="285"/>
        <v>606594.51800000004</v>
      </c>
      <c r="G922" s="2">
        <f t="shared" si="286"/>
        <v>12949.677999999998</v>
      </c>
      <c r="H922" s="2">
        <f t="shared" si="287"/>
        <v>45323.872999999992</v>
      </c>
      <c r="I922" s="2">
        <f t="shared" si="289"/>
        <v>41.699878560686997</v>
      </c>
      <c r="J922" s="2">
        <f t="shared" si="290"/>
        <v>13.383554357766384</v>
      </c>
      <c r="K922">
        <f t="shared" si="291"/>
        <v>1.2883301040305492E+18</v>
      </c>
      <c r="L922" s="13">
        <f t="shared" si="282"/>
        <v>11511348368.446703</v>
      </c>
      <c r="M922" s="2">
        <f t="shared" si="292"/>
        <v>649237.81255011202</v>
      </c>
      <c r="N922" s="2">
        <f t="shared" si="293"/>
        <v>8.4073083051052119E+20</v>
      </c>
      <c r="O922" s="2">
        <f t="shared" si="294"/>
        <v>2.6586243235382175E+18</v>
      </c>
      <c r="P922" s="2">
        <f t="shared" si="288"/>
        <v>1.2198083728810356E+21</v>
      </c>
      <c r="Q922" s="2">
        <f t="shared" si="283"/>
        <v>4.6620960892209149E+21</v>
      </c>
    </row>
    <row r="923" spans="1:17" x14ac:dyDescent="0.2">
      <c r="A923">
        <f t="shared" si="296"/>
        <v>168</v>
      </c>
      <c r="B923">
        <f t="shared" si="295"/>
        <v>168000</v>
      </c>
      <c r="C923" s="1">
        <f t="shared" si="280"/>
        <v>5438664000</v>
      </c>
      <c r="D923">
        <f t="shared" si="284"/>
        <v>1557</v>
      </c>
      <c r="E923" s="2">
        <f t="shared" si="281"/>
        <v>540000</v>
      </c>
      <c r="F923" s="2">
        <f t="shared" si="285"/>
        <v>606141.29599999997</v>
      </c>
      <c r="G923" s="2">
        <f t="shared" si="286"/>
        <v>12945.520799999998</v>
      </c>
      <c r="H923" s="2">
        <f t="shared" si="287"/>
        <v>45309.322799999994</v>
      </c>
      <c r="I923" s="2">
        <f t="shared" si="289"/>
        <v>41.713269658490688</v>
      </c>
      <c r="J923" s="2">
        <f t="shared" si="290"/>
        <v>13.377849381584667</v>
      </c>
      <c r="K923">
        <f t="shared" si="291"/>
        <v>1.3056982884451809E+18</v>
      </c>
      <c r="L923" s="13">
        <f t="shared" si="282"/>
        <v>11597306376.3822</v>
      </c>
      <c r="M923" s="2">
        <f t="shared" si="292"/>
        <v>645544.47152172576</v>
      </c>
      <c r="N923" s="2">
        <f t="shared" si="293"/>
        <v>8.5206485745104742E+20</v>
      </c>
      <c r="O923" s="2">
        <f t="shared" si="294"/>
        <v>2.6944656637319895E+18</v>
      </c>
      <c r="P923" s="2">
        <f t="shared" si="288"/>
        <v>1.2128692078736326E+21</v>
      </c>
      <c r="Q923" s="2">
        <f t="shared" si="283"/>
        <v>4.6969090824347913E+21</v>
      </c>
    </row>
    <row r="924" spans="1:17" x14ac:dyDescent="0.2">
      <c r="A924">
        <f t="shared" si="296"/>
        <v>167</v>
      </c>
      <c r="B924">
        <f t="shared" si="295"/>
        <v>167000</v>
      </c>
      <c r="C924" s="1">
        <f t="shared" si="280"/>
        <v>5406291000</v>
      </c>
      <c r="D924">
        <f t="shared" si="284"/>
        <v>1556.5</v>
      </c>
      <c r="E924" s="2">
        <f t="shared" si="281"/>
        <v>540000</v>
      </c>
      <c r="F924" s="2">
        <f t="shared" si="285"/>
        <v>605688.07400000002</v>
      </c>
      <c r="G924" s="2">
        <f t="shared" si="286"/>
        <v>12941.363599999999</v>
      </c>
      <c r="H924" s="2">
        <f t="shared" si="287"/>
        <v>45294.772599999997</v>
      </c>
      <c r="I924" s="2">
        <f t="shared" si="289"/>
        <v>41.726669359633789</v>
      </c>
      <c r="J924" s="2">
        <f t="shared" si="290"/>
        <v>13.3721407401436</v>
      </c>
      <c r="K924">
        <f t="shared" si="291"/>
        <v>1.3233120009881452E+18</v>
      </c>
      <c r="L924" s="13">
        <f t="shared" si="282"/>
        <v>11683962098.362198</v>
      </c>
      <c r="M924" s="2">
        <f t="shared" si="292"/>
        <v>641869.78830338526</v>
      </c>
      <c r="N924" s="2">
        <f t="shared" si="293"/>
        <v>8.635591096836792E+20</v>
      </c>
      <c r="O924" s="2">
        <f t="shared" si="294"/>
        <v>2.7308136807875814E+18</v>
      </c>
      <c r="P924" s="2">
        <f t="shared" si="288"/>
        <v>1.2059650977451561E+21</v>
      </c>
      <c r="Q924" s="2">
        <f t="shared" si="283"/>
        <v>4.7320046498366903E+21</v>
      </c>
    </row>
    <row r="925" spans="1:17" x14ac:dyDescent="0.2">
      <c r="A925">
        <f t="shared" si="296"/>
        <v>166</v>
      </c>
      <c r="B925">
        <f t="shared" si="295"/>
        <v>166000</v>
      </c>
      <c r="C925" s="1">
        <f t="shared" si="280"/>
        <v>5373918000</v>
      </c>
      <c r="D925">
        <f t="shared" si="284"/>
        <v>1556</v>
      </c>
      <c r="E925" s="2">
        <f t="shared" si="281"/>
        <v>540000</v>
      </c>
      <c r="F925" s="2">
        <f t="shared" si="285"/>
        <v>605234.85199999996</v>
      </c>
      <c r="G925" s="2">
        <f t="shared" si="286"/>
        <v>12937.206399999999</v>
      </c>
      <c r="H925" s="2">
        <f t="shared" si="287"/>
        <v>45280.222399999999</v>
      </c>
      <c r="I925" s="2">
        <f t="shared" si="289"/>
        <v>41.740077672410024</v>
      </c>
      <c r="J925" s="2">
        <f t="shared" si="290"/>
        <v>13.366428429909831</v>
      </c>
      <c r="K925">
        <f t="shared" si="291"/>
        <v>1.341174870046656E+18</v>
      </c>
      <c r="L925" s="13">
        <f t="shared" si="282"/>
        <v>11771321633.444653</v>
      </c>
      <c r="M925" s="2">
        <f t="shared" si="292"/>
        <v>638213.68129336531</v>
      </c>
      <c r="N925" s="2">
        <f t="shared" si="293"/>
        <v>8.7521595499985948E+20</v>
      </c>
      <c r="O925" s="2">
        <f t="shared" si="294"/>
        <v>2.7676758623189765E+18</v>
      </c>
      <c r="P925" s="2">
        <f t="shared" si="288"/>
        <v>1.1990958891797245E+21</v>
      </c>
      <c r="Q925" s="2">
        <f t="shared" si="283"/>
        <v>4.7673852615450847E+21</v>
      </c>
    </row>
    <row r="926" spans="1:17" x14ac:dyDescent="0.2">
      <c r="A926">
        <f t="shared" si="296"/>
        <v>165</v>
      </c>
      <c r="B926">
        <f t="shared" si="295"/>
        <v>165000</v>
      </c>
      <c r="C926" s="1">
        <f t="shared" si="280"/>
        <v>5341545000</v>
      </c>
      <c r="D926">
        <f t="shared" si="284"/>
        <v>1555.5</v>
      </c>
      <c r="E926" s="2">
        <f t="shared" si="281"/>
        <v>540000</v>
      </c>
      <c r="F926" s="2">
        <f t="shared" si="285"/>
        <v>604781.63</v>
      </c>
      <c r="G926" s="2">
        <f t="shared" si="286"/>
        <v>12933.049199999999</v>
      </c>
      <c r="H926" s="2">
        <f t="shared" si="287"/>
        <v>45265.672199999994</v>
      </c>
      <c r="I926" s="2">
        <f t="shared" si="289"/>
        <v>41.753494605123748</v>
      </c>
      <c r="J926" s="2">
        <f t="shared" si="290"/>
        <v>13.360712447345476</v>
      </c>
      <c r="K926">
        <f t="shared" si="291"/>
        <v>1.3592905799094618E+18</v>
      </c>
      <c r="L926" s="13">
        <f t="shared" si="282"/>
        <v>11859391137.69166</v>
      </c>
      <c r="M926" s="2">
        <f t="shared" si="292"/>
        <v>634576.06918658665</v>
      </c>
      <c r="N926" s="2">
        <f t="shared" si="293"/>
        <v>8.8703779767092314E+20</v>
      </c>
      <c r="O926" s="2">
        <f t="shared" si="294"/>
        <v>2.8050598112997064E+18</v>
      </c>
      <c r="P926" s="2">
        <f t="shared" si="288"/>
        <v>1.1922614294188036E+21</v>
      </c>
      <c r="Q926" s="2">
        <f t="shared" si="283"/>
        <v>4.8030534107651218E+21</v>
      </c>
    </row>
    <row r="927" spans="1:17" x14ac:dyDescent="0.2">
      <c r="A927">
        <f t="shared" si="296"/>
        <v>164</v>
      </c>
      <c r="B927">
        <f t="shared" si="295"/>
        <v>164000</v>
      </c>
      <c r="C927" s="1">
        <f t="shared" si="280"/>
        <v>5309172000</v>
      </c>
      <c r="D927">
        <f t="shared" si="284"/>
        <v>1555</v>
      </c>
      <c r="E927" s="2">
        <f t="shared" si="281"/>
        <v>540000</v>
      </c>
      <c r="F927" s="2">
        <f t="shared" si="285"/>
        <v>604328.40800000005</v>
      </c>
      <c r="G927" s="2">
        <f t="shared" si="286"/>
        <v>12928.891999999998</v>
      </c>
      <c r="H927" s="2">
        <f t="shared" si="287"/>
        <v>45251.121999999996</v>
      </c>
      <c r="I927" s="2">
        <f t="shared" si="289"/>
        <v>41.766920166090031</v>
      </c>
      <c r="J927" s="2">
        <f t="shared" si="290"/>
        <v>13.354992788908087</v>
      </c>
      <c r="K927">
        <f t="shared" si="291"/>
        <v>1.377662871662742E+18</v>
      </c>
      <c r="L927" s="13">
        <f t="shared" si="282"/>
        <v>11948176824.735704</v>
      </c>
      <c r="M927" s="2">
        <f t="shared" si="292"/>
        <v>630956.87097377633</v>
      </c>
      <c r="N927" s="2">
        <f t="shared" si="293"/>
        <v>8.9902707903273684E+20</v>
      </c>
      <c r="O927" s="2">
        <f t="shared" si="294"/>
        <v>2.8429732479116426E+18</v>
      </c>
      <c r="P927" s="2">
        <f t="shared" si="288"/>
        <v>1.1854615662596297E+21</v>
      </c>
      <c r="Q927" s="2">
        <f t="shared" si="283"/>
        <v>4.8390116140179605E+21</v>
      </c>
    </row>
    <row r="928" spans="1:17" x14ac:dyDescent="0.2">
      <c r="A928">
        <f t="shared" si="296"/>
        <v>163</v>
      </c>
      <c r="B928">
        <f t="shared" si="295"/>
        <v>163000</v>
      </c>
      <c r="C928" s="1">
        <f t="shared" ref="C928:C991" si="297">$B$3*$B$1*B928</f>
        <v>5276799000</v>
      </c>
      <c r="D928">
        <f t="shared" si="284"/>
        <v>1554.5</v>
      </c>
      <c r="E928" s="2">
        <f t="shared" ref="E928:E991" si="298">+$B$19+$B$16*0</f>
        <v>540000</v>
      </c>
      <c r="F928" s="2">
        <f t="shared" si="285"/>
        <v>603875.18599999999</v>
      </c>
      <c r="G928" s="2">
        <f t="shared" si="286"/>
        <v>12924.734799999998</v>
      </c>
      <c r="H928" s="2">
        <f t="shared" si="287"/>
        <v>45236.571799999998</v>
      </c>
      <c r="I928" s="2">
        <f t="shared" si="289"/>
        <v>41.780354363634608</v>
      </c>
      <c r="J928" s="2">
        <f t="shared" si="290"/>
        <v>13.349269451050665</v>
      </c>
      <c r="K928">
        <f t="shared" si="291"/>
        <v>1.3962955441007224E+18</v>
      </c>
      <c r="L928" s="13">
        <f t="shared" ref="L928:L991" si="299">EXP((300*1000)/($B$17*D928))</f>
        <v>12037684966.352015</v>
      </c>
      <c r="M928" s="2">
        <f t="shared" si="292"/>
        <v>627356.00594064838</v>
      </c>
      <c r="N928" s="2">
        <f t="shared" si="293"/>
        <v>9.1118627807994184E+20</v>
      </c>
      <c r="O928" s="2">
        <f t="shared" si="294"/>
        <v>2.8814240114241597E+18</v>
      </c>
      <c r="P928" s="2">
        <f t="shared" si="288"/>
        <v>1.17869614805367E+21</v>
      </c>
      <c r="Q928" s="2">
        <f t="shared" ref="Q928:Q991" si="300">$B$12*L928</f>
        <v>4.8752624113725662E+21</v>
      </c>
    </row>
    <row r="929" spans="1:17" x14ac:dyDescent="0.2">
      <c r="A929">
        <f t="shared" si="296"/>
        <v>162</v>
      </c>
      <c r="B929">
        <f t="shared" si="295"/>
        <v>162000</v>
      </c>
      <c r="C929" s="1">
        <f t="shared" si="297"/>
        <v>5244426000</v>
      </c>
      <c r="D929">
        <f t="shared" si="284"/>
        <v>1554</v>
      </c>
      <c r="E929" s="2">
        <f t="shared" si="298"/>
        <v>540000</v>
      </c>
      <c r="F929" s="2">
        <f t="shared" si="285"/>
        <v>603421.96400000004</v>
      </c>
      <c r="G929" s="2">
        <f t="shared" si="286"/>
        <v>12920.577599999999</v>
      </c>
      <c r="H929" s="2">
        <f t="shared" si="287"/>
        <v>45222.021599999993</v>
      </c>
      <c r="I929" s="2">
        <f t="shared" si="289"/>
        <v>41.793797206093949</v>
      </c>
      <c r="J929" s="2">
        <f t="shared" si="290"/>
        <v>13.343542430221653</v>
      </c>
      <c r="K929">
        <f t="shared" si="291"/>
        <v>1.4151924546516106E+18</v>
      </c>
      <c r="L929" s="13">
        <f t="shared" si="299"/>
        <v>12127921893.036812</v>
      </c>
      <c r="M929" s="2">
        <f t="shared" si="292"/>
        <v>623773.39366707741</v>
      </c>
      <c r="N929" s="2">
        <f t="shared" si="293"/>
        <v>9.2351791207019643E+20</v>
      </c>
      <c r="O929" s="2">
        <f t="shared" si="294"/>
        <v>2.9204200621049144E+18</v>
      </c>
      <c r="P929" s="2">
        <f t="shared" si="288"/>
        <v>1.1719650237050694E+21</v>
      </c>
      <c r="Q929" s="2">
        <f t="shared" si="300"/>
        <v>4.9118083666799084E+21</v>
      </c>
    </row>
    <row r="930" spans="1:17" x14ac:dyDescent="0.2">
      <c r="A930">
        <f t="shared" si="296"/>
        <v>161</v>
      </c>
      <c r="B930">
        <f t="shared" si="295"/>
        <v>161000</v>
      </c>
      <c r="C930" s="1">
        <f t="shared" si="297"/>
        <v>5212053000</v>
      </c>
      <c r="D930">
        <f t="shared" si="284"/>
        <v>1553.5</v>
      </c>
      <c r="E930" s="2">
        <f t="shared" si="298"/>
        <v>540000</v>
      </c>
      <c r="F930" s="2">
        <f t="shared" si="285"/>
        <v>602968.74199999997</v>
      </c>
      <c r="G930" s="2">
        <f t="shared" si="286"/>
        <v>12916.420399999999</v>
      </c>
      <c r="H930" s="2">
        <f t="shared" si="287"/>
        <v>45207.471399999995</v>
      </c>
      <c r="I930" s="2">
        <f t="shared" si="289"/>
        <v>41.807248701815254</v>
      </c>
      <c r="J930" s="2">
        <f t="shared" si="290"/>
        <v>13.337811722864908</v>
      </c>
      <c r="K930">
        <f t="shared" si="291"/>
        <v>1.4343575203188429E+18</v>
      </c>
      <c r="L930" s="13">
        <f t="shared" si="299"/>
        <v>12218893994.591988</v>
      </c>
      <c r="M930" s="2">
        <f t="shared" si="292"/>
        <v>620208.95402626053</v>
      </c>
      <c r="N930" s="2">
        <f t="shared" si="293"/>
        <v>9.3602453713840859E+20</v>
      </c>
      <c r="O930" s="2">
        <f t="shared" si="294"/>
        <v>2.9599694831622236E+18</v>
      </c>
      <c r="P930" s="2">
        <f t="shared" si="288"/>
        <v>1.1652680426690766E+21</v>
      </c>
      <c r="Q930" s="2">
        <f t="shared" si="300"/>
        <v>4.9486520678097554E+21</v>
      </c>
    </row>
    <row r="931" spans="1:17" x14ac:dyDescent="0.2">
      <c r="A931">
        <f t="shared" si="296"/>
        <v>160</v>
      </c>
      <c r="B931">
        <f t="shared" si="295"/>
        <v>160000</v>
      </c>
      <c r="C931" s="1">
        <f t="shared" si="297"/>
        <v>5179680000</v>
      </c>
      <c r="D931">
        <f t="shared" si="284"/>
        <v>1553</v>
      </c>
      <c r="E931" s="2">
        <f t="shared" si="298"/>
        <v>540000</v>
      </c>
      <c r="F931" s="2">
        <f t="shared" si="285"/>
        <v>602515.52</v>
      </c>
      <c r="G931" s="2">
        <f t="shared" si="286"/>
        <v>12912.263199999999</v>
      </c>
      <c r="H931" s="2">
        <f t="shared" si="287"/>
        <v>45192.921199999997</v>
      </c>
      <c r="I931" s="2">
        <f t="shared" si="289"/>
        <v>41.820708859156468</v>
      </c>
      <c r="J931" s="2">
        <f t="shared" si="290"/>
        <v>13.332077325419718</v>
      </c>
      <c r="K931">
        <f t="shared" si="291"/>
        <v>1.4537947186380447E+18</v>
      </c>
      <c r="L931" s="13">
        <f t="shared" si="299"/>
        <v>12310607720.715258</v>
      </c>
      <c r="M931" s="2">
        <f t="shared" si="292"/>
        <v>616662.60718390904</v>
      </c>
      <c r="N931" s="2">
        <f t="shared" si="293"/>
        <v>9.4870874892122404E+20</v>
      </c>
      <c r="O931" s="2">
        <f t="shared" si="294"/>
        <v>3.0000804827198653E+18</v>
      </c>
      <c r="P931" s="2">
        <f t="shared" si="288"/>
        <v>1.1586050549505252E+21</v>
      </c>
      <c r="Q931" s="2">
        <f t="shared" si="300"/>
        <v>4.9857961268896795E+21</v>
      </c>
    </row>
    <row r="932" spans="1:17" x14ac:dyDescent="0.2">
      <c r="A932">
        <f t="shared" si="296"/>
        <v>159</v>
      </c>
      <c r="B932">
        <f t="shared" si="295"/>
        <v>159000</v>
      </c>
      <c r="C932" s="1">
        <f t="shared" si="297"/>
        <v>5147307000</v>
      </c>
      <c r="D932">
        <f t="shared" si="284"/>
        <v>1552.5</v>
      </c>
      <c r="E932" s="2">
        <f t="shared" si="298"/>
        <v>540000</v>
      </c>
      <c r="F932" s="2">
        <f t="shared" si="285"/>
        <v>602062.29799999995</v>
      </c>
      <c r="G932" s="2">
        <f t="shared" si="286"/>
        <v>12908.105999999998</v>
      </c>
      <c r="H932" s="2">
        <f t="shared" si="287"/>
        <v>45178.370999999992</v>
      </c>
      <c r="I932" s="2">
        <f t="shared" si="289"/>
        <v>41.834177686486314</v>
      </c>
      <c r="J932" s="2">
        <f t="shared" si="290"/>
        <v>13.326339234320779</v>
      </c>
      <c r="K932">
        <f t="shared" si="291"/>
        <v>1.4735080886499753E+18</v>
      </c>
      <c r="L932" s="13">
        <f t="shared" si="299"/>
        <v>12403069581.59725</v>
      </c>
      <c r="M932" s="2">
        <f t="shared" si="292"/>
        <v>613134.27359741449</v>
      </c>
      <c r="N932" s="2">
        <f t="shared" si="293"/>
        <v>9.6157318319194466E+20</v>
      </c>
      <c r="O932" s="2">
        <f t="shared" si="294"/>
        <v>3.0407613958248694E+18</v>
      </c>
      <c r="P932" s="2">
        <f t="shared" si="288"/>
        <v>1.1519759111022666E+21</v>
      </c>
      <c r="Q932" s="2">
        <f t="shared" si="300"/>
        <v>5.0232431805468865E+21</v>
      </c>
    </row>
    <row r="933" spans="1:17" x14ac:dyDescent="0.2">
      <c r="A933">
        <f t="shared" si="296"/>
        <v>158</v>
      </c>
      <c r="B933">
        <f t="shared" si="295"/>
        <v>158000</v>
      </c>
      <c r="C933" s="1">
        <f t="shared" si="297"/>
        <v>5114934000</v>
      </c>
      <c r="D933">
        <f t="shared" si="284"/>
        <v>1552</v>
      </c>
      <c r="E933" s="2">
        <f t="shared" si="298"/>
        <v>540000</v>
      </c>
      <c r="F933" s="2">
        <f t="shared" si="285"/>
        <v>601609.076</v>
      </c>
      <c r="G933" s="2">
        <f t="shared" si="286"/>
        <v>12903.948799999998</v>
      </c>
      <c r="H933" s="2">
        <f t="shared" si="287"/>
        <v>45163.820799999994</v>
      </c>
      <c r="I933" s="2">
        <f t="shared" si="289"/>
        <v>41.847655192184277</v>
      </c>
      <c r="J933" s="2">
        <f t="shared" si="290"/>
        <v>13.320597445998194</v>
      </c>
      <c r="K933">
        <f t="shared" si="291"/>
        <v>1.4935017318896317E+18</v>
      </c>
      <c r="L933" s="13">
        <f t="shared" si="299"/>
        <v>12496286148.524508</v>
      </c>
      <c r="M933" s="2">
        <f t="shared" si="292"/>
        <v>609623.8740150329</v>
      </c>
      <c r="N933" s="2">
        <f t="shared" si="293"/>
        <v>9.7462051650599164E+20</v>
      </c>
      <c r="O933" s="2">
        <f t="shared" si="294"/>
        <v>3.0820206864886508E+18</v>
      </c>
      <c r="P933" s="2">
        <f t="shared" si="288"/>
        <v>1.1453804622236377E+21</v>
      </c>
      <c r="Q933" s="2">
        <f t="shared" si="300"/>
        <v>5.0609958901524254E+21</v>
      </c>
    </row>
    <row r="934" spans="1:17" x14ac:dyDescent="0.2">
      <c r="A934">
        <f t="shared" si="296"/>
        <v>157</v>
      </c>
      <c r="B934">
        <f t="shared" si="295"/>
        <v>157000</v>
      </c>
      <c r="C934" s="1">
        <f t="shared" si="297"/>
        <v>5082561000</v>
      </c>
      <c r="D934">
        <f t="shared" si="284"/>
        <v>1551.5</v>
      </c>
      <c r="E934" s="2">
        <f t="shared" si="298"/>
        <v>540000</v>
      </c>
      <c r="F934" s="2">
        <f t="shared" si="285"/>
        <v>601155.85400000005</v>
      </c>
      <c r="G934" s="2">
        <f t="shared" si="286"/>
        <v>12899.791599999999</v>
      </c>
      <c r="H934" s="2">
        <f t="shared" si="287"/>
        <v>45149.270599999996</v>
      </c>
      <c r="I934" s="2">
        <f t="shared" si="289"/>
        <v>41.861141384640668</v>
      </c>
      <c r="J934" s="2">
        <f t="shared" si="290"/>
        <v>13.314851956877463</v>
      </c>
      <c r="K934">
        <f t="shared" si="291"/>
        <v>1.513779813391967E+18</v>
      </c>
      <c r="L934" s="13">
        <f t="shared" si="299"/>
        <v>12590264054.48876</v>
      </c>
      <c r="M934" s="2">
        <f t="shared" si="292"/>
        <v>606131.32947506127</v>
      </c>
      <c r="N934" s="2">
        <f t="shared" si="293"/>
        <v>9.8785346685721169E+20</v>
      </c>
      <c r="O934" s="2">
        <f t="shared" si="294"/>
        <v>3.123866949762431E+18</v>
      </c>
      <c r="P934" s="2">
        <f t="shared" si="288"/>
        <v>1.1388185599589133E+21</v>
      </c>
      <c r="Q934" s="2">
        <f t="shared" si="300"/>
        <v>5.0990569420679482E+21</v>
      </c>
    </row>
    <row r="935" spans="1:17" x14ac:dyDescent="0.2">
      <c r="A935">
        <f t="shared" si="296"/>
        <v>156</v>
      </c>
      <c r="B935">
        <f t="shared" si="295"/>
        <v>156000</v>
      </c>
      <c r="C935" s="1">
        <f t="shared" si="297"/>
        <v>5050188000</v>
      </c>
      <c r="D935">
        <f t="shared" si="284"/>
        <v>1551</v>
      </c>
      <c r="E935" s="2">
        <f t="shared" si="298"/>
        <v>540000</v>
      </c>
      <c r="F935" s="2">
        <f t="shared" si="285"/>
        <v>600702.63199999998</v>
      </c>
      <c r="G935" s="2">
        <f t="shared" si="286"/>
        <v>12895.634399999999</v>
      </c>
      <c r="H935" s="2">
        <f t="shared" si="287"/>
        <v>45134.720399999998</v>
      </c>
      <c r="I935" s="2">
        <f t="shared" si="289"/>
        <v>41.874636272256602</v>
      </c>
      <c r="J935" s="2">
        <f t="shared" si="290"/>
        <v>13.309102763379476</v>
      </c>
      <c r="K935">
        <f t="shared" si="291"/>
        <v>1.5343465627143002E+18</v>
      </c>
      <c r="L935" s="13">
        <f t="shared" si="299"/>
        <v>12685009994.803148</v>
      </c>
      <c r="M935" s="2">
        <f t="shared" si="292"/>
        <v>602656.56130502152</v>
      </c>
      <c r="N935" s="2">
        <f t="shared" si="293"/>
        <v>1.0012747943450748E+21</v>
      </c>
      <c r="O935" s="2">
        <f t="shared" si="294"/>
        <v>3.166308913847104E+18</v>
      </c>
      <c r="P935" s="2">
        <f t="shared" si="288"/>
        <v>1.132290056495773E+21</v>
      </c>
      <c r="Q935" s="2">
        <f t="shared" si="300"/>
        <v>5.1374290478952748E+21</v>
      </c>
    </row>
    <row r="936" spans="1:17" x14ac:dyDescent="0.2">
      <c r="A936">
        <f t="shared" si="296"/>
        <v>155</v>
      </c>
      <c r="B936">
        <f t="shared" si="295"/>
        <v>155000</v>
      </c>
      <c r="C936" s="1">
        <f t="shared" si="297"/>
        <v>5017815000</v>
      </c>
      <c r="D936">
        <f t="shared" si="284"/>
        <v>1550.5</v>
      </c>
      <c r="E936" s="2">
        <f t="shared" si="298"/>
        <v>540000</v>
      </c>
      <c r="F936" s="2">
        <f t="shared" si="285"/>
        <v>600249.41</v>
      </c>
      <c r="G936" s="2">
        <f t="shared" si="286"/>
        <v>12891.477199999999</v>
      </c>
      <c r="H936" s="2">
        <f t="shared" si="287"/>
        <v>45120.170199999993</v>
      </c>
      <c r="I936" s="2">
        <f t="shared" si="289"/>
        <v>41.888139863444046</v>
      </c>
      <c r="J936" s="2">
        <f t="shared" si="290"/>
        <v>13.303349861920514</v>
      </c>
      <c r="K936">
        <f t="shared" si="291"/>
        <v>1.5552062749758989E+18</v>
      </c>
      <c r="L936" s="13">
        <f t="shared" si="299"/>
        <v>12780530727.724121</v>
      </c>
      <c r="M936" s="2">
        <f t="shared" si="292"/>
        <v>599199.49112084834</v>
      </c>
      <c r="N936" s="2">
        <f t="shared" si="293"/>
        <v>1.0148873018530795E+21</v>
      </c>
      <c r="O936" s="2">
        <f t="shared" si="294"/>
        <v>3.2093554422385418E+18</v>
      </c>
      <c r="P936" s="2">
        <f t="shared" si="288"/>
        <v>1.1257948045637757E+21</v>
      </c>
      <c r="Q936" s="2">
        <f t="shared" si="300"/>
        <v>5.1761149447282685E+21</v>
      </c>
    </row>
    <row r="937" spans="1:17" x14ac:dyDescent="0.2">
      <c r="A937">
        <f t="shared" si="296"/>
        <v>154</v>
      </c>
      <c r="B937">
        <f t="shared" si="295"/>
        <v>154000</v>
      </c>
      <c r="C937" s="1">
        <f t="shared" si="297"/>
        <v>4985442000</v>
      </c>
      <c r="D937">
        <f t="shared" si="284"/>
        <v>1550</v>
      </c>
      <c r="E937" s="2">
        <f t="shared" si="298"/>
        <v>540000</v>
      </c>
      <c r="F937" s="2">
        <f t="shared" si="285"/>
        <v>599796.18799999997</v>
      </c>
      <c r="G937" s="2">
        <f t="shared" si="286"/>
        <v>12887.319999999998</v>
      </c>
      <c r="H937" s="2">
        <f t="shared" si="287"/>
        <v>45105.619999999995</v>
      </c>
      <c r="I937" s="2">
        <f t="shared" si="289"/>
        <v>41.901652166625809</v>
      </c>
      <c r="J937" s="2">
        <f t="shared" si="290"/>
        <v>13.29759324891222</v>
      </c>
      <c r="K937">
        <f t="shared" si="291"/>
        <v>1.5763633119148682E+18</v>
      </c>
      <c r="L937" s="13">
        <f t="shared" si="299"/>
        <v>12876833075.080873</v>
      </c>
      <c r="M937" s="2">
        <f t="shared" si="292"/>
        <v>595760.04082605953</v>
      </c>
      <c r="N937" s="2">
        <f t="shared" si="293"/>
        <v>1.0286938357384508E+21</v>
      </c>
      <c r="O937" s="2">
        <f t="shared" si="294"/>
        <v>3.2530155359086085E+18</v>
      </c>
      <c r="P937" s="2">
        <f t="shared" si="288"/>
        <v>1.1193326574328001E+21</v>
      </c>
      <c r="Q937" s="2">
        <f t="shared" si="300"/>
        <v>5.2151173954077542E+21</v>
      </c>
    </row>
    <row r="938" spans="1:17" x14ac:dyDescent="0.2">
      <c r="A938">
        <f t="shared" si="296"/>
        <v>153</v>
      </c>
      <c r="B938">
        <f t="shared" si="295"/>
        <v>153000</v>
      </c>
      <c r="C938" s="1">
        <f t="shared" si="297"/>
        <v>4953069000</v>
      </c>
      <c r="D938">
        <f t="shared" si="284"/>
        <v>1549.5</v>
      </c>
      <c r="E938" s="2">
        <f t="shared" si="298"/>
        <v>540000</v>
      </c>
      <c r="F938" s="2">
        <f t="shared" si="285"/>
        <v>599342.96600000001</v>
      </c>
      <c r="G938" s="2">
        <f t="shared" si="286"/>
        <v>12883.162799999998</v>
      </c>
      <c r="H938" s="2">
        <f t="shared" si="287"/>
        <v>45091.069799999997</v>
      </c>
      <c r="I938" s="2">
        <f t="shared" si="289"/>
        <v>41.915173190235556</v>
      </c>
      <c r="J938" s="2">
        <f t="shared" si="290"/>
        <v>13.291832920761619</v>
      </c>
      <c r="K938">
        <f t="shared" si="291"/>
        <v>1.5978221029627561E+18</v>
      </c>
      <c r="L938" s="13">
        <f t="shared" si="299"/>
        <v>12973923922.910412</v>
      </c>
      <c r="M938" s="2">
        <f t="shared" si="292"/>
        <v>592338.13261096098</v>
      </c>
      <c r="N938" s="2">
        <f t="shared" si="293"/>
        <v>1.0426972865333991E+21</v>
      </c>
      <c r="O938" s="2">
        <f t="shared" si="294"/>
        <v>3.2972983355227407E+18</v>
      </c>
      <c r="P938" s="2">
        <f t="shared" si="288"/>
        <v>1.1129034689115517E+21</v>
      </c>
      <c r="Q938" s="2">
        <f t="shared" si="300"/>
        <v>5.2544391887787173E+21</v>
      </c>
    </row>
    <row r="939" spans="1:17" x14ac:dyDescent="0.2">
      <c r="A939">
        <f t="shared" si="296"/>
        <v>152</v>
      </c>
      <c r="B939">
        <f t="shared" si="295"/>
        <v>152000</v>
      </c>
      <c r="C939" s="1">
        <f t="shared" si="297"/>
        <v>4920696000</v>
      </c>
      <c r="D939">
        <f t="shared" si="284"/>
        <v>1549</v>
      </c>
      <c r="E939" s="2">
        <f t="shared" si="298"/>
        <v>540000</v>
      </c>
      <c r="F939" s="2">
        <f t="shared" si="285"/>
        <v>598889.74399999995</v>
      </c>
      <c r="G939" s="2">
        <f t="shared" si="286"/>
        <v>12879.005599999999</v>
      </c>
      <c r="H939" s="2">
        <f t="shared" si="287"/>
        <v>45076.519599999992</v>
      </c>
      <c r="I939" s="2">
        <f t="shared" si="289"/>
        <v>41.928702942717884</v>
      </c>
      <c r="J939" s="2">
        <f t="shared" si="290"/>
        <v>13.286068873871088</v>
      </c>
      <c r="K939">
        <f t="shared" si="291"/>
        <v>1.6195871463372375E+18</v>
      </c>
      <c r="L939" s="13">
        <f t="shared" si="299"/>
        <v>13071810222.100325</v>
      </c>
      <c r="M939" s="2">
        <f t="shared" si="292"/>
        <v>588933.68895181688</v>
      </c>
      <c r="N939" s="2">
        <f t="shared" si="293"/>
        <v>1.0569005896581791E+21</v>
      </c>
      <c r="O939" s="2">
        <f t="shared" si="294"/>
        <v>3.3422131236948321E+18</v>
      </c>
      <c r="P939" s="2">
        <f t="shared" si="288"/>
        <v>1.1065070933460032E+21</v>
      </c>
      <c r="Q939" s="2">
        <f t="shared" si="300"/>
        <v>5.2940831399506315E+21</v>
      </c>
    </row>
    <row r="940" spans="1:17" x14ac:dyDescent="0.2">
      <c r="A940">
        <f t="shared" si="296"/>
        <v>151</v>
      </c>
      <c r="B940">
        <f t="shared" si="295"/>
        <v>151000</v>
      </c>
      <c r="C940" s="1">
        <f t="shared" si="297"/>
        <v>4888323000</v>
      </c>
      <c r="D940">
        <f t="shared" si="284"/>
        <v>1548.5</v>
      </c>
      <c r="E940" s="2">
        <f t="shared" si="298"/>
        <v>540000</v>
      </c>
      <c r="F940" s="2">
        <f t="shared" si="285"/>
        <v>598436.522</v>
      </c>
      <c r="G940" s="2">
        <f t="shared" si="286"/>
        <v>12874.848399999999</v>
      </c>
      <c r="H940" s="2">
        <f t="shared" si="287"/>
        <v>45061.969399999994</v>
      </c>
      <c r="I940" s="2">
        <f t="shared" si="289"/>
        <v>41.942241432528249</v>
      </c>
      <c r="J940" s="2">
        <f t="shared" si="290"/>
        <v>13.280301104638362</v>
      </c>
      <c r="K940">
        <f t="shared" si="291"/>
        <v>1.6416630101528916E+18</v>
      </c>
      <c r="L940" s="13">
        <f t="shared" si="299"/>
        <v>13170498989.03763</v>
      </c>
      <c r="M940" s="2">
        <f t="shared" si="292"/>
        <v>585546.63261005096</v>
      </c>
      <c r="N940" s="2">
        <f t="shared" si="293"/>
        <v>1.071306726145953E+21</v>
      </c>
      <c r="O940" s="2">
        <f t="shared" si="294"/>
        <v>3.3877693272794557E+18</v>
      </c>
      <c r="P940" s="2">
        <f t="shared" si="288"/>
        <v>1.1001433856178939E+21</v>
      </c>
      <c r="Q940" s="2">
        <f t="shared" si="300"/>
        <v>5.3340520905602404E+21</v>
      </c>
    </row>
    <row r="941" spans="1:17" x14ac:dyDescent="0.2">
      <c r="A941">
        <f t="shared" si="296"/>
        <v>150</v>
      </c>
      <c r="B941">
        <f t="shared" si="295"/>
        <v>150000</v>
      </c>
      <c r="C941" s="1">
        <f t="shared" si="297"/>
        <v>4855950000</v>
      </c>
      <c r="D941">
        <f t="shared" si="284"/>
        <v>1548</v>
      </c>
      <c r="E941" s="2">
        <f t="shared" si="298"/>
        <v>540000</v>
      </c>
      <c r="F941" s="2">
        <f t="shared" si="285"/>
        <v>597983.30000000005</v>
      </c>
      <c r="G941" s="2">
        <f t="shared" si="286"/>
        <v>12870.691199999999</v>
      </c>
      <c r="H941" s="2">
        <f t="shared" si="287"/>
        <v>45047.419199999997</v>
      </c>
      <c r="I941" s="2">
        <f t="shared" si="289"/>
        <v>41.955788668133067</v>
      </c>
      <c r="J941" s="2">
        <f t="shared" si="290"/>
        <v>13.274529609456518</v>
      </c>
      <c r="K941">
        <f t="shared" si="291"/>
        <v>1.6640543335508439E+18</v>
      </c>
      <c r="L941" s="13">
        <f t="shared" si="299"/>
        <v>13269997306.264908</v>
      </c>
      <c r="M941" s="2">
        <f t="shared" si="292"/>
        <v>582176.88663142931</v>
      </c>
      <c r="N941" s="2">
        <f t="shared" si="293"/>
        <v>1.085918723379966E+21</v>
      </c>
      <c r="O941" s="2">
        <f t="shared" si="294"/>
        <v>3.433976519703017E+18</v>
      </c>
      <c r="P941" s="2">
        <f t="shared" si="288"/>
        <v>1.0938122011431949E+21</v>
      </c>
      <c r="Q941" s="2">
        <f t="shared" si="300"/>
        <v>5.3743489090372879E+21</v>
      </c>
    </row>
    <row r="942" spans="1:17" x14ac:dyDescent="0.2">
      <c r="A942">
        <f t="shared" si="296"/>
        <v>149</v>
      </c>
      <c r="B942">
        <f t="shared" si="295"/>
        <v>149000</v>
      </c>
      <c r="C942" s="1">
        <f t="shared" si="297"/>
        <v>4823577000</v>
      </c>
      <c r="D942">
        <f t="shared" si="284"/>
        <v>1547.5</v>
      </c>
      <c r="E942" s="2">
        <f t="shared" si="298"/>
        <v>540000</v>
      </c>
      <c r="F942" s="2">
        <f t="shared" si="285"/>
        <v>597530.07799999998</v>
      </c>
      <c r="G942" s="2">
        <f t="shared" si="286"/>
        <v>12866.533999999998</v>
      </c>
      <c r="H942" s="2">
        <f t="shared" si="287"/>
        <v>45032.868999999999</v>
      </c>
      <c r="I942" s="2">
        <f t="shared" si="289"/>
        <v>41.969344658009696</v>
      </c>
      <c r="J942" s="2">
        <f t="shared" si="290"/>
        <v>13.268754384713974</v>
      </c>
      <c r="K942">
        <f t="shared" si="291"/>
        <v>1.6867658278471831E+18</v>
      </c>
      <c r="L942" s="13">
        <f t="shared" si="299"/>
        <v>13370312323.143049</v>
      </c>
      <c r="M942" s="2">
        <f t="shared" si="292"/>
        <v>578824.37434525543</v>
      </c>
      <c r="N942" s="2">
        <f t="shared" si="293"/>
        <v>1.1007396558429736E+21</v>
      </c>
      <c r="O942" s="2">
        <f t="shared" si="294"/>
        <v>3.4808444233336499E+18</v>
      </c>
      <c r="P942" s="2">
        <f t="shared" si="288"/>
        <v>1.0875133958705955E+21</v>
      </c>
      <c r="Q942" s="2">
        <f t="shared" si="300"/>
        <v>5.4149764908729353E+21</v>
      </c>
    </row>
    <row r="943" spans="1:17" x14ac:dyDescent="0.2">
      <c r="A943">
        <f t="shared" si="296"/>
        <v>148</v>
      </c>
      <c r="B943">
        <f t="shared" si="295"/>
        <v>148000</v>
      </c>
      <c r="C943" s="1">
        <f t="shared" si="297"/>
        <v>4791204000</v>
      </c>
      <c r="D943">
        <f t="shared" si="284"/>
        <v>1547</v>
      </c>
      <c r="E943" s="2">
        <f t="shared" si="298"/>
        <v>540000</v>
      </c>
      <c r="F943" s="2">
        <f t="shared" si="285"/>
        <v>597076.85600000003</v>
      </c>
      <c r="G943" s="2">
        <f t="shared" si="286"/>
        <v>12862.376799999998</v>
      </c>
      <c r="H943" s="2">
        <f t="shared" si="287"/>
        <v>45018.318799999994</v>
      </c>
      <c r="I943" s="2">
        <f t="shared" si="289"/>
        <v>41.982909410646414</v>
      </c>
      <c r="J943" s="2">
        <f t="shared" si="290"/>
        <v>13.262975426794483</v>
      </c>
      <c r="K943">
        <f t="shared" si="291"/>
        <v>1.7098022777006367E+18</v>
      </c>
      <c r="L943" s="13">
        <f t="shared" si="299"/>
        <v>13471451256.521317</v>
      </c>
      <c r="M943" s="2">
        <f t="shared" si="292"/>
        <v>575489.01936356782</v>
      </c>
      <c r="N943" s="2">
        <f t="shared" si="293"/>
        <v>1.1157726458792359E+21</v>
      </c>
      <c r="O943" s="2">
        <f t="shared" si="294"/>
        <v>3.5283829118908554E+18</v>
      </c>
      <c r="P943" s="2">
        <f t="shared" si="288"/>
        <v>1.0812468262799974E+21</v>
      </c>
      <c r="Q943" s="2">
        <f t="shared" si="300"/>
        <v>5.4559377588911331E+21</v>
      </c>
    </row>
    <row r="944" spans="1:17" x14ac:dyDescent="0.2">
      <c r="A944">
        <f t="shared" si="296"/>
        <v>147</v>
      </c>
      <c r="B944">
        <f t="shared" si="295"/>
        <v>147000</v>
      </c>
      <c r="C944" s="1">
        <f t="shared" si="297"/>
        <v>4758831000</v>
      </c>
      <c r="D944">
        <f t="shared" si="284"/>
        <v>1546.5</v>
      </c>
      <c r="E944" s="2">
        <f t="shared" si="298"/>
        <v>540000</v>
      </c>
      <c r="F944" s="2">
        <f t="shared" si="285"/>
        <v>596623.63399999996</v>
      </c>
      <c r="G944" s="2">
        <f t="shared" si="286"/>
        <v>12858.219599999999</v>
      </c>
      <c r="H944" s="2">
        <f t="shared" si="287"/>
        <v>45003.768599999996</v>
      </c>
      <c r="I944" s="2">
        <f t="shared" si="289"/>
        <v>41.996482934542513</v>
      </c>
      <c r="J944" s="2">
        <f t="shared" si="290"/>
        <v>13.25719273207711</v>
      </c>
      <c r="K944">
        <f t="shared" si="291"/>
        <v>1.7331685423000417E+18</v>
      </c>
      <c r="L944" s="13">
        <f t="shared" si="299"/>
        <v>13573421391.414419</v>
      </c>
      <c r="M944" s="2">
        <f t="shared" si="292"/>
        <v>572170.74558032199</v>
      </c>
      <c r="N944" s="2">
        <f t="shared" si="293"/>
        <v>1.1310208644694308E+21</v>
      </c>
      <c r="O944" s="2">
        <f t="shared" si="294"/>
        <v>3.5766020128959928E+18</v>
      </c>
      <c r="P944" s="2">
        <f t="shared" si="288"/>
        <v>1.0750123493809759E+21</v>
      </c>
      <c r="Q944" s="2">
        <f t="shared" si="300"/>
        <v>5.4972356635228394E+21</v>
      </c>
    </row>
    <row r="945" spans="1:17" x14ac:dyDescent="0.2">
      <c r="A945">
        <f t="shared" si="296"/>
        <v>146</v>
      </c>
      <c r="B945">
        <f t="shared" si="295"/>
        <v>146000</v>
      </c>
      <c r="C945" s="1">
        <f t="shared" si="297"/>
        <v>4726458000</v>
      </c>
      <c r="D945">
        <f t="shared" si="284"/>
        <v>1546</v>
      </c>
      <c r="E945" s="2">
        <f t="shared" si="298"/>
        <v>540000</v>
      </c>
      <c r="F945" s="2">
        <f t="shared" si="285"/>
        <v>596170.41200000001</v>
      </c>
      <c r="G945" s="2">
        <f t="shared" si="286"/>
        <v>12854.062399999999</v>
      </c>
      <c r="H945" s="2">
        <f t="shared" si="287"/>
        <v>44989.218399999998</v>
      </c>
      <c r="I945" s="2">
        <f t="shared" si="289"/>
        <v>42.010065238208277</v>
      </c>
      <c r="J945" s="2">
        <f t="shared" si="290"/>
        <v>13.251406296936246</v>
      </c>
      <c r="K945">
        <f t="shared" si="291"/>
        <v>1.7568695565715779E+18</v>
      </c>
      <c r="L945" s="13">
        <f t="shared" si="299"/>
        <v>13676230081.686813</v>
      </c>
      <c r="M945" s="2">
        <f t="shared" si="292"/>
        <v>568869.47717060195</v>
      </c>
      <c r="N945" s="2">
        <f t="shared" si="293"/>
        <v>1.1464875320184628E+21</v>
      </c>
      <c r="O945" s="2">
        <f t="shared" si="294"/>
        <v>3.6255119101635476E+18</v>
      </c>
      <c r="P945" s="2">
        <f t="shared" si="288"/>
        <v>1.0688098227113E+21</v>
      </c>
      <c r="Q945" s="2">
        <f t="shared" si="300"/>
        <v>5.5388731830831594E+21</v>
      </c>
    </row>
    <row r="946" spans="1:17" x14ac:dyDescent="0.2">
      <c r="A946">
        <f t="shared" si="296"/>
        <v>145</v>
      </c>
      <c r="B946">
        <f t="shared" si="295"/>
        <v>145000</v>
      </c>
      <c r="C946" s="1">
        <f t="shared" si="297"/>
        <v>4694085000</v>
      </c>
      <c r="D946">
        <f t="shared" si="284"/>
        <v>1545.5</v>
      </c>
      <c r="E946" s="2">
        <f t="shared" si="298"/>
        <v>540000</v>
      </c>
      <c r="F946" s="2">
        <f t="shared" si="285"/>
        <v>595717.18999999994</v>
      </c>
      <c r="G946" s="2">
        <f t="shared" si="286"/>
        <v>12849.905199999999</v>
      </c>
      <c r="H946" s="2">
        <f t="shared" si="287"/>
        <v>44974.668199999993</v>
      </c>
      <c r="I946" s="2">
        <f t="shared" si="289"/>
        <v>42.023656330164989</v>
      </c>
      <c r="J946" s="2">
        <f t="shared" si="290"/>
        <v>13.245616117741587</v>
      </c>
      <c r="K946">
        <f t="shared" si="291"/>
        <v>1.7809103324063409E+18</v>
      </c>
      <c r="L946" s="13">
        <f t="shared" si="299"/>
        <v>13779884750.744036</v>
      </c>
      <c r="M946" s="2">
        <f t="shared" si="292"/>
        <v>565585.13858980918</v>
      </c>
      <c r="N946" s="2">
        <f t="shared" si="293"/>
        <v>1.1621759191565455E+21</v>
      </c>
      <c r="O946" s="2">
        <f t="shared" si="294"/>
        <v>3.6751229463343795E+18</v>
      </c>
      <c r="P946" s="2">
        <f t="shared" si="288"/>
        <v>1.0626391043354075E+21</v>
      </c>
      <c r="Q946" s="2">
        <f t="shared" si="300"/>
        <v>5.580853324051334E+21</v>
      </c>
    </row>
    <row r="947" spans="1:17" x14ac:dyDescent="0.2">
      <c r="A947">
        <f t="shared" si="296"/>
        <v>144</v>
      </c>
      <c r="B947">
        <f t="shared" si="295"/>
        <v>144000</v>
      </c>
      <c r="C947" s="1">
        <f t="shared" si="297"/>
        <v>4661712000</v>
      </c>
      <c r="D947">
        <f t="shared" ref="D947:D1010" si="301">IF(A947&gt;$B$4,$B$2+(A947-$B$4)*$B$5,$B$6+(($B$2-$B$6)/$B$4)*(A947))</f>
        <v>1545</v>
      </c>
      <c r="E947" s="2">
        <f t="shared" si="298"/>
        <v>540000</v>
      </c>
      <c r="F947" s="2">
        <f t="shared" ref="F947:F1010" si="302">+$F$20+$H$15*C947*(0.000001)</f>
        <v>595263.96799999999</v>
      </c>
      <c r="G947" s="2">
        <f t="shared" ref="G947:G1010" si="303">+$B$17*D947</f>
        <v>12845.747999999998</v>
      </c>
      <c r="H947" s="2">
        <f t="shared" ref="H947:H1010" si="304">+$B$23*$B$17*D947</f>
        <v>44960.117999999995</v>
      </c>
      <c r="I947" s="2">
        <f t="shared" si="289"/>
        <v>42.037256218944982</v>
      </c>
      <c r="J947" s="2">
        <f t="shared" si="290"/>
        <v>13.23982219085813</v>
      </c>
      <c r="K947">
        <f t="shared" si="291"/>
        <v>1.805295959908639E+18</v>
      </c>
      <c r="L947" s="13">
        <f t="shared" si="299"/>
        <v>13884392892.231709</v>
      </c>
      <c r="M947" s="2">
        <f t="shared" si="292"/>
        <v>562317.65457286255</v>
      </c>
      <c r="N947" s="2">
        <f t="shared" si="293"/>
        <v>1.1780893475538074E+21</v>
      </c>
      <c r="O947" s="2">
        <f t="shared" si="294"/>
        <v>3.7254456254517299E+18</v>
      </c>
      <c r="P947" s="2">
        <f t="shared" ref="P947:P1010" si="305">(1000000)*($F$18^(-1/$B$23))*($F$19^((1/$B$23)-1))*M947</f>
        <v>1.0565000528429025E+21</v>
      </c>
      <c r="Q947" s="2">
        <f t="shared" si="300"/>
        <v>5.6231791213538422E+21</v>
      </c>
    </row>
    <row r="948" spans="1:17" x14ac:dyDescent="0.2">
      <c r="A948">
        <f t="shared" si="296"/>
        <v>143</v>
      </c>
      <c r="B948">
        <f t="shared" si="295"/>
        <v>143000</v>
      </c>
      <c r="C948" s="1">
        <f t="shared" si="297"/>
        <v>4629339000</v>
      </c>
      <c r="D948">
        <f t="shared" si="301"/>
        <v>1544.5</v>
      </c>
      <c r="E948" s="2">
        <f t="shared" si="298"/>
        <v>540000</v>
      </c>
      <c r="F948" s="2">
        <f t="shared" si="302"/>
        <v>594810.74600000004</v>
      </c>
      <c r="G948" s="2">
        <f t="shared" si="303"/>
        <v>12841.590799999998</v>
      </c>
      <c r="H948" s="2">
        <f t="shared" si="304"/>
        <v>44945.567799999997</v>
      </c>
      <c r="I948" s="2">
        <f t="shared" ref="I948:I1011" si="306">+E948/G948</f>
        <v>42.050864913091615</v>
      </c>
      <c r="J948" s="2">
        <f t="shared" ref="J948:J1011" si="307">+F948/H948</f>
        <v>13.234024512646164</v>
      </c>
      <c r="K948">
        <f t="shared" ref="K948:K1011" si="308">+EXP(I948)</f>
        <v>1.8300316086651756E+18</v>
      </c>
      <c r="L948" s="13">
        <f t="shared" si="299"/>
        <v>13989762070.74169</v>
      </c>
      <c r="M948" s="2">
        <f t="shared" ref="M948:M1011" si="309">+EXP(J948)</f>
        <v>559066.95013340132</v>
      </c>
      <c r="N948" s="2">
        <f t="shared" ref="N948:N1011" si="310">+$B$13*(($B$15/$B$21)^($B$23-1))*K948</f>
        <v>1.1942311907485284E+21</v>
      </c>
      <c r="O948" s="2">
        <f t="shared" ref="O948:O1011" si="311">+$B$13*(($B$15/$B$22)^($B$23-1))*K948</f>
        <v>3.7764906155803366E+18</v>
      </c>
      <c r="P948" s="2">
        <f t="shared" si="305"/>
        <v>1.0503925273470576E+21</v>
      </c>
      <c r="Q948" s="2">
        <f t="shared" si="300"/>
        <v>5.6658536386503838E+21</v>
      </c>
    </row>
    <row r="949" spans="1:17" x14ac:dyDescent="0.2">
      <c r="A949">
        <f t="shared" si="296"/>
        <v>142</v>
      </c>
      <c r="B949">
        <f t="shared" si="295"/>
        <v>142000</v>
      </c>
      <c r="C949" s="1">
        <f t="shared" si="297"/>
        <v>4596966000</v>
      </c>
      <c r="D949">
        <f t="shared" si="301"/>
        <v>1544</v>
      </c>
      <c r="E949" s="2">
        <f t="shared" si="298"/>
        <v>540000</v>
      </c>
      <c r="F949" s="2">
        <f t="shared" si="302"/>
        <v>594357.52399999998</v>
      </c>
      <c r="G949" s="2">
        <f t="shared" si="303"/>
        <v>12837.433599999998</v>
      </c>
      <c r="H949" s="2">
        <f t="shared" si="304"/>
        <v>44931.017599999992</v>
      </c>
      <c r="I949" s="2">
        <f t="shared" si="306"/>
        <v>42.064482421159326</v>
      </c>
      <c r="J949" s="2">
        <f t="shared" si="307"/>
        <v>13.228223079461261</v>
      </c>
      <c r="K949">
        <f t="shared" si="308"/>
        <v>1.8551225290357309E+18</v>
      </c>
      <c r="L949" s="13">
        <f t="shared" si="299"/>
        <v>14095999922.526033</v>
      </c>
      <c r="M949" s="2">
        <f t="shared" si="309"/>
        <v>555832.95056298352</v>
      </c>
      <c r="N949" s="2">
        <f t="shared" si="310"/>
        <v>1.2106048749894036E+21</v>
      </c>
      <c r="O949" s="2">
        <f t="shared" si="311"/>
        <v>3.8282687514699075E+18</v>
      </c>
      <c r="P949" s="2">
        <f t="shared" si="305"/>
        <v>1.044316387483308E+21</v>
      </c>
      <c r="Q949" s="2">
        <f t="shared" si="300"/>
        <v>5.7088799686230435E+21</v>
      </c>
    </row>
    <row r="950" spans="1:17" x14ac:dyDescent="0.2">
      <c r="A950">
        <f t="shared" si="296"/>
        <v>141</v>
      </c>
      <c r="B950">
        <f t="shared" si="295"/>
        <v>141000</v>
      </c>
      <c r="C950" s="1">
        <f t="shared" si="297"/>
        <v>4564593000</v>
      </c>
      <c r="D950">
        <f t="shared" si="301"/>
        <v>1543.5</v>
      </c>
      <c r="E950" s="2">
        <f t="shared" si="298"/>
        <v>540000</v>
      </c>
      <c r="F950" s="2">
        <f t="shared" si="302"/>
        <v>593904.30200000003</v>
      </c>
      <c r="G950" s="2">
        <f t="shared" si="303"/>
        <v>12833.276399999999</v>
      </c>
      <c r="H950" s="2">
        <f t="shared" si="304"/>
        <v>44916.467399999994</v>
      </c>
      <c r="I950" s="2">
        <f t="shared" si="306"/>
        <v>42.078108751713636</v>
      </c>
      <c r="J950" s="2">
        <f t="shared" si="307"/>
        <v>13.222417887654276</v>
      </c>
      <c r="K950">
        <f t="shared" si="308"/>
        <v>1.8805740534655199E+18</v>
      </c>
      <c r="L950" s="13">
        <f t="shared" si="299"/>
        <v>14203114156.21838</v>
      </c>
      <c r="M950" s="2">
        <f t="shared" si="309"/>
        <v>552615.58143029502</v>
      </c>
      <c r="N950" s="2">
        <f t="shared" si="310"/>
        <v>1.2272138800919562E+21</v>
      </c>
      <c r="O950" s="2">
        <f t="shared" si="311"/>
        <v>3.8807910372633313E+18</v>
      </c>
      <c r="P950" s="2">
        <f t="shared" si="305"/>
        <v>1.0382714934077653E+21</v>
      </c>
      <c r="Q950" s="2">
        <f t="shared" si="300"/>
        <v>5.7522612332684441E+21</v>
      </c>
    </row>
    <row r="951" spans="1:17" x14ac:dyDescent="0.2">
      <c r="A951">
        <f t="shared" si="296"/>
        <v>140</v>
      </c>
      <c r="B951">
        <f t="shared" si="295"/>
        <v>140000</v>
      </c>
      <c r="C951" s="1">
        <f t="shared" si="297"/>
        <v>4532220000</v>
      </c>
      <c r="D951">
        <f t="shared" si="301"/>
        <v>1543</v>
      </c>
      <c r="E951" s="2">
        <f t="shared" si="298"/>
        <v>540000</v>
      </c>
      <c r="F951" s="2">
        <f t="shared" si="302"/>
        <v>593451.07999999996</v>
      </c>
      <c r="G951" s="2">
        <f t="shared" si="303"/>
        <v>12829.119199999999</v>
      </c>
      <c r="H951" s="2">
        <f t="shared" si="304"/>
        <v>44901.917199999996</v>
      </c>
      <c r="I951" s="2">
        <f t="shared" si="306"/>
        <v>42.091743913331172</v>
      </c>
      <c r="J951" s="2">
        <f t="shared" si="307"/>
        <v>13.216608933571326</v>
      </c>
      <c r="K951">
        <f t="shared" si="308"/>
        <v>1.9063915978196987E+18</v>
      </c>
      <c r="L951" s="13">
        <f t="shared" si="299"/>
        <v>14311112553.562799</v>
      </c>
      <c r="M951" s="2">
        <f t="shared" si="309"/>
        <v>549414.7685803473</v>
      </c>
      <c r="N951" s="2">
        <f t="shared" si="310"/>
        <v>1.2440617403093995E+21</v>
      </c>
      <c r="O951" s="2">
        <f t="shared" si="311"/>
        <v>3.9340686492505923E+18</v>
      </c>
      <c r="P951" s="2">
        <f t="shared" si="305"/>
        <v>1.0322577057957105E+21</v>
      </c>
      <c r="Q951" s="2">
        <f t="shared" si="300"/>
        <v>5.796000584192934E+21</v>
      </c>
    </row>
    <row r="952" spans="1:17" x14ac:dyDescent="0.2">
      <c r="A952">
        <f t="shared" si="296"/>
        <v>139</v>
      </c>
      <c r="B952">
        <f t="shared" ref="B952:B1015" si="312">A952*1000</f>
        <v>139000</v>
      </c>
      <c r="C952" s="1">
        <f t="shared" si="297"/>
        <v>4499847000</v>
      </c>
      <c r="D952">
        <f t="shared" si="301"/>
        <v>1542.5</v>
      </c>
      <c r="E952" s="2">
        <f t="shared" si="298"/>
        <v>540000</v>
      </c>
      <c r="F952" s="2">
        <f t="shared" si="302"/>
        <v>592997.85800000001</v>
      </c>
      <c r="G952" s="2">
        <f t="shared" si="303"/>
        <v>12824.962</v>
      </c>
      <c r="H952" s="2">
        <f t="shared" si="304"/>
        <v>44887.366999999998</v>
      </c>
      <c r="I952" s="2">
        <f t="shared" si="306"/>
        <v>42.105387914599667</v>
      </c>
      <c r="J952" s="2">
        <f t="shared" si="307"/>
        <v>13.210796213553806</v>
      </c>
      <c r="K952">
        <f t="shared" si="308"/>
        <v>1.9325806627403489E+18</v>
      </c>
      <c r="L952" s="13">
        <f t="shared" si="299"/>
        <v>14420002970.150888</v>
      </c>
      <c r="M952" s="2">
        <f t="shared" si="309"/>
        <v>546230.43813369621</v>
      </c>
      <c r="N952" s="2">
        <f t="shared" si="310"/>
        <v>1.2611520452181717E+21</v>
      </c>
      <c r="O952" s="2">
        <f t="shared" si="311"/>
        <v>3.9881129386690678E+18</v>
      </c>
      <c r="P952" s="2">
        <f t="shared" si="305"/>
        <v>1.0262748858401258E+21</v>
      </c>
      <c r="Q952" s="2">
        <f t="shared" si="300"/>
        <v>5.8401012029111098E+21</v>
      </c>
    </row>
    <row r="953" spans="1:17" x14ac:dyDescent="0.2">
      <c r="A953">
        <f t="shared" si="296"/>
        <v>138</v>
      </c>
      <c r="B953">
        <f t="shared" si="312"/>
        <v>138000</v>
      </c>
      <c r="C953" s="1">
        <f t="shared" si="297"/>
        <v>4467474000</v>
      </c>
      <c r="D953">
        <f t="shared" si="301"/>
        <v>1542</v>
      </c>
      <c r="E953" s="2">
        <f t="shared" si="298"/>
        <v>540000</v>
      </c>
      <c r="F953" s="2">
        <f t="shared" si="302"/>
        <v>592544.63599999994</v>
      </c>
      <c r="G953" s="2">
        <f t="shared" si="303"/>
        <v>12820.804799999998</v>
      </c>
      <c r="H953" s="2">
        <f t="shared" si="304"/>
        <v>44872.816799999993</v>
      </c>
      <c r="I953" s="2">
        <f t="shared" si="306"/>
        <v>42.119040764118026</v>
      </c>
      <c r="J953" s="2">
        <f t="shared" si="307"/>
        <v>13.204979723938347</v>
      </c>
      <c r="K953">
        <f t="shared" si="308"/>
        <v>1.9591468350264914E+18</v>
      </c>
      <c r="L953" s="13">
        <f t="shared" si="299"/>
        <v>14529793336.166319</v>
      </c>
      <c r="M953" s="2">
        <f t="shared" si="309"/>
        <v>543062.51648563205</v>
      </c>
      <c r="N953" s="2">
        <f t="shared" si="310"/>
        <v>1.2784884406184958E+21</v>
      </c>
      <c r="O953" s="2">
        <f t="shared" si="311"/>
        <v>4.042935434551358E+18</v>
      </c>
      <c r="P953" s="2">
        <f t="shared" si="305"/>
        <v>1.0203228952501731E+21</v>
      </c>
      <c r="Q953" s="2">
        <f t="shared" si="300"/>
        <v>5.8845663011473593E+21</v>
      </c>
    </row>
    <row r="954" spans="1:17" x14ac:dyDescent="0.2">
      <c r="A954">
        <f t="shared" si="296"/>
        <v>137</v>
      </c>
      <c r="B954">
        <f t="shared" si="312"/>
        <v>137000</v>
      </c>
      <c r="C954" s="1">
        <f t="shared" si="297"/>
        <v>4435101000</v>
      </c>
      <c r="D954">
        <f t="shared" si="301"/>
        <v>1541.5</v>
      </c>
      <c r="E954" s="2">
        <f t="shared" si="298"/>
        <v>540000</v>
      </c>
      <c r="F954" s="2">
        <f t="shared" si="302"/>
        <v>592091.41399999999</v>
      </c>
      <c r="G954" s="2">
        <f t="shared" si="303"/>
        <v>12816.647599999998</v>
      </c>
      <c r="H954" s="2">
        <f t="shared" si="304"/>
        <v>44858.266599999995</v>
      </c>
      <c r="I954" s="2">
        <f t="shared" si="306"/>
        <v>42.13270247049627</v>
      </c>
      <c r="J954" s="2">
        <f t="shared" si="307"/>
        <v>13.199159461056841</v>
      </c>
      <c r="K954">
        <f t="shared" si="308"/>
        <v>1.9860957890371873E+18</v>
      </c>
      <c r="L954" s="13">
        <f t="shared" si="299"/>
        <v>14640491657.137484</v>
      </c>
      <c r="M954" s="2">
        <f t="shared" si="309"/>
        <v>539910.9303054054</v>
      </c>
      <c r="N954" s="2">
        <f t="shared" si="310"/>
        <v>1.2960746294500073E+21</v>
      </c>
      <c r="O954" s="2">
        <f t="shared" si="311"/>
        <v>4.0985478466207498E+18</v>
      </c>
      <c r="P954" s="2">
        <f t="shared" si="305"/>
        <v>1.0144015962497395E+21</v>
      </c>
      <c r="Q954" s="2">
        <f t="shared" si="300"/>
        <v>5.9293991211406805E+21</v>
      </c>
    </row>
    <row r="955" spans="1:17" x14ac:dyDescent="0.2">
      <c r="A955">
        <f t="shared" si="296"/>
        <v>136</v>
      </c>
      <c r="B955">
        <f t="shared" si="312"/>
        <v>136000</v>
      </c>
      <c r="C955" s="1">
        <f t="shared" si="297"/>
        <v>4402728000</v>
      </c>
      <c r="D955">
        <f t="shared" si="301"/>
        <v>1541</v>
      </c>
      <c r="E955" s="2">
        <f t="shared" si="298"/>
        <v>540000</v>
      </c>
      <c r="F955" s="2">
        <f t="shared" si="302"/>
        <v>591638.19200000004</v>
      </c>
      <c r="G955" s="2">
        <f t="shared" si="303"/>
        <v>12812.490399999999</v>
      </c>
      <c r="H955" s="2">
        <f t="shared" si="304"/>
        <v>44843.716399999998</v>
      </c>
      <c r="I955" s="2">
        <f t="shared" si="306"/>
        <v>42.146373042355613</v>
      </c>
      <c r="J955" s="2">
        <f t="shared" si="307"/>
        <v>13.193335421236409</v>
      </c>
      <c r="K955">
        <f t="shared" si="308"/>
        <v>2.013433288118592E+18</v>
      </c>
      <c r="L955" s="13">
        <f t="shared" si="299"/>
        <v>14752106014.698277</v>
      </c>
      <c r="M955" s="2">
        <f t="shared" si="309"/>
        <v>536775.60653542727</v>
      </c>
      <c r="N955" s="2">
        <f t="shared" si="310"/>
        <v>1.3139143727230131E+21</v>
      </c>
      <c r="O955" s="2">
        <f t="shared" si="311"/>
        <v>4.1549620682361149E+18</v>
      </c>
      <c r="P955" s="2">
        <f t="shared" si="305"/>
        <v>1.0085108515759347E+21</v>
      </c>
      <c r="Q955" s="2">
        <f t="shared" si="300"/>
        <v>5.9746029359528023E+21</v>
      </c>
    </row>
    <row r="956" spans="1:17" x14ac:dyDescent="0.2">
      <c r="A956">
        <f t="shared" si="296"/>
        <v>135</v>
      </c>
      <c r="B956">
        <f t="shared" si="312"/>
        <v>135000</v>
      </c>
      <c r="C956" s="1">
        <f t="shared" si="297"/>
        <v>4370355000</v>
      </c>
      <c r="D956">
        <f t="shared" si="301"/>
        <v>1540.5</v>
      </c>
      <c r="E956" s="2">
        <f t="shared" si="298"/>
        <v>540000</v>
      </c>
      <c r="F956" s="2">
        <f t="shared" si="302"/>
        <v>591184.97</v>
      </c>
      <c r="G956" s="2">
        <f t="shared" si="303"/>
        <v>12808.333199999999</v>
      </c>
      <c r="H956" s="2">
        <f t="shared" si="304"/>
        <v>44829.166199999992</v>
      </c>
      <c r="I956" s="2">
        <f t="shared" si="306"/>
        <v>42.160052488328461</v>
      </c>
      <c r="J956" s="2">
        <f t="shared" si="307"/>
        <v>13.187507600799412</v>
      </c>
      <c r="K956">
        <f t="shared" si="308"/>
        <v>2.0411651860550001E+18</v>
      </c>
      <c r="L956" s="13">
        <f t="shared" si="299"/>
        <v>14864644567.356686</v>
      </c>
      <c r="M956" s="2">
        <f t="shared" si="309"/>
        <v>533656.47239048872</v>
      </c>
      <c r="N956" s="2">
        <f t="shared" si="310"/>
        <v>1.3320114904654055E+21</v>
      </c>
      <c r="O956" s="2">
        <f t="shared" si="311"/>
        <v>4.2121901793863188E+18</v>
      </c>
      <c r="P956" s="2">
        <f t="shared" si="305"/>
        <v>1.0026505244776243E+21</v>
      </c>
      <c r="Q956" s="2">
        <f t="shared" si="300"/>
        <v>6.0201810497794579E+21</v>
      </c>
    </row>
    <row r="957" spans="1:17" x14ac:dyDescent="0.2">
      <c r="A957">
        <f t="shared" si="296"/>
        <v>134</v>
      </c>
      <c r="B957">
        <f t="shared" si="312"/>
        <v>134000</v>
      </c>
      <c r="C957" s="1">
        <f t="shared" si="297"/>
        <v>4337982000</v>
      </c>
      <c r="D957">
        <f t="shared" si="301"/>
        <v>1540</v>
      </c>
      <c r="E957" s="2">
        <f t="shared" si="298"/>
        <v>540000</v>
      </c>
      <c r="F957" s="2">
        <f t="shared" si="302"/>
        <v>590731.74800000002</v>
      </c>
      <c r="G957" s="2">
        <f t="shared" si="303"/>
        <v>12804.175999999999</v>
      </c>
      <c r="H957" s="2">
        <f t="shared" si="304"/>
        <v>44814.615999999995</v>
      </c>
      <c r="I957" s="2">
        <f t="shared" si="306"/>
        <v>42.173740817058437</v>
      </c>
      <c r="J957" s="2">
        <f t="shared" si="307"/>
        <v>13.181675996063429</v>
      </c>
      <c r="K957">
        <f t="shared" si="308"/>
        <v>2.0692974285445025E+18</v>
      </c>
      <c r="L957" s="13">
        <f t="shared" si="299"/>
        <v>14978115551.272114</v>
      </c>
      <c r="M957" s="2">
        <f t="shared" si="309"/>
        <v>530553.4553569681</v>
      </c>
      <c r="N957" s="2">
        <f t="shared" si="310"/>
        <v>1.3503698626856372E+21</v>
      </c>
      <c r="O957" s="2">
        <f t="shared" si="311"/>
        <v>4.2702444497354132E+18</v>
      </c>
      <c r="P957" s="2">
        <f t="shared" si="305"/>
        <v>9.968204787139408E+20</v>
      </c>
      <c r="Q957" s="2">
        <f t="shared" si="300"/>
        <v>6.0661367982652056E+21</v>
      </c>
    </row>
    <row r="958" spans="1:17" x14ac:dyDescent="0.2">
      <c r="A958">
        <f t="shared" si="296"/>
        <v>133</v>
      </c>
      <c r="B958">
        <f t="shared" si="312"/>
        <v>133000</v>
      </c>
      <c r="C958" s="1">
        <f t="shared" si="297"/>
        <v>4305609000</v>
      </c>
      <c r="D958">
        <f t="shared" si="301"/>
        <v>1539.5</v>
      </c>
      <c r="E958" s="2">
        <f t="shared" si="298"/>
        <v>540000</v>
      </c>
      <c r="F958" s="2">
        <f t="shared" si="302"/>
        <v>590278.52599999995</v>
      </c>
      <c r="G958" s="2">
        <f t="shared" si="303"/>
        <v>12800.018799999998</v>
      </c>
      <c r="H958" s="2">
        <f t="shared" si="304"/>
        <v>44800.065799999997</v>
      </c>
      <c r="I958" s="2">
        <f t="shared" si="306"/>
        <v>42.187438037200387</v>
      </c>
      <c r="J958" s="2">
        <f t="shared" si="307"/>
        <v>13.175840603341257</v>
      </c>
      <c r="K958">
        <f t="shared" si="308"/>
        <v>2.0978360546995702E+18</v>
      </c>
      <c r="L958" s="13">
        <f t="shared" si="299"/>
        <v>15092527281.040277</v>
      </c>
      <c r="M958" s="2">
        <f t="shared" si="309"/>
        <v>527466.48319205071</v>
      </c>
      <c r="N958" s="2">
        <f t="shared" si="310"/>
        <v>1.3689934303519645E+21</v>
      </c>
      <c r="O958" s="2">
        <f t="shared" si="311"/>
        <v>4.3291373417192735E+18</v>
      </c>
      <c r="P958" s="2">
        <f t="shared" si="305"/>
        <v>9.9102057855281725E+20</v>
      </c>
      <c r="Q958" s="2">
        <f t="shared" si="300"/>
        <v>6.1124735488213123E+21</v>
      </c>
    </row>
    <row r="959" spans="1:17" x14ac:dyDescent="0.2">
      <c r="A959">
        <f t="shared" si="296"/>
        <v>132</v>
      </c>
      <c r="B959">
        <f t="shared" si="312"/>
        <v>132000</v>
      </c>
      <c r="C959" s="1">
        <f t="shared" si="297"/>
        <v>4273236000</v>
      </c>
      <c r="D959">
        <f t="shared" si="301"/>
        <v>1539</v>
      </c>
      <c r="E959" s="2">
        <f t="shared" si="298"/>
        <v>540000</v>
      </c>
      <c r="F959" s="2">
        <f t="shared" si="302"/>
        <v>589825.304</v>
      </c>
      <c r="G959" s="2">
        <f t="shared" si="303"/>
        <v>12795.861599999998</v>
      </c>
      <c r="H959" s="2">
        <f t="shared" si="304"/>
        <v>44785.515599999999</v>
      </c>
      <c r="I959" s="2">
        <f t="shared" si="306"/>
        <v>42.201144157420401</v>
      </c>
      <c r="J959" s="2">
        <f t="shared" si="307"/>
        <v>13.170001418940904</v>
      </c>
      <c r="K959">
        <f t="shared" si="308"/>
        <v>2.1267871985731169E+18</v>
      </c>
      <c r="L959" s="13">
        <f t="shared" si="299"/>
        <v>15207888150.487133</v>
      </c>
      <c r="M959" s="2">
        <f t="shared" si="309"/>
        <v>524395.48392294638</v>
      </c>
      <c r="N959" s="2">
        <f t="shared" si="310"/>
        <v>1.3878861963883153E+21</v>
      </c>
      <c r="O959" s="2">
        <f t="shared" si="311"/>
        <v>4.3888815136948132E+18</v>
      </c>
      <c r="P959" s="2">
        <f t="shared" si="305"/>
        <v>9.8525068876951716E+20</v>
      </c>
      <c r="Q959" s="2">
        <f t="shared" si="300"/>
        <v>6.1591947009472888E+21</v>
      </c>
    </row>
    <row r="960" spans="1:17" x14ac:dyDescent="0.2">
      <c r="A960">
        <f t="shared" si="296"/>
        <v>131</v>
      </c>
      <c r="B960">
        <f t="shared" si="312"/>
        <v>131000</v>
      </c>
      <c r="C960" s="1">
        <f t="shared" si="297"/>
        <v>4240863000</v>
      </c>
      <c r="D960">
        <f t="shared" si="301"/>
        <v>1538.5</v>
      </c>
      <c r="E960" s="2">
        <f t="shared" si="298"/>
        <v>540000</v>
      </c>
      <c r="F960" s="2">
        <f t="shared" si="302"/>
        <v>589372.08199999994</v>
      </c>
      <c r="G960" s="2">
        <f t="shared" si="303"/>
        <v>12791.704399999999</v>
      </c>
      <c r="H960" s="2">
        <f t="shared" si="304"/>
        <v>44770.965399999994</v>
      </c>
      <c r="I960" s="2">
        <f t="shared" si="306"/>
        <v>42.214859186395834</v>
      </c>
      <c r="J960" s="2">
        <f t="shared" si="307"/>
        <v>13.164158439165575</v>
      </c>
      <c r="K960">
        <f t="shared" si="308"/>
        <v>2.156157090710402E+18</v>
      </c>
      <c r="L960" s="13">
        <f t="shared" si="299"/>
        <v>15324206633.471243</v>
      </c>
      <c r="M960" s="2">
        <f t="shared" si="309"/>
        <v>521340.38584610226</v>
      </c>
      <c r="N960" s="2">
        <f t="shared" si="310"/>
        <v>1.4070522266870208E+21</v>
      </c>
      <c r="O960" s="2">
        <f t="shared" si="311"/>
        <v>4.4494898231425203E+18</v>
      </c>
      <c r="P960" s="2">
        <f t="shared" si="305"/>
        <v>9.7951067464515558E+20</v>
      </c>
      <c r="Q960" s="2">
        <f t="shared" si="300"/>
        <v>6.2063036865558537E+21</v>
      </c>
    </row>
    <row r="961" spans="1:17" x14ac:dyDescent="0.2">
      <c r="A961">
        <f t="shared" ref="A961:A1024" si="313">+A960-1</f>
        <v>130</v>
      </c>
      <c r="B961">
        <f t="shared" si="312"/>
        <v>130000</v>
      </c>
      <c r="C961" s="1">
        <f t="shared" si="297"/>
        <v>4208490000</v>
      </c>
      <c r="D961">
        <f t="shared" si="301"/>
        <v>1538</v>
      </c>
      <c r="E961" s="2">
        <f t="shared" si="298"/>
        <v>540000</v>
      </c>
      <c r="F961" s="2">
        <f t="shared" si="302"/>
        <v>588918.86</v>
      </c>
      <c r="G961" s="2">
        <f t="shared" si="303"/>
        <v>12787.547199999999</v>
      </c>
      <c r="H961" s="2">
        <f t="shared" si="304"/>
        <v>44756.415199999996</v>
      </c>
      <c r="I961" s="2">
        <f t="shared" si="306"/>
        <v>42.228583132815338</v>
      </c>
      <c r="J961" s="2">
        <f t="shared" si="307"/>
        <v>13.158311660313672</v>
      </c>
      <c r="K961">
        <f t="shared" si="308"/>
        <v>2.1859520597273037E+18</v>
      </c>
      <c r="L961" s="13">
        <f t="shared" si="299"/>
        <v>15441491284.694201</v>
      </c>
      <c r="M961" s="2">
        <f t="shared" si="309"/>
        <v>518301.11752642808</v>
      </c>
      <c r="N961" s="2">
        <f t="shared" si="310"/>
        <v>1.4264956511387567E+21</v>
      </c>
      <c r="O961" s="2">
        <f t="shared" si="311"/>
        <v>4.5109753299234156E+18</v>
      </c>
      <c r="P961" s="2">
        <f t="shared" si="305"/>
        <v>9.738004019652437E+20</v>
      </c>
      <c r="Q961" s="2">
        <f t="shared" si="300"/>
        <v>6.2538039703011517E+21</v>
      </c>
    </row>
    <row r="962" spans="1:17" x14ac:dyDescent="0.2">
      <c r="A962">
        <f t="shared" si="313"/>
        <v>129</v>
      </c>
      <c r="B962">
        <f t="shared" si="312"/>
        <v>129000</v>
      </c>
      <c r="C962" s="1">
        <f t="shared" si="297"/>
        <v>4176117000</v>
      </c>
      <c r="D962">
        <f t="shared" si="301"/>
        <v>1537.5</v>
      </c>
      <c r="E962" s="2">
        <f t="shared" si="298"/>
        <v>540000</v>
      </c>
      <c r="F962" s="2">
        <f t="shared" si="302"/>
        <v>588465.63800000004</v>
      </c>
      <c r="G962" s="2">
        <f t="shared" si="303"/>
        <v>12783.39</v>
      </c>
      <c r="H962" s="2">
        <f t="shared" si="304"/>
        <v>44741.864999999998</v>
      </c>
      <c r="I962" s="2">
        <f t="shared" si="306"/>
        <v>42.242316005378854</v>
      </c>
      <c r="J962" s="2">
        <f t="shared" si="307"/>
        <v>13.152461078678774</v>
      </c>
      <c r="K962">
        <f t="shared" si="308"/>
        <v>2.2161785339152842E+18</v>
      </c>
      <c r="L962" s="13">
        <f t="shared" si="299"/>
        <v>15559750740.520441</v>
      </c>
      <c r="M962" s="2">
        <f t="shared" si="309"/>
        <v>515277.60779651225</v>
      </c>
      <c r="N962" s="2">
        <f t="shared" si="310"/>
        <v>1.4462206646799004E+21</v>
      </c>
      <c r="O962" s="2">
        <f t="shared" si="311"/>
        <v>4.5733512995910932E+18</v>
      </c>
      <c r="P962" s="2">
        <f t="shared" si="305"/>
        <v>9.6811973701821569E+20</v>
      </c>
      <c r="Q962" s="2">
        <f t="shared" si="300"/>
        <v>6.3016990499107787E+21</v>
      </c>
    </row>
    <row r="963" spans="1:17" x14ac:dyDescent="0.2">
      <c r="A963">
        <f t="shared" si="313"/>
        <v>128</v>
      </c>
      <c r="B963">
        <f t="shared" si="312"/>
        <v>128000</v>
      </c>
      <c r="C963" s="1">
        <f t="shared" si="297"/>
        <v>4143744000</v>
      </c>
      <c r="D963">
        <f t="shared" si="301"/>
        <v>1537</v>
      </c>
      <c r="E963" s="2">
        <f t="shared" si="298"/>
        <v>540000</v>
      </c>
      <c r="F963" s="2">
        <f t="shared" si="302"/>
        <v>588012.41599999997</v>
      </c>
      <c r="G963" s="2">
        <f t="shared" si="303"/>
        <v>12779.232799999998</v>
      </c>
      <c r="H963" s="2">
        <f t="shared" si="304"/>
        <v>44727.314799999993</v>
      </c>
      <c r="I963" s="2">
        <f t="shared" si="306"/>
        <v>42.256057812797657</v>
      </c>
      <c r="J963" s="2">
        <f t="shared" si="307"/>
        <v>13.146606690549643</v>
      </c>
      <c r="K963">
        <f t="shared" si="308"/>
        <v>2.2468430428737196E+18</v>
      </c>
      <c r="L963" s="13">
        <f t="shared" si="299"/>
        <v>15678993719.805288</v>
      </c>
      <c r="M963" s="2">
        <f t="shared" si="309"/>
        <v>512269.78575584677</v>
      </c>
      <c r="N963" s="2">
        <f t="shared" si="310"/>
        <v>1.466231528357748E+21</v>
      </c>
      <c r="O963" s="2">
        <f t="shared" si="311"/>
        <v>4.6366312067602258E+18</v>
      </c>
      <c r="P963" s="2">
        <f t="shared" si="305"/>
        <v>9.6246854659397229E+20</v>
      </c>
      <c r="Q963" s="2">
        <f t="shared" si="300"/>
        <v>6.3499924565211417E+21</v>
      </c>
    </row>
    <row r="964" spans="1:17" x14ac:dyDescent="0.2">
      <c r="A964">
        <f t="shared" si="313"/>
        <v>127</v>
      </c>
      <c r="B964">
        <f t="shared" si="312"/>
        <v>127000</v>
      </c>
      <c r="C964" s="1">
        <f t="shared" si="297"/>
        <v>4111371000</v>
      </c>
      <c r="D964">
        <f t="shared" si="301"/>
        <v>1536.5</v>
      </c>
      <c r="E964" s="2">
        <f t="shared" si="298"/>
        <v>540000</v>
      </c>
      <c r="F964" s="2">
        <f t="shared" si="302"/>
        <v>587559.19400000002</v>
      </c>
      <c r="G964" s="2">
        <f t="shared" si="303"/>
        <v>12775.075599999998</v>
      </c>
      <c r="H964" s="2">
        <f t="shared" si="304"/>
        <v>44712.764599999995</v>
      </c>
      <c r="I964" s="2">
        <f t="shared" si="306"/>
        <v>42.269808563794335</v>
      </c>
      <c r="J964" s="2">
        <f t="shared" si="307"/>
        <v>13.140748492210211</v>
      </c>
      <c r="K964">
        <f t="shared" si="308"/>
        <v>2.277952219169824E+18</v>
      </c>
      <c r="L964" s="13">
        <f t="shared" si="299"/>
        <v>15799229024.732111</v>
      </c>
      <c r="M964" s="2">
        <f t="shared" si="309"/>
        <v>509277.58077005454</v>
      </c>
      <c r="N964" s="2">
        <f t="shared" si="310"/>
        <v>1.486532570413738E+21</v>
      </c>
      <c r="O964" s="2">
        <f t="shared" si="311"/>
        <v>4.7008287385320212E+18</v>
      </c>
      <c r="P964" s="2">
        <f t="shared" si="305"/>
        <v>9.5684669798242989E+20</v>
      </c>
      <c r="Q964" s="2">
        <f t="shared" si="300"/>
        <v>6.3986877550165051E+21</v>
      </c>
    </row>
    <row r="965" spans="1:17" x14ac:dyDescent="0.2">
      <c r="A965">
        <f t="shared" si="313"/>
        <v>126</v>
      </c>
      <c r="B965">
        <f t="shared" si="312"/>
        <v>126000</v>
      </c>
      <c r="C965" s="1">
        <f t="shared" si="297"/>
        <v>4078998000</v>
      </c>
      <c r="D965">
        <f t="shared" si="301"/>
        <v>1536</v>
      </c>
      <c r="E965" s="2">
        <f t="shared" si="298"/>
        <v>540000</v>
      </c>
      <c r="F965" s="2">
        <f t="shared" si="302"/>
        <v>587105.97199999995</v>
      </c>
      <c r="G965" s="2">
        <f t="shared" si="303"/>
        <v>12770.918399999999</v>
      </c>
      <c r="H965" s="2">
        <f t="shared" si="304"/>
        <v>44698.214399999997</v>
      </c>
      <c r="I965" s="2">
        <f t="shared" si="306"/>
        <v>42.283568267102865</v>
      </c>
      <c r="J965" s="2">
        <f t="shared" si="307"/>
        <v>13.134886479939565</v>
      </c>
      <c r="K965">
        <f t="shared" si="308"/>
        <v>2.3095128000270203E+18</v>
      </c>
      <c r="L965" s="13">
        <f t="shared" si="299"/>
        <v>15920465541.658615</v>
      </c>
      <c r="M965" s="2">
        <f t="shared" si="309"/>
        <v>506300.92247010657</v>
      </c>
      <c r="N965" s="2">
        <f t="shared" si="310"/>
        <v>1.5071281873852375E+21</v>
      </c>
      <c r="O965" s="2">
        <f t="shared" si="311"/>
        <v>4.7659577979783782E+18</v>
      </c>
      <c r="P965" s="2">
        <f t="shared" si="305"/>
        <v>9.5125405897204852E+20</v>
      </c>
      <c r="Q965" s="2">
        <f t="shared" si="300"/>
        <v>6.4477885443717391E+21</v>
      </c>
    </row>
    <row r="966" spans="1:17" x14ac:dyDescent="0.2">
      <c r="A966">
        <f t="shared" si="313"/>
        <v>125</v>
      </c>
      <c r="B966">
        <f t="shared" si="312"/>
        <v>125000</v>
      </c>
      <c r="C966" s="1">
        <f t="shared" si="297"/>
        <v>4046625000</v>
      </c>
      <c r="D966">
        <f t="shared" si="301"/>
        <v>1535.5</v>
      </c>
      <c r="E966" s="2">
        <f t="shared" si="298"/>
        <v>540000</v>
      </c>
      <c r="F966" s="2">
        <f t="shared" si="302"/>
        <v>586652.75</v>
      </c>
      <c r="G966" s="2">
        <f t="shared" si="303"/>
        <v>12766.761199999999</v>
      </c>
      <c r="H966" s="2">
        <f t="shared" si="304"/>
        <v>44683.664199999992</v>
      </c>
      <c r="I966" s="2">
        <f t="shared" si="306"/>
        <v>42.297336931468571</v>
      </c>
      <c r="J966" s="2">
        <f t="shared" si="307"/>
        <v>13.12902065001196</v>
      </c>
      <c r="K966">
        <f t="shared" si="308"/>
        <v>2.3415316290417597E+18</v>
      </c>
      <c r="L966" s="13">
        <f t="shared" si="299"/>
        <v>16042712241.971966</v>
      </c>
      <c r="M966" s="2">
        <f t="shared" si="309"/>
        <v>503339.74075156037</v>
      </c>
      <c r="N966" s="2">
        <f t="shared" si="310"/>
        <v>1.5280228452258944E+21</v>
      </c>
      <c r="O966" s="2">
        <f t="shared" si="311"/>
        <v>4.8320325076847493E+18</v>
      </c>
      <c r="P966" s="2">
        <f t="shared" si="305"/>
        <v>9.4569049784840238E+20</v>
      </c>
      <c r="Q966" s="2">
        <f t="shared" si="300"/>
        <v>6.4972984579986461E+21</v>
      </c>
    </row>
    <row r="967" spans="1:17" x14ac:dyDescent="0.2">
      <c r="A967">
        <f t="shared" si="313"/>
        <v>124</v>
      </c>
      <c r="B967">
        <f t="shared" si="312"/>
        <v>124000</v>
      </c>
      <c r="C967" s="1">
        <f t="shared" si="297"/>
        <v>4014252000</v>
      </c>
      <c r="D967">
        <f t="shared" si="301"/>
        <v>1535</v>
      </c>
      <c r="E967" s="2">
        <f t="shared" si="298"/>
        <v>540000</v>
      </c>
      <c r="F967" s="2">
        <f t="shared" si="302"/>
        <v>586199.52800000005</v>
      </c>
      <c r="G967" s="2">
        <f t="shared" si="303"/>
        <v>12762.603999999999</v>
      </c>
      <c r="H967" s="2">
        <f t="shared" si="304"/>
        <v>44669.113999999994</v>
      </c>
      <c r="I967" s="2">
        <f t="shared" si="306"/>
        <v>42.311114565648204</v>
      </c>
      <c r="J967" s="2">
        <f t="shared" si="307"/>
        <v>13.123150998696776</v>
      </c>
      <c r="K967">
        <f t="shared" si="308"/>
        <v>2.3740156579298432E+18</v>
      </c>
      <c r="L967" s="13">
        <f t="shared" si="299"/>
        <v>16165978182.953133</v>
      </c>
      <c r="M967" s="2">
        <f t="shared" si="309"/>
        <v>500393.96577377315</v>
      </c>
      <c r="N967" s="2">
        <f t="shared" si="310"/>
        <v>1.549221080445242E+21</v>
      </c>
      <c r="O967" s="2">
        <f t="shared" si="311"/>
        <v>4.8990672133538857E+18</v>
      </c>
      <c r="P967" s="2">
        <f t="shared" si="305"/>
        <v>9.4015588339270025E+20</v>
      </c>
      <c r="Q967" s="2">
        <f t="shared" si="300"/>
        <v>6.5472211640960187E+21</v>
      </c>
    </row>
    <row r="968" spans="1:17" x14ac:dyDescent="0.2">
      <c r="A968">
        <f t="shared" si="313"/>
        <v>123</v>
      </c>
      <c r="B968">
        <f t="shared" si="312"/>
        <v>123000</v>
      </c>
      <c r="C968" s="1">
        <f t="shared" si="297"/>
        <v>3981879000</v>
      </c>
      <c r="D968">
        <f t="shared" si="301"/>
        <v>1534.5</v>
      </c>
      <c r="E968" s="2">
        <f t="shared" si="298"/>
        <v>540000</v>
      </c>
      <c r="F968" s="2">
        <f t="shared" si="302"/>
        <v>585746.30599999998</v>
      </c>
      <c r="G968" s="2">
        <f t="shared" si="303"/>
        <v>12758.446799999998</v>
      </c>
      <c r="H968" s="2">
        <f t="shared" si="304"/>
        <v>44654.563799999996</v>
      </c>
      <c r="I968" s="2">
        <f t="shared" si="306"/>
        <v>42.324901178409903</v>
      </c>
      <c r="J968" s="2">
        <f t="shared" si="307"/>
        <v>13.117277522258544</v>
      </c>
      <c r="K968">
        <f t="shared" si="308"/>
        <v>2.4069719483022234E+18</v>
      </c>
      <c r="L968" s="13">
        <f t="shared" si="299"/>
        <v>16290272508.650589</v>
      </c>
      <c r="M968" s="2">
        <f t="shared" si="309"/>
        <v>497463.52795914473</v>
      </c>
      <c r="N968" s="2">
        <f t="shared" si="310"/>
        <v>1.5707275012675409E+21</v>
      </c>
      <c r="O968" s="2">
        <f t="shared" si="311"/>
        <v>4.967076487470422E+18</v>
      </c>
      <c r="P968" s="2">
        <f t="shared" si="305"/>
        <v>9.3465008488036381E+20</v>
      </c>
      <c r="Q968" s="2">
        <f t="shared" si="300"/>
        <v>6.597560366003488E+21</v>
      </c>
    </row>
    <row r="969" spans="1:17" x14ac:dyDescent="0.2">
      <c r="A969">
        <f t="shared" si="313"/>
        <v>122</v>
      </c>
      <c r="B969">
        <f t="shared" si="312"/>
        <v>122000</v>
      </c>
      <c r="C969" s="1">
        <f t="shared" si="297"/>
        <v>3949506000</v>
      </c>
      <c r="D969">
        <f t="shared" si="301"/>
        <v>1534</v>
      </c>
      <c r="E969" s="2">
        <f t="shared" si="298"/>
        <v>540000</v>
      </c>
      <c r="F969" s="2">
        <f t="shared" si="302"/>
        <v>585293.08400000003</v>
      </c>
      <c r="G969" s="2">
        <f t="shared" si="303"/>
        <v>12754.289599999998</v>
      </c>
      <c r="H969" s="2">
        <f t="shared" si="304"/>
        <v>44640.013599999998</v>
      </c>
      <c r="I969" s="2">
        <f t="shared" si="306"/>
        <v>42.338696778533247</v>
      </c>
      <c r="J969" s="2">
        <f t="shared" si="307"/>
        <v>13.111400216956925</v>
      </c>
      <c r="K969">
        <f t="shared" si="308"/>
        <v>2.4404076734712719E+18</v>
      </c>
      <c r="L969" s="13">
        <f t="shared" si="299"/>
        <v>16415604450.763533</v>
      </c>
      <c r="M969" s="2">
        <f t="shared" si="309"/>
        <v>494548.35799234529</v>
      </c>
      <c r="N969" s="2">
        <f t="shared" si="310"/>
        <v>1.5925467888105022E+21</v>
      </c>
      <c r="O969" s="2">
        <f t="shared" si="311"/>
        <v>5.0360751330283182E+18</v>
      </c>
      <c r="P969" s="2">
        <f t="shared" si="305"/>
        <v>9.2917297207957665E+20</v>
      </c>
      <c r="Q969" s="2">
        <f t="shared" si="300"/>
        <v>6.6483198025592304E+21</v>
      </c>
    </row>
    <row r="970" spans="1:17" x14ac:dyDescent="0.2">
      <c r="A970">
        <f t="shared" si="313"/>
        <v>121</v>
      </c>
      <c r="B970">
        <f t="shared" si="312"/>
        <v>121000</v>
      </c>
      <c r="C970" s="1">
        <f t="shared" si="297"/>
        <v>3917133000</v>
      </c>
      <c r="D970">
        <f t="shared" si="301"/>
        <v>1533.5</v>
      </c>
      <c r="E970" s="2">
        <f t="shared" si="298"/>
        <v>540000</v>
      </c>
      <c r="F970" s="2">
        <f t="shared" si="302"/>
        <v>584839.86199999996</v>
      </c>
      <c r="G970" s="2">
        <f t="shared" si="303"/>
        <v>12750.132399999999</v>
      </c>
      <c r="H970" s="2">
        <f t="shared" si="304"/>
        <v>44625.463399999993</v>
      </c>
      <c r="I970" s="2">
        <f t="shared" si="306"/>
        <v>42.352501374809258</v>
      </c>
      <c r="J970" s="2">
        <f t="shared" si="307"/>
        <v>13.105519079046696</v>
      </c>
      <c r="K970">
        <f t="shared" si="308"/>
        <v>2.4743301202877292E+18</v>
      </c>
      <c r="L970" s="13">
        <f t="shared" si="299"/>
        <v>16541983329.534304</v>
      </c>
      <c r="M970" s="2">
        <f t="shared" si="309"/>
        <v>491648.38681954262</v>
      </c>
      <c r="N970" s="2">
        <f t="shared" si="310"/>
        <v>1.6146836982840332E+21</v>
      </c>
      <c r="O970" s="2">
        <f t="shared" si="311"/>
        <v>5.1060781873216348E+18</v>
      </c>
      <c r="P970" s="2">
        <f t="shared" si="305"/>
        <v>9.2372441524983208E+20</v>
      </c>
      <c r="Q970" s="2">
        <f t="shared" si="300"/>
        <v>6.6995032484613928E+21</v>
      </c>
    </row>
    <row r="971" spans="1:17" x14ac:dyDescent="0.2">
      <c r="A971">
        <f t="shared" si="313"/>
        <v>120</v>
      </c>
      <c r="B971">
        <f t="shared" si="312"/>
        <v>120000</v>
      </c>
      <c r="C971" s="1">
        <f t="shared" si="297"/>
        <v>3884760000</v>
      </c>
      <c r="D971">
        <f t="shared" si="301"/>
        <v>1533</v>
      </c>
      <c r="E971" s="2">
        <f t="shared" si="298"/>
        <v>540000</v>
      </c>
      <c r="F971" s="2">
        <f t="shared" si="302"/>
        <v>584386.64</v>
      </c>
      <c r="G971" s="2">
        <f t="shared" si="303"/>
        <v>12745.975199999999</v>
      </c>
      <c r="H971" s="2">
        <f t="shared" si="304"/>
        <v>44610.913199999995</v>
      </c>
      <c r="I971" s="2">
        <f t="shared" si="306"/>
        <v>42.366314976040442</v>
      </c>
      <c r="J971" s="2">
        <f t="shared" si="307"/>
        <v>13.099634104777754</v>
      </c>
      <c r="K971">
        <f t="shared" si="308"/>
        <v>2.5087466910091233E+18</v>
      </c>
      <c r="L971" s="13">
        <f t="shared" si="299"/>
        <v>16669418554.650835</v>
      </c>
      <c r="M971" s="2">
        <f t="shared" si="309"/>
        <v>488763.54564764502</v>
      </c>
      <c r="N971" s="2">
        <f t="shared" si="310"/>
        <v>1.6371430602095196E+21</v>
      </c>
      <c r="O971" s="2">
        <f t="shared" si="311"/>
        <v>5.177100925800236E+18</v>
      </c>
      <c r="P971" s="2">
        <f t="shared" si="305"/>
        <v>9.1830428514051097E+20</v>
      </c>
      <c r="Q971" s="2">
        <f t="shared" si="300"/>
        <v>6.7511145146335877E+21</v>
      </c>
    </row>
    <row r="972" spans="1:17" x14ac:dyDescent="0.2">
      <c r="A972">
        <f t="shared" si="313"/>
        <v>119</v>
      </c>
      <c r="B972">
        <f t="shared" si="312"/>
        <v>119000</v>
      </c>
      <c r="C972" s="1">
        <f t="shared" si="297"/>
        <v>3852387000</v>
      </c>
      <c r="D972">
        <f t="shared" si="301"/>
        <v>1532.5</v>
      </c>
      <c r="E972" s="2">
        <f t="shared" si="298"/>
        <v>540000</v>
      </c>
      <c r="F972" s="2">
        <f t="shared" si="302"/>
        <v>583933.41799999995</v>
      </c>
      <c r="G972" s="2">
        <f t="shared" si="303"/>
        <v>12741.817999999999</v>
      </c>
      <c r="H972" s="2">
        <f t="shared" si="304"/>
        <v>44596.362999999998</v>
      </c>
      <c r="I972" s="2">
        <f t="shared" si="306"/>
        <v>42.380137591040778</v>
      </c>
      <c r="J972" s="2">
        <f t="shared" si="307"/>
        <v>13.093745290395093</v>
      </c>
      <c r="K972">
        <f t="shared" si="308"/>
        <v>2.5436649051999084E+18</v>
      </c>
      <c r="L972" s="13">
        <f t="shared" si="299"/>
        <v>16797919626.158298</v>
      </c>
      <c r="M972" s="2">
        <f t="shared" si="309"/>
        <v>485893.76594352542</v>
      </c>
      <c r="N972" s="2">
        <f t="shared" si="310"/>
        <v>1.6599297816598062E+21</v>
      </c>
      <c r="O972" s="2">
        <f t="shared" si="311"/>
        <v>5.2491588659909571E+18</v>
      </c>
      <c r="P972" s="2">
        <f t="shared" si="305"/>
        <v>9.1291245298942385E+20</v>
      </c>
      <c r="Q972" s="2">
        <f t="shared" si="300"/>
        <v>6.8031574485941113E+21</v>
      </c>
    </row>
    <row r="973" spans="1:17" x14ac:dyDescent="0.2">
      <c r="A973">
        <f t="shared" si="313"/>
        <v>118</v>
      </c>
      <c r="B973">
        <f t="shared" si="312"/>
        <v>118000</v>
      </c>
      <c r="C973" s="1">
        <f t="shared" si="297"/>
        <v>3820014000</v>
      </c>
      <c r="D973">
        <f t="shared" si="301"/>
        <v>1532</v>
      </c>
      <c r="E973" s="2">
        <f t="shared" si="298"/>
        <v>540000</v>
      </c>
      <c r="F973" s="2">
        <f t="shared" si="302"/>
        <v>583480.196</v>
      </c>
      <c r="G973" s="2">
        <f t="shared" si="303"/>
        <v>12737.660799999998</v>
      </c>
      <c r="H973" s="2">
        <f t="shared" si="304"/>
        <v>44581.812799999992</v>
      </c>
      <c r="I973" s="2">
        <f t="shared" si="306"/>
        <v>42.393969228635768</v>
      </c>
      <c r="J973" s="2">
        <f t="shared" si="307"/>
        <v>13.087852632138819</v>
      </c>
      <c r="K973">
        <f t="shared" si="308"/>
        <v>2.5790924016642673E+18</v>
      </c>
      <c r="L973" s="13">
        <f t="shared" si="299"/>
        <v>16927496135.381033</v>
      </c>
      <c r="M973" s="2">
        <f t="shared" si="309"/>
        <v>483038.97943327425</v>
      </c>
      <c r="N973" s="2">
        <f t="shared" si="310"/>
        <v>1.683048847520494E+21</v>
      </c>
      <c r="O973" s="2">
        <f t="shared" si="311"/>
        <v>5.3222677714861711E+18</v>
      </c>
      <c r="P973" s="2">
        <f t="shared" si="305"/>
        <v>9.0754879052140734E+20</v>
      </c>
      <c r="Q973" s="2">
        <f t="shared" si="300"/>
        <v>6.8556359348293185E+21</v>
      </c>
    </row>
    <row r="974" spans="1:17" x14ac:dyDescent="0.2">
      <c r="A974">
        <f t="shared" si="313"/>
        <v>117</v>
      </c>
      <c r="B974">
        <f t="shared" si="312"/>
        <v>117000</v>
      </c>
      <c r="C974" s="1">
        <f t="shared" si="297"/>
        <v>3787641000</v>
      </c>
      <c r="D974">
        <f t="shared" si="301"/>
        <v>1531.5</v>
      </c>
      <c r="E974" s="2">
        <f t="shared" si="298"/>
        <v>540000</v>
      </c>
      <c r="F974" s="2">
        <f t="shared" si="302"/>
        <v>583026.97400000005</v>
      </c>
      <c r="G974" s="2">
        <f t="shared" si="303"/>
        <v>12733.503599999998</v>
      </c>
      <c r="H974" s="2">
        <f t="shared" si="304"/>
        <v>44567.262599999995</v>
      </c>
      <c r="I974" s="2">
        <f t="shared" si="306"/>
        <v>42.407809897662425</v>
      </c>
      <c r="J974" s="2">
        <f t="shared" si="307"/>
        <v>13.081956126244112</v>
      </c>
      <c r="K974">
        <f t="shared" si="308"/>
        <v>2.6150369404117668E+18</v>
      </c>
      <c r="L974" s="13">
        <f t="shared" si="299"/>
        <v>17058157765.854267</v>
      </c>
      <c r="M974" s="2">
        <f t="shared" si="309"/>
        <v>480199.11810141936</v>
      </c>
      <c r="N974" s="2">
        <f t="shared" si="310"/>
        <v>1.7065053217726755E+21</v>
      </c>
      <c r="O974" s="2">
        <f t="shared" si="311"/>
        <v>5.3964436560001597E+18</v>
      </c>
      <c r="P974" s="2">
        <f t="shared" si="305"/>
        <v>9.0221316994685809E+20</v>
      </c>
      <c r="Q974" s="2">
        <f t="shared" si="300"/>
        <v>6.9085538951709778E+21</v>
      </c>
    </row>
    <row r="975" spans="1:17" x14ac:dyDescent="0.2">
      <c r="A975">
        <f t="shared" si="313"/>
        <v>116</v>
      </c>
      <c r="B975">
        <f t="shared" si="312"/>
        <v>116000</v>
      </c>
      <c r="C975" s="1">
        <f t="shared" si="297"/>
        <v>3755268000</v>
      </c>
      <c r="D975">
        <f t="shared" si="301"/>
        <v>1531</v>
      </c>
      <c r="E975" s="2">
        <f t="shared" si="298"/>
        <v>540000</v>
      </c>
      <c r="F975" s="2">
        <f t="shared" si="302"/>
        <v>582573.75199999998</v>
      </c>
      <c r="G975" s="2">
        <f t="shared" si="303"/>
        <v>12729.346399999999</v>
      </c>
      <c r="H975" s="2">
        <f t="shared" si="304"/>
        <v>44552.712399999997</v>
      </c>
      <c r="I975" s="2">
        <f t="shared" si="306"/>
        <v>42.4216596069693</v>
      </c>
      <c r="J975" s="2">
        <f t="shared" si="307"/>
        <v>13.076055768941242</v>
      </c>
      <c r="K975">
        <f t="shared" si="308"/>
        <v>2.651506404656746E+18</v>
      </c>
      <c r="L975" s="13">
        <f t="shared" si="299"/>
        <v>17189914294.265747</v>
      </c>
      <c r="M975" s="2">
        <f t="shared" si="309"/>
        <v>477374.11419018026</v>
      </c>
      <c r="N975" s="2">
        <f t="shared" si="310"/>
        <v>1.7303043487976842E+21</v>
      </c>
      <c r="O975" s="2">
        <f t="shared" si="311"/>
        <v>5.4717027874950871E+18</v>
      </c>
      <c r="P975" s="2">
        <f t="shared" si="305"/>
        <v>8.9690546396033227E+20</v>
      </c>
      <c r="Q975" s="2">
        <f t="shared" si="300"/>
        <v>6.9619152891776273E+21</v>
      </c>
    </row>
    <row r="976" spans="1:17" x14ac:dyDescent="0.2">
      <c r="A976">
        <f t="shared" si="313"/>
        <v>115</v>
      </c>
      <c r="B976">
        <f t="shared" si="312"/>
        <v>115000</v>
      </c>
      <c r="C976" s="1">
        <f t="shared" si="297"/>
        <v>3722895000</v>
      </c>
      <c r="D976">
        <f t="shared" si="301"/>
        <v>1530.5</v>
      </c>
      <c r="E976" s="2">
        <f t="shared" si="298"/>
        <v>540000</v>
      </c>
      <c r="F976" s="2">
        <f t="shared" si="302"/>
        <v>582120.53</v>
      </c>
      <c r="G976" s="2">
        <f t="shared" si="303"/>
        <v>12725.189199999999</v>
      </c>
      <c r="H976" s="2">
        <f t="shared" si="304"/>
        <v>44538.162199999999</v>
      </c>
      <c r="I976" s="2">
        <f t="shared" si="306"/>
        <v>42.435518365416527</v>
      </c>
      <c r="J976" s="2">
        <f t="shared" si="307"/>
        <v>13.070151556455556</v>
      </c>
      <c r="K976">
        <f t="shared" si="308"/>
        <v>2.6885088028519613E+18</v>
      </c>
      <c r="L976" s="13">
        <f t="shared" si="299"/>
        <v>17322775591.407852</v>
      </c>
      <c r="M976" s="2">
        <f t="shared" si="309"/>
        <v>474563.90019870613</v>
      </c>
      <c r="N976" s="2">
        <f t="shared" si="310"/>
        <v>1.754451154704198E+21</v>
      </c>
      <c r="O976" s="2">
        <f t="shared" si="311"/>
        <v>5.5480616923776768E+18</v>
      </c>
      <c r="P976" s="2">
        <f t="shared" si="305"/>
        <v>8.9162554573911359E+20</v>
      </c>
      <c r="Q976" s="2">
        <f t="shared" si="300"/>
        <v>7.0157241145201797E+21</v>
      </c>
    </row>
    <row r="977" spans="1:17" x14ac:dyDescent="0.2">
      <c r="A977">
        <f t="shared" si="313"/>
        <v>114</v>
      </c>
      <c r="B977">
        <f t="shared" si="312"/>
        <v>114000</v>
      </c>
      <c r="C977" s="1">
        <f t="shared" si="297"/>
        <v>3690522000</v>
      </c>
      <c r="D977">
        <f t="shared" si="301"/>
        <v>1530</v>
      </c>
      <c r="E977" s="2">
        <f t="shared" si="298"/>
        <v>540000</v>
      </c>
      <c r="F977" s="2">
        <f t="shared" si="302"/>
        <v>581667.30799999996</v>
      </c>
      <c r="G977" s="2">
        <f t="shared" si="303"/>
        <v>12721.031999999999</v>
      </c>
      <c r="H977" s="2">
        <f t="shared" si="304"/>
        <v>44523.611999999994</v>
      </c>
      <c r="I977" s="2">
        <f t="shared" si="306"/>
        <v>42.449386181875809</v>
      </c>
      <c r="J977" s="2">
        <f t="shared" si="307"/>
        <v>13.064243485007461</v>
      </c>
      <c r="K977">
        <f t="shared" si="308"/>
        <v>2.7260522707569055E+18</v>
      </c>
      <c r="L977" s="13">
        <f t="shared" si="299"/>
        <v>17456751623.139511</v>
      </c>
      <c r="M977" s="2">
        <f t="shared" si="309"/>
        <v>471768.40888231277</v>
      </c>
      <c r="N977" s="2">
        <f t="shared" si="310"/>
        <v>1.7789510486779712E+21</v>
      </c>
      <c r="O977" s="2">
        <f t="shared" si="311"/>
        <v>5.6255371597674342E+18</v>
      </c>
      <c r="P977" s="2">
        <f t="shared" si="305"/>
        <v>8.8637328894177916E+20</v>
      </c>
      <c r="Q977" s="2">
        <f t="shared" si="300"/>
        <v>7.0699844073715023E+21</v>
      </c>
    </row>
    <row r="978" spans="1:17" x14ac:dyDescent="0.2">
      <c r="A978">
        <f t="shared" si="313"/>
        <v>113</v>
      </c>
      <c r="B978">
        <f t="shared" si="312"/>
        <v>113000</v>
      </c>
      <c r="C978" s="1">
        <f t="shared" si="297"/>
        <v>3658149000</v>
      </c>
      <c r="D978">
        <f t="shared" si="301"/>
        <v>1529.5</v>
      </c>
      <c r="E978" s="2">
        <f t="shared" si="298"/>
        <v>540000</v>
      </c>
      <c r="F978" s="2">
        <f t="shared" si="302"/>
        <v>581214.08600000001</v>
      </c>
      <c r="G978" s="2">
        <f t="shared" si="303"/>
        <v>12716.874799999998</v>
      </c>
      <c r="H978" s="2">
        <f t="shared" si="304"/>
        <v>44509.061799999996</v>
      </c>
      <c r="I978" s="2">
        <f t="shared" si="306"/>
        <v>42.463263065230471</v>
      </c>
      <c r="J978" s="2">
        <f t="shared" si="307"/>
        <v>13.058331550812426</v>
      </c>
      <c r="K978">
        <f t="shared" si="308"/>
        <v>2.7641450735417615E+18</v>
      </c>
      <c r="L978" s="13">
        <f t="shared" si="299"/>
        <v>17591852451.359314</v>
      </c>
      <c r="M978" s="2">
        <f t="shared" si="309"/>
        <v>468987.57325173455</v>
      </c>
      <c r="N978" s="2">
        <f t="shared" si="310"/>
        <v>1.8038094243548205E+21</v>
      </c>
      <c r="O978" s="2">
        <f t="shared" si="311"/>
        <v>5.7041462458384067E+18</v>
      </c>
      <c r="P978" s="2">
        <f t="shared" si="305"/>
        <v>8.8114856770679498E+20</v>
      </c>
      <c r="Q978" s="2">
        <f t="shared" si="300"/>
        <v>7.1247002428005218E+21</v>
      </c>
    </row>
    <row r="979" spans="1:17" x14ac:dyDescent="0.2">
      <c r="A979">
        <f t="shared" si="313"/>
        <v>112</v>
      </c>
      <c r="B979">
        <f t="shared" si="312"/>
        <v>112000</v>
      </c>
      <c r="C979" s="1">
        <f t="shared" si="297"/>
        <v>3625776000</v>
      </c>
      <c r="D979">
        <f t="shared" si="301"/>
        <v>1529</v>
      </c>
      <c r="E979" s="2">
        <f t="shared" si="298"/>
        <v>540000</v>
      </c>
      <c r="F979" s="2">
        <f t="shared" si="302"/>
        <v>580760.86399999994</v>
      </c>
      <c r="G979" s="2">
        <f t="shared" si="303"/>
        <v>12712.717599999998</v>
      </c>
      <c r="H979" s="2">
        <f t="shared" si="304"/>
        <v>44494.511599999998</v>
      </c>
      <c r="I979" s="2">
        <f t="shared" si="306"/>
        <v>42.477149024375407</v>
      </c>
      <c r="J979" s="2">
        <f t="shared" si="307"/>
        <v>13.052415750080959</v>
      </c>
      <c r="K979">
        <f t="shared" si="308"/>
        <v>2.8027956079271137E+18</v>
      </c>
      <c r="L979" s="13">
        <f t="shared" si="299"/>
        <v>17728088234.987965</v>
      </c>
      <c r="M979" s="2">
        <f t="shared" si="309"/>
        <v>466221.32657236134</v>
      </c>
      <c r="N979" s="2">
        <f t="shared" si="310"/>
        <v>1.8290317612169434E+21</v>
      </c>
      <c r="O979" s="2">
        <f t="shared" si="311"/>
        <v>5.7839062782347397E+18</v>
      </c>
      <c r="P979" s="2">
        <f t="shared" si="305"/>
        <v>8.7595125665108171E+20</v>
      </c>
      <c r="Q979" s="2">
        <f t="shared" si="300"/>
        <v>7.1798757351701254E+21</v>
      </c>
    </row>
    <row r="980" spans="1:17" x14ac:dyDescent="0.2">
      <c r="A980">
        <f t="shared" si="313"/>
        <v>111</v>
      </c>
      <c r="B980">
        <f t="shared" si="312"/>
        <v>111000</v>
      </c>
      <c r="C980" s="1">
        <f t="shared" si="297"/>
        <v>3593403000</v>
      </c>
      <c r="D980">
        <f t="shared" si="301"/>
        <v>1528.5</v>
      </c>
      <c r="E980" s="2">
        <f t="shared" si="298"/>
        <v>540000</v>
      </c>
      <c r="F980" s="2">
        <f t="shared" si="302"/>
        <v>580307.64199999999</v>
      </c>
      <c r="G980" s="2">
        <f t="shared" si="303"/>
        <v>12708.560399999998</v>
      </c>
      <c r="H980" s="2">
        <f t="shared" si="304"/>
        <v>44479.961399999993</v>
      </c>
      <c r="I980" s="2">
        <f t="shared" si="306"/>
        <v>42.491044068217207</v>
      </c>
      <c r="J980" s="2">
        <f t="shared" si="307"/>
        <v>13.046496079018631</v>
      </c>
      <c r="K980">
        <f t="shared" si="308"/>
        <v>2.8420124043608791E+18</v>
      </c>
      <c r="L980" s="13">
        <f t="shared" si="299"/>
        <v>17865469230.962734</v>
      </c>
      <c r="M980" s="2">
        <f t="shared" si="309"/>
        <v>463469.60236350069</v>
      </c>
      <c r="N980" s="2">
        <f t="shared" si="310"/>
        <v>1.8546236260135296E+21</v>
      </c>
      <c r="O980" s="2">
        <f t="shared" si="311"/>
        <v>5.8648348605630331E+18</v>
      </c>
      <c r="P980" s="2">
        <f t="shared" si="305"/>
        <v>8.7078123086862837E+20</v>
      </c>
      <c r="Q980" s="2">
        <f t="shared" si="300"/>
        <v>7.2355150385399076E+21</v>
      </c>
    </row>
    <row r="981" spans="1:17" x14ac:dyDescent="0.2">
      <c r="A981">
        <f t="shared" si="313"/>
        <v>110</v>
      </c>
      <c r="B981">
        <f t="shared" si="312"/>
        <v>110000</v>
      </c>
      <c r="C981" s="1">
        <f t="shared" si="297"/>
        <v>3561030000</v>
      </c>
      <c r="D981">
        <f t="shared" si="301"/>
        <v>1528</v>
      </c>
      <c r="E981" s="2">
        <f t="shared" si="298"/>
        <v>540000</v>
      </c>
      <c r="F981" s="2">
        <f t="shared" si="302"/>
        <v>579854.42000000004</v>
      </c>
      <c r="G981" s="2">
        <f t="shared" si="303"/>
        <v>12704.403199999999</v>
      </c>
      <c r="H981" s="2">
        <f t="shared" si="304"/>
        <v>44465.411199999995</v>
      </c>
      <c r="I981" s="2">
        <f t="shared" si="306"/>
        <v>42.504948205674083</v>
      </c>
      <c r="J981" s="2">
        <f t="shared" si="307"/>
        <v>13.040572533826024</v>
      </c>
      <c r="K981">
        <f t="shared" si="308"/>
        <v>2.8818041292320584E+18</v>
      </c>
      <c r="L981" s="13">
        <f t="shared" si="299"/>
        <v>18004005795.241531</v>
      </c>
      <c r="M981" s="2">
        <f t="shared" si="309"/>
        <v>460732.33439760644</v>
      </c>
      <c r="N981" s="2">
        <f t="shared" si="310"/>
        <v>1.8805906742053954E+21</v>
      </c>
      <c r="O981" s="2">
        <f t="shared" si="311"/>
        <v>5.9469498769606861E+18</v>
      </c>
      <c r="P981" s="2">
        <f t="shared" si="305"/>
        <v>8.6563836592904339E+20</v>
      </c>
      <c r="Q981" s="2">
        <f t="shared" si="300"/>
        <v>7.2916223470728202E+21</v>
      </c>
    </row>
    <row r="982" spans="1:17" x14ac:dyDescent="0.2">
      <c r="A982">
        <f t="shared" si="313"/>
        <v>109</v>
      </c>
      <c r="B982">
        <f t="shared" si="312"/>
        <v>109000</v>
      </c>
      <c r="C982" s="1">
        <f t="shared" si="297"/>
        <v>3528657000</v>
      </c>
      <c r="D982">
        <f t="shared" si="301"/>
        <v>1527.5</v>
      </c>
      <c r="E982" s="2">
        <f t="shared" si="298"/>
        <v>540000</v>
      </c>
      <c r="F982" s="2">
        <f t="shared" si="302"/>
        <v>579401.19799999997</v>
      </c>
      <c r="G982" s="2">
        <f t="shared" si="303"/>
        <v>12700.245999999999</v>
      </c>
      <c r="H982" s="2">
        <f t="shared" si="304"/>
        <v>44450.860999999997</v>
      </c>
      <c r="I982" s="2">
        <f t="shared" si="306"/>
        <v>42.518861445675938</v>
      </c>
      <c r="J982" s="2">
        <f t="shared" si="307"/>
        <v>13.034645110698756</v>
      </c>
      <c r="K982">
        <f t="shared" si="308"/>
        <v>2.922179587122882E+18</v>
      </c>
      <c r="L982" s="13">
        <f t="shared" si="299"/>
        <v>18143708383.81855</v>
      </c>
      <c r="M982" s="2">
        <f t="shared" si="309"/>
        <v>458009.45669954363</v>
      </c>
      <c r="N982" s="2">
        <f t="shared" si="310"/>
        <v>1.9069386514346769E+21</v>
      </c>
      <c r="O982" s="2">
        <f t="shared" si="311"/>
        <v>6.030269496743467E+18</v>
      </c>
      <c r="P982" s="2">
        <f t="shared" si="305"/>
        <v>8.6052253787617296E+20</v>
      </c>
      <c r="Q982" s="2">
        <f t="shared" si="300"/>
        <v>7.3482018954465132E+21</v>
      </c>
    </row>
    <row r="983" spans="1:17" x14ac:dyDescent="0.2">
      <c r="A983">
        <f t="shared" si="313"/>
        <v>108</v>
      </c>
      <c r="B983">
        <f t="shared" si="312"/>
        <v>108000</v>
      </c>
      <c r="C983" s="1">
        <f t="shared" si="297"/>
        <v>3496284000</v>
      </c>
      <c r="D983">
        <f t="shared" si="301"/>
        <v>1527</v>
      </c>
      <c r="E983" s="2">
        <f t="shared" si="298"/>
        <v>540000</v>
      </c>
      <c r="F983" s="2">
        <f t="shared" si="302"/>
        <v>578947.97600000002</v>
      </c>
      <c r="G983" s="2">
        <f t="shared" si="303"/>
        <v>12696.0888</v>
      </c>
      <c r="H983" s="2">
        <f t="shared" si="304"/>
        <v>44436.310799999992</v>
      </c>
      <c r="I983" s="2">
        <f t="shared" si="306"/>
        <v>42.53278379716437</v>
      </c>
      <c r="J983" s="2">
        <f t="shared" si="307"/>
        <v>13.028713805827467</v>
      </c>
      <c r="K983">
        <f t="shared" si="308"/>
        <v>2.9631477230995082E+18</v>
      </c>
      <c r="L983" s="13">
        <f t="shared" si="299"/>
        <v>18284587553.750729</v>
      </c>
      <c r="M983" s="2">
        <f t="shared" si="309"/>
        <v>455300.90354583785</v>
      </c>
      <c r="N983" s="2">
        <f t="shared" si="310"/>
        <v>1.9336733950196798E+21</v>
      </c>
      <c r="O983" s="2">
        <f t="shared" si="311"/>
        <v>6.1148121791326515E+18</v>
      </c>
      <c r="P983" s="2">
        <f t="shared" si="305"/>
        <v>8.5543362322669135E+20</v>
      </c>
      <c r="Q983" s="2">
        <f t="shared" si="300"/>
        <v>7.4052579592690446E+21</v>
      </c>
    </row>
    <row r="984" spans="1:17" x14ac:dyDescent="0.2">
      <c r="A984">
        <f t="shared" si="313"/>
        <v>107</v>
      </c>
      <c r="B984">
        <f t="shared" si="312"/>
        <v>107000</v>
      </c>
      <c r="C984" s="1">
        <f t="shared" si="297"/>
        <v>3463911000</v>
      </c>
      <c r="D984">
        <f t="shared" si="301"/>
        <v>1526.5</v>
      </c>
      <c r="E984" s="2">
        <f t="shared" si="298"/>
        <v>540000</v>
      </c>
      <c r="F984" s="2">
        <f t="shared" si="302"/>
        <v>578494.75399999996</v>
      </c>
      <c r="G984" s="2">
        <f t="shared" si="303"/>
        <v>12691.931599999998</v>
      </c>
      <c r="H984" s="2">
        <f t="shared" si="304"/>
        <v>44421.760599999994</v>
      </c>
      <c r="I984" s="2">
        <f t="shared" si="306"/>
        <v>42.546715269092694</v>
      </c>
      <c r="J984" s="2">
        <f t="shared" si="307"/>
        <v>13.022778615397788</v>
      </c>
      <c r="K984">
        <f t="shared" si="308"/>
        <v>3.004717625042154E+18</v>
      </c>
      <c r="L984" s="13">
        <f t="shared" si="299"/>
        <v>18426653964.195232</v>
      </c>
      <c r="M984" s="2">
        <f t="shared" si="309"/>
        <v>452606.60946391826</v>
      </c>
      <c r="N984" s="2">
        <f t="shared" si="310"/>
        <v>1.9608008354754629E+21</v>
      </c>
      <c r="O984" s="2">
        <f t="shared" si="311"/>
        <v>6.2005966780635218E+18</v>
      </c>
      <c r="P984" s="2">
        <f t="shared" si="305"/>
        <v>8.5037149896867827E+20</v>
      </c>
      <c r="Q984" s="2">
        <f t="shared" si="300"/>
        <v>7.4627948554990691E+21</v>
      </c>
    </row>
    <row r="985" spans="1:17" x14ac:dyDescent="0.2">
      <c r="A985">
        <f t="shared" si="313"/>
        <v>106</v>
      </c>
      <c r="B985">
        <f t="shared" si="312"/>
        <v>106000</v>
      </c>
      <c r="C985" s="1">
        <f t="shared" si="297"/>
        <v>3431538000</v>
      </c>
      <c r="D985">
        <f t="shared" si="301"/>
        <v>1526</v>
      </c>
      <c r="E985" s="2">
        <f t="shared" si="298"/>
        <v>540000</v>
      </c>
      <c r="F985" s="2">
        <f t="shared" si="302"/>
        <v>578041.53200000001</v>
      </c>
      <c r="G985" s="2">
        <f t="shared" si="303"/>
        <v>12687.774399999998</v>
      </c>
      <c r="H985" s="2">
        <f t="shared" si="304"/>
        <v>44407.210399999996</v>
      </c>
      <c r="I985" s="2">
        <f t="shared" si="306"/>
        <v>42.560655870425947</v>
      </c>
      <c r="J985" s="2">
        <f t="shared" si="307"/>
        <v>13.016839535590375</v>
      </c>
      <c r="K985">
        <f t="shared" si="308"/>
        <v>3.0468985260152745E+18</v>
      </c>
      <c r="L985" s="13">
        <f t="shared" si="299"/>
        <v>18569918377.457985</v>
      </c>
      <c r="M985" s="2">
        <f t="shared" si="309"/>
        <v>449926.50923138828</v>
      </c>
      <c r="N985" s="2">
        <f t="shared" si="310"/>
        <v>1.988326998060555E+21</v>
      </c>
      <c r="O985" s="2">
        <f t="shared" si="311"/>
        <v>6.287642047076521E+18</v>
      </c>
      <c r="P985" s="2">
        <f t="shared" si="305"/>
        <v>8.4533604256024835E+20</v>
      </c>
      <c r="Q985" s="2">
        <f t="shared" si="300"/>
        <v>7.5208169428704842E+21</v>
      </c>
    </row>
    <row r="986" spans="1:17" x14ac:dyDescent="0.2">
      <c r="A986">
        <f t="shared" si="313"/>
        <v>105</v>
      </c>
      <c r="B986">
        <f t="shared" si="312"/>
        <v>105000</v>
      </c>
      <c r="C986" s="1">
        <f t="shared" si="297"/>
        <v>3399165000</v>
      </c>
      <c r="D986">
        <f t="shared" si="301"/>
        <v>1525.5</v>
      </c>
      <c r="E986" s="2">
        <f t="shared" si="298"/>
        <v>540000</v>
      </c>
      <c r="F986" s="2">
        <f t="shared" si="302"/>
        <v>577588.31000000006</v>
      </c>
      <c r="G986" s="2">
        <f t="shared" si="303"/>
        <v>12683.617199999999</v>
      </c>
      <c r="H986" s="2">
        <f t="shared" si="304"/>
        <v>44392.660199999998</v>
      </c>
      <c r="I986" s="2">
        <f t="shared" si="306"/>
        <v>42.574605610140935</v>
      </c>
      <c r="J986" s="2">
        <f t="shared" si="307"/>
        <v>13.010896562580859</v>
      </c>
      <c r="K986">
        <f t="shared" si="308"/>
        <v>3.0896998066786637E+18</v>
      </c>
      <c r="L986" s="13">
        <f t="shared" si="299"/>
        <v>18714391660.054638</v>
      </c>
      <c r="M986" s="2">
        <f t="shared" si="309"/>
        <v>447260.53787526692</v>
      </c>
      <c r="N986" s="2">
        <f t="shared" si="310"/>
        <v>2.0162580043503777E+21</v>
      </c>
      <c r="O986" s="2">
        <f t="shared" si="311"/>
        <v>6.3759676442928497E+18</v>
      </c>
      <c r="P986" s="2">
        <f t="shared" si="305"/>
        <v>8.4032713192812642E+20</v>
      </c>
      <c r="Q986" s="2">
        <f t="shared" si="300"/>
        <v>7.579328622322128E+21</v>
      </c>
    </row>
    <row r="987" spans="1:17" x14ac:dyDescent="0.2">
      <c r="A987">
        <f t="shared" si="313"/>
        <v>104</v>
      </c>
      <c r="B987">
        <f t="shared" si="312"/>
        <v>104000</v>
      </c>
      <c r="C987" s="1">
        <f t="shared" si="297"/>
        <v>3366792000</v>
      </c>
      <c r="D987">
        <f t="shared" si="301"/>
        <v>1525</v>
      </c>
      <c r="E987" s="2">
        <f t="shared" si="298"/>
        <v>540000</v>
      </c>
      <c r="F987" s="2">
        <f t="shared" si="302"/>
        <v>577135.08799999999</v>
      </c>
      <c r="G987" s="2">
        <f t="shared" si="303"/>
        <v>12679.46</v>
      </c>
      <c r="H987" s="2">
        <f t="shared" si="304"/>
        <v>44378.109999999993</v>
      </c>
      <c r="I987" s="2">
        <f t="shared" si="306"/>
        <v>42.588564497226223</v>
      </c>
      <c r="J987" s="2">
        <f t="shared" si="307"/>
        <v>13.00494969253986</v>
      </c>
      <c r="K987">
        <f t="shared" si="308"/>
        <v>3.1331309977399404E+18</v>
      </c>
      <c r="L987" s="13">
        <f t="shared" si="299"/>
        <v>18860084783.781631</v>
      </c>
      <c r="M987" s="2">
        <f t="shared" si="309"/>
        <v>444608.63067125197</v>
      </c>
      <c r="N987" s="2">
        <f t="shared" si="310"/>
        <v>2.0446000738376729E+21</v>
      </c>
      <c r="O987" s="2">
        <f t="shared" si="311"/>
        <v>6.4655931374754632E+18</v>
      </c>
      <c r="P987" s="2">
        <f t="shared" si="305"/>
        <v>8.353446454662626E+20</v>
      </c>
      <c r="Q987" s="2">
        <f t="shared" si="300"/>
        <v>7.6383343374315605E+21</v>
      </c>
    </row>
    <row r="988" spans="1:17" x14ac:dyDescent="0.2">
      <c r="A988">
        <f t="shared" si="313"/>
        <v>103</v>
      </c>
      <c r="B988">
        <f t="shared" si="312"/>
        <v>103000</v>
      </c>
      <c r="C988" s="1">
        <f t="shared" si="297"/>
        <v>3334419000</v>
      </c>
      <c r="D988">
        <f t="shared" si="301"/>
        <v>1524.5</v>
      </c>
      <c r="E988" s="2">
        <f t="shared" si="298"/>
        <v>540000</v>
      </c>
      <c r="F988" s="2">
        <f t="shared" si="302"/>
        <v>576681.86600000004</v>
      </c>
      <c r="G988" s="2">
        <f t="shared" si="303"/>
        <v>12675.302799999999</v>
      </c>
      <c r="H988" s="2">
        <f t="shared" si="304"/>
        <v>44363.559799999995</v>
      </c>
      <c r="I988" s="2">
        <f t="shared" si="306"/>
        <v>42.602532540682184</v>
      </c>
      <c r="J988" s="2">
        <f t="shared" si="307"/>
        <v>12.998998921632976</v>
      </c>
      <c r="K988">
        <f t="shared" si="308"/>
        <v>3.1772017824494828E+18</v>
      </c>
      <c r="L988" s="13">
        <f t="shared" si="299"/>
        <v>19007008826.799881</v>
      </c>
      <c r="M988" s="2">
        <f t="shared" si="309"/>
        <v>441970.72314298025</v>
      </c>
      <c r="N988" s="2">
        <f t="shared" si="310"/>
        <v>2.073359525560634E+21</v>
      </c>
      <c r="O988" s="2">
        <f t="shared" si="311"/>
        <v>6.5565385091776737E+18</v>
      </c>
      <c r="P988" s="2">
        <f t="shared" si="305"/>
        <v>8.3038846203444291E+20</v>
      </c>
      <c r="Q988" s="2">
        <f t="shared" si="300"/>
        <v>7.6978385748539516E+21</v>
      </c>
    </row>
    <row r="989" spans="1:17" x14ac:dyDescent="0.2">
      <c r="A989">
        <f t="shared" si="313"/>
        <v>102</v>
      </c>
      <c r="B989">
        <f t="shared" si="312"/>
        <v>102000</v>
      </c>
      <c r="C989" s="1">
        <f t="shared" si="297"/>
        <v>3302046000</v>
      </c>
      <c r="D989">
        <f t="shared" si="301"/>
        <v>1524</v>
      </c>
      <c r="E989" s="2">
        <f t="shared" si="298"/>
        <v>540000</v>
      </c>
      <c r="F989" s="2">
        <f t="shared" si="302"/>
        <v>576228.64399999997</v>
      </c>
      <c r="G989" s="2">
        <f t="shared" si="303"/>
        <v>12671.145599999998</v>
      </c>
      <c r="H989" s="2">
        <f t="shared" si="304"/>
        <v>44349.009599999998</v>
      </c>
      <c r="I989" s="2">
        <f t="shared" si="306"/>
        <v>42.616509749521001</v>
      </c>
      <c r="J989" s="2">
        <f t="shared" si="307"/>
        <v>12.993044246020773</v>
      </c>
      <c r="K989">
        <f t="shared" si="308"/>
        <v>3.2219219991382508E+18</v>
      </c>
      <c r="L989" s="13">
        <f t="shared" si="299"/>
        <v>19155174974.729996</v>
      </c>
      <c r="M989" s="2">
        <f t="shared" si="309"/>
        <v>439346.75106128474</v>
      </c>
      <c r="N989" s="2">
        <f t="shared" si="310"/>
        <v>2.1025427797590215E+21</v>
      </c>
      <c r="O989" s="2">
        <f t="shared" si="311"/>
        <v>6.6488240619802481E+18</v>
      </c>
      <c r="P989" s="2">
        <f t="shared" si="305"/>
        <v>8.2545846095689286E+20</v>
      </c>
      <c r="Q989" s="2">
        <f t="shared" si="300"/>
        <v>7.7578458647656483E+21</v>
      </c>
    </row>
    <row r="990" spans="1:17" x14ac:dyDescent="0.2">
      <c r="A990">
        <f t="shared" si="313"/>
        <v>101</v>
      </c>
      <c r="B990">
        <f t="shared" si="312"/>
        <v>101000</v>
      </c>
      <c r="C990" s="1">
        <f t="shared" si="297"/>
        <v>3269673000</v>
      </c>
      <c r="D990">
        <f t="shared" si="301"/>
        <v>1523.5</v>
      </c>
      <c r="E990" s="2">
        <f t="shared" si="298"/>
        <v>540000</v>
      </c>
      <c r="F990" s="2">
        <f t="shared" si="302"/>
        <v>575775.42200000002</v>
      </c>
      <c r="G990" s="2">
        <f t="shared" si="303"/>
        <v>12666.988399999998</v>
      </c>
      <c r="H990" s="2">
        <f t="shared" si="304"/>
        <v>44334.459399999992</v>
      </c>
      <c r="I990" s="2">
        <f t="shared" si="306"/>
        <v>42.630496132766652</v>
      </c>
      <c r="J990" s="2">
        <f t="shared" si="307"/>
        <v>12.987085661858778</v>
      </c>
      <c r="K990">
        <f t="shared" si="308"/>
        <v>3.2673016437993533E+18</v>
      </c>
      <c r="L990" s="13">
        <f t="shared" si="299"/>
        <v>19304594521.758995</v>
      </c>
      <c r="M990" s="2">
        <f t="shared" si="309"/>
        <v>436736.65044345916</v>
      </c>
      <c r="N990" s="2">
        <f t="shared" si="310"/>
        <v>2.1321563595588276E+21</v>
      </c>
      <c r="O990" s="2">
        <f t="shared" si="311"/>
        <v>6.7424704238187889E+18</v>
      </c>
      <c r="P990" s="2">
        <f t="shared" si="305"/>
        <v>8.2055452202089644E+20</v>
      </c>
      <c r="Q990" s="2">
        <f t="shared" si="300"/>
        <v>7.818360781312393E+21</v>
      </c>
    </row>
    <row r="991" spans="1:17" x14ac:dyDescent="0.2">
      <c r="A991">
        <f t="shared" si="313"/>
        <v>100</v>
      </c>
      <c r="B991">
        <f t="shared" si="312"/>
        <v>100000</v>
      </c>
      <c r="C991" s="1">
        <f t="shared" si="297"/>
        <v>3237300000</v>
      </c>
      <c r="D991">
        <f t="shared" si="301"/>
        <v>1523</v>
      </c>
      <c r="E991" s="2">
        <f t="shared" si="298"/>
        <v>540000</v>
      </c>
      <c r="F991" s="2">
        <f t="shared" si="302"/>
        <v>575322.19999999995</v>
      </c>
      <c r="G991" s="2">
        <f t="shared" si="303"/>
        <v>12662.831199999999</v>
      </c>
      <c r="H991" s="2">
        <f t="shared" si="304"/>
        <v>44319.909199999995</v>
      </c>
      <c r="I991" s="2">
        <f t="shared" si="306"/>
        <v>42.644491699455017</v>
      </c>
      <c r="J991" s="2">
        <f t="shared" si="307"/>
        <v>12.981123165297459</v>
      </c>
      <c r="K991">
        <f t="shared" si="308"/>
        <v>3.3133508727145917E+18</v>
      </c>
      <c r="L991" s="13">
        <f t="shared" si="299"/>
        <v>19455278871.760193</v>
      </c>
      <c r="M991" s="2">
        <f t="shared" si="309"/>
        <v>434140.357552514</v>
      </c>
      <c r="N991" s="2">
        <f t="shared" si="310"/>
        <v>2.1622068926862902E+21</v>
      </c>
      <c r="O991" s="2">
        <f t="shared" si="311"/>
        <v>6.8374985534039132E+18</v>
      </c>
      <c r="P991" s="2">
        <f t="shared" si="305"/>
        <v>8.1567652547539803E+20</v>
      </c>
      <c r="Q991" s="2">
        <f t="shared" si="300"/>
        <v>7.8793879430628786E+21</v>
      </c>
    </row>
    <row r="992" spans="1:17" x14ac:dyDescent="0.2">
      <c r="A992">
        <f t="shared" si="313"/>
        <v>99</v>
      </c>
      <c r="B992">
        <f t="shared" si="312"/>
        <v>99000</v>
      </c>
      <c r="C992" s="1">
        <f t="shared" ref="C992:C1055" si="314">$B$3*$B$1*B992</f>
        <v>3204927000</v>
      </c>
      <c r="D992">
        <f t="shared" si="301"/>
        <v>1510.7</v>
      </c>
      <c r="E992" s="2">
        <f t="shared" ref="E992:E1055" si="315">+$B$19+$B$16*0</f>
        <v>540000</v>
      </c>
      <c r="F992" s="2">
        <f t="shared" si="302"/>
        <v>574868.978</v>
      </c>
      <c r="G992" s="2">
        <f t="shared" si="303"/>
        <v>12560.564079999998</v>
      </c>
      <c r="H992" s="2">
        <f t="shared" si="304"/>
        <v>43961.974279999995</v>
      </c>
      <c r="I992" s="2">
        <f t="shared" si="306"/>
        <v>42.99169978041305</v>
      </c>
      <c r="J992" s="2">
        <f t="shared" si="307"/>
        <v>13.076505034523214</v>
      </c>
      <c r="K992">
        <f t="shared" si="308"/>
        <v>4.6887597718634465E+18</v>
      </c>
      <c r="L992" s="13">
        <f t="shared" ref="L992:L1055" si="316">EXP((300*1000)/($B$17*D992))</f>
        <v>23594457171.65831</v>
      </c>
      <c r="M992" s="2">
        <f t="shared" si="309"/>
        <v>477588.63013311714</v>
      </c>
      <c r="N992" s="2">
        <f t="shared" si="310"/>
        <v>3.0597630876826919E+21</v>
      </c>
      <c r="O992" s="2">
        <f t="shared" si="311"/>
        <v>9.6758204575867556E+18</v>
      </c>
      <c r="P992" s="2">
        <f t="shared" si="305"/>
        <v>8.9730850324463262E+20</v>
      </c>
      <c r="Q992" s="2">
        <f t="shared" ref="Q992:Q1037" si="317">$B$12*L992</f>
        <v>9.555755154521616E+21</v>
      </c>
    </row>
    <row r="993" spans="1:17" x14ac:dyDescent="0.2">
      <c r="A993">
        <f t="shared" si="313"/>
        <v>98</v>
      </c>
      <c r="B993">
        <f t="shared" si="312"/>
        <v>98000</v>
      </c>
      <c r="C993" s="1">
        <f t="shared" si="314"/>
        <v>3172554000</v>
      </c>
      <c r="D993">
        <f t="shared" si="301"/>
        <v>1498.4</v>
      </c>
      <c r="E993" s="2">
        <f t="shared" si="315"/>
        <v>540000</v>
      </c>
      <c r="F993" s="2">
        <f t="shared" si="302"/>
        <v>574415.75600000005</v>
      </c>
      <c r="G993" s="2">
        <f t="shared" si="303"/>
        <v>12458.29696</v>
      </c>
      <c r="H993" s="2">
        <f t="shared" si="304"/>
        <v>43604.039359999995</v>
      </c>
      <c r="I993" s="2">
        <f t="shared" si="306"/>
        <v>43.344608154211151</v>
      </c>
      <c r="J993" s="2">
        <f t="shared" si="307"/>
        <v>13.173452836732787</v>
      </c>
      <c r="K993">
        <f t="shared" si="308"/>
        <v>6.6730463534672384E+18</v>
      </c>
      <c r="L993" s="13">
        <f t="shared" si="316"/>
        <v>28705020176.310383</v>
      </c>
      <c r="M993" s="2">
        <f t="shared" si="309"/>
        <v>526208.51879676955</v>
      </c>
      <c r="N993" s="2">
        <f t="shared" si="310"/>
        <v>4.3546570752589389E+21</v>
      </c>
      <c r="O993" s="2">
        <f t="shared" si="311"/>
        <v>1.3770634786785454E+19</v>
      </c>
      <c r="P993" s="2">
        <f t="shared" si="305"/>
        <v>9.8865707557673055E+20</v>
      </c>
      <c r="Q993" s="2">
        <f t="shared" si="317"/>
        <v>1.1625533171405706E+22</v>
      </c>
    </row>
    <row r="994" spans="1:17" x14ac:dyDescent="0.2">
      <c r="A994">
        <f t="shared" si="313"/>
        <v>97</v>
      </c>
      <c r="B994">
        <f t="shared" si="312"/>
        <v>97000</v>
      </c>
      <c r="C994" s="1">
        <f t="shared" si="314"/>
        <v>3140181000</v>
      </c>
      <c r="D994">
        <f t="shared" si="301"/>
        <v>1486.1000000000001</v>
      </c>
      <c r="E994" s="2">
        <f t="shared" si="315"/>
        <v>540000</v>
      </c>
      <c r="F994" s="2">
        <f t="shared" si="302"/>
        <v>573962.53399999999</v>
      </c>
      <c r="G994" s="2">
        <f t="shared" si="303"/>
        <v>12356.029839999999</v>
      </c>
      <c r="H994" s="2">
        <f t="shared" si="304"/>
        <v>43246.104440000003</v>
      </c>
      <c r="I994" s="2">
        <f t="shared" si="306"/>
        <v>43.703358359646046</v>
      </c>
      <c r="J994" s="2">
        <f t="shared" si="307"/>
        <v>13.272005454186521</v>
      </c>
      <c r="K994">
        <f t="shared" si="308"/>
        <v>9.552727212872321E+18</v>
      </c>
      <c r="L994" s="13">
        <f t="shared" si="316"/>
        <v>35036055773.482758</v>
      </c>
      <c r="M994" s="2">
        <f t="shared" si="309"/>
        <v>580709.23484470882</v>
      </c>
      <c r="N994" s="2">
        <f t="shared" si="310"/>
        <v>6.2338621586134752E+21</v>
      </c>
      <c r="O994" s="2">
        <f t="shared" si="311"/>
        <v>1.9713203040752333E+19</v>
      </c>
      <c r="P994" s="2">
        <f t="shared" si="305"/>
        <v>1.0910547309168634E+21</v>
      </c>
      <c r="Q994" s="2">
        <f t="shared" si="317"/>
        <v>1.4189602588260517E+22</v>
      </c>
    </row>
    <row r="995" spans="1:17" x14ac:dyDescent="0.2">
      <c r="A995">
        <f t="shared" si="313"/>
        <v>96</v>
      </c>
      <c r="B995">
        <f t="shared" si="312"/>
        <v>96000</v>
      </c>
      <c r="C995" s="1">
        <f t="shared" si="314"/>
        <v>3107808000</v>
      </c>
      <c r="D995">
        <f t="shared" si="301"/>
        <v>1473.8000000000002</v>
      </c>
      <c r="E995" s="2">
        <f t="shared" si="315"/>
        <v>540000</v>
      </c>
      <c r="F995" s="2">
        <f t="shared" si="302"/>
        <v>573509.31200000003</v>
      </c>
      <c r="G995" s="2">
        <f t="shared" si="303"/>
        <v>12253.762720000001</v>
      </c>
      <c r="H995" s="2">
        <f t="shared" si="304"/>
        <v>42888.169520000003</v>
      </c>
      <c r="I995" s="2">
        <f t="shared" si="306"/>
        <v>44.068096660517021</v>
      </c>
      <c r="J995" s="2">
        <f t="shared" si="307"/>
        <v>13.372203067154823</v>
      </c>
      <c r="K995">
        <f t="shared" si="308"/>
        <v>1.3757236638191665E+19</v>
      </c>
      <c r="L995" s="13">
        <f t="shared" si="316"/>
        <v>42905931748.138412</v>
      </c>
      <c r="M995" s="2">
        <f t="shared" si="309"/>
        <v>641909.79537563235</v>
      </c>
      <c r="N995" s="2">
        <f t="shared" si="310"/>
        <v>8.9776160226109177E+21</v>
      </c>
      <c r="O995" s="2">
        <f t="shared" si="311"/>
        <v>2.8389714589872075E+19</v>
      </c>
      <c r="P995" s="2">
        <f t="shared" si="305"/>
        <v>1.2060402642877667E+21</v>
      </c>
      <c r="Q995" s="2">
        <f t="shared" si="317"/>
        <v>1.7376902357996058E+22</v>
      </c>
    </row>
    <row r="996" spans="1:17" x14ac:dyDescent="0.2">
      <c r="A996">
        <f t="shared" si="313"/>
        <v>95</v>
      </c>
      <c r="B996">
        <f t="shared" si="312"/>
        <v>95000</v>
      </c>
      <c r="C996" s="1">
        <f t="shared" si="314"/>
        <v>3075435000</v>
      </c>
      <c r="D996">
        <f t="shared" si="301"/>
        <v>1461.5</v>
      </c>
      <c r="E996" s="2">
        <f t="shared" si="315"/>
        <v>540000</v>
      </c>
      <c r="F996" s="2">
        <f t="shared" si="302"/>
        <v>573056.09</v>
      </c>
      <c r="G996" s="2">
        <f t="shared" si="303"/>
        <v>12151.495599999998</v>
      </c>
      <c r="H996" s="2">
        <f t="shared" si="304"/>
        <v>42530.234599999996</v>
      </c>
      <c r="I996" s="2">
        <f t="shared" si="306"/>
        <v>44.438974244454329</v>
      </c>
      <c r="J996" s="2">
        <f t="shared" si="307"/>
        <v>13.474087208538464</v>
      </c>
      <c r="K996">
        <f t="shared" si="308"/>
        <v>1.9934314043033481E+19</v>
      </c>
      <c r="L996" s="13">
        <f t="shared" si="316"/>
        <v>52723073536.751099</v>
      </c>
      <c r="M996" s="2">
        <f t="shared" si="309"/>
        <v>710757.94553658494</v>
      </c>
      <c r="N996" s="2">
        <f t="shared" si="310"/>
        <v>1.3008616618229454E+22</v>
      </c>
      <c r="O996" s="2">
        <f t="shared" si="311"/>
        <v>4.1136857721521947E+19</v>
      </c>
      <c r="P996" s="2">
        <f t="shared" si="305"/>
        <v>1.3353943290084173E+21</v>
      </c>
      <c r="Q996" s="2">
        <f t="shared" si="317"/>
        <v>2.1352844782384194E+22</v>
      </c>
    </row>
    <row r="997" spans="1:17" x14ac:dyDescent="0.2">
      <c r="A997">
        <f t="shared" si="313"/>
        <v>94</v>
      </c>
      <c r="B997">
        <f t="shared" si="312"/>
        <v>94000</v>
      </c>
      <c r="C997" s="1">
        <f t="shared" si="314"/>
        <v>3043062000</v>
      </c>
      <c r="D997">
        <f t="shared" si="301"/>
        <v>1449.2</v>
      </c>
      <c r="E997" s="2">
        <f t="shared" si="315"/>
        <v>540000</v>
      </c>
      <c r="F997" s="2">
        <f t="shared" si="302"/>
        <v>572602.86800000002</v>
      </c>
      <c r="G997" s="2">
        <f t="shared" si="303"/>
        <v>12049.22848</v>
      </c>
      <c r="H997" s="2">
        <f t="shared" si="304"/>
        <v>42172.299679999996</v>
      </c>
      <c r="I997" s="2">
        <f t="shared" si="306"/>
        <v>44.81614743187275</v>
      </c>
      <c r="J997" s="2">
        <f t="shared" si="307"/>
        <v>13.577700821270463</v>
      </c>
      <c r="K997">
        <f t="shared" si="308"/>
        <v>2.9067356012149674E+19</v>
      </c>
      <c r="L997" s="13">
        <f t="shared" si="316"/>
        <v>65013428926.570053</v>
      </c>
      <c r="M997" s="2">
        <f t="shared" si="309"/>
        <v>788352.67141114827</v>
      </c>
      <c r="N997" s="2">
        <f t="shared" si="310"/>
        <v>1.8968603065616255E+22</v>
      </c>
      <c r="O997" s="2">
        <f t="shared" si="311"/>
        <v>5.998398971899945E+19</v>
      </c>
      <c r="P997" s="2">
        <f t="shared" si="305"/>
        <v>1.4811817346147342E+21</v>
      </c>
      <c r="Q997" s="2">
        <f t="shared" si="317"/>
        <v>2.6330438715260872E+22</v>
      </c>
    </row>
    <row r="998" spans="1:17" x14ac:dyDescent="0.2">
      <c r="A998">
        <f t="shared" si="313"/>
        <v>93</v>
      </c>
      <c r="B998">
        <f t="shared" si="312"/>
        <v>93000</v>
      </c>
      <c r="C998" s="1">
        <f t="shared" si="314"/>
        <v>3010689000</v>
      </c>
      <c r="D998">
        <f t="shared" si="301"/>
        <v>1436.9</v>
      </c>
      <c r="E998" s="2">
        <f t="shared" si="315"/>
        <v>540000</v>
      </c>
      <c r="F998" s="2">
        <f t="shared" si="302"/>
        <v>572149.64599999995</v>
      </c>
      <c r="G998" s="2">
        <f t="shared" si="303"/>
        <v>11946.961359999999</v>
      </c>
      <c r="H998" s="2">
        <f t="shared" si="304"/>
        <v>41814.364759999997</v>
      </c>
      <c r="I998" s="2">
        <f t="shared" si="306"/>
        <v>45.199777895657313</v>
      </c>
      <c r="J998" s="2">
        <f t="shared" si="307"/>
        <v>13.683088318666114</v>
      </c>
      <c r="K998">
        <f t="shared" si="308"/>
        <v>4.2659339147168801E+19</v>
      </c>
      <c r="L998" s="13">
        <f t="shared" si="316"/>
        <v>80456919755.804169</v>
      </c>
      <c r="M998" s="2">
        <f t="shared" si="309"/>
        <v>875971.04758134403</v>
      </c>
      <c r="N998" s="2">
        <f t="shared" si="310"/>
        <v>2.783837893566661E+22</v>
      </c>
      <c r="O998" s="2">
        <f t="shared" si="311"/>
        <v>8.8032683803560116E+19</v>
      </c>
      <c r="P998" s="2">
        <f t="shared" si="305"/>
        <v>1.6458018889012585E+21</v>
      </c>
      <c r="Q998" s="2">
        <f t="shared" si="317"/>
        <v>3.2585052501100686E+22</v>
      </c>
    </row>
    <row r="999" spans="1:17" x14ac:dyDescent="0.2">
      <c r="A999">
        <f t="shared" si="313"/>
        <v>92</v>
      </c>
      <c r="B999">
        <f t="shared" si="312"/>
        <v>92000</v>
      </c>
      <c r="C999" s="1">
        <f t="shared" si="314"/>
        <v>2978316000</v>
      </c>
      <c r="D999">
        <f t="shared" si="301"/>
        <v>1424.6000000000001</v>
      </c>
      <c r="E999" s="2">
        <f t="shared" si="315"/>
        <v>540000</v>
      </c>
      <c r="F999" s="2">
        <f t="shared" si="302"/>
        <v>571696.424</v>
      </c>
      <c r="G999" s="2">
        <f t="shared" si="303"/>
        <v>11844.694240000001</v>
      </c>
      <c r="H999" s="2">
        <f t="shared" si="304"/>
        <v>41456.429839999997</v>
      </c>
      <c r="I999" s="2">
        <f t="shared" si="306"/>
        <v>45.590032892229388</v>
      </c>
      <c r="J999" s="2">
        <f t="shared" si="307"/>
        <v>13.790295647899429</v>
      </c>
      <c r="K999">
        <f t="shared" si="308"/>
        <v>6.3023093224018895E+19</v>
      </c>
      <c r="L999" s="13">
        <f t="shared" si="316"/>
        <v>99936023304.225235</v>
      </c>
      <c r="M999" s="2">
        <f t="shared" si="309"/>
        <v>975100.33063327661</v>
      </c>
      <c r="N999" s="2">
        <f t="shared" si="310"/>
        <v>4.1127236988257945E+22</v>
      </c>
      <c r="O999" s="2">
        <f t="shared" si="311"/>
        <v>1.3005574275241815E+20</v>
      </c>
      <c r="P999" s="2">
        <f t="shared" si="305"/>
        <v>1.8320490962065296E+21</v>
      </c>
      <c r="Q999" s="2">
        <f t="shared" si="317"/>
        <v>4.0474089438211224E+22</v>
      </c>
    </row>
    <row r="1000" spans="1:17" x14ac:dyDescent="0.2">
      <c r="A1000">
        <f t="shared" si="313"/>
        <v>91</v>
      </c>
      <c r="B1000">
        <f t="shared" si="312"/>
        <v>91000</v>
      </c>
      <c r="C1000" s="1">
        <f t="shared" si="314"/>
        <v>2945943000</v>
      </c>
      <c r="D1000">
        <f t="shared" si="301"/>
        <v>1412.3</v>
      </c>
      <c r="E1000" s="2">
        <f t="shared" si="315"/>
        <v>540000</v>
      </c>
      <c r="F1000" s="2">
        <f t="shared" si="302"/>
        <v>571243.20200000005</v>
      </c>
      <c r="G1000" s="2">
        <f t="shared" si="303"/>
        <v>11742.427119999998</v>
      </c>
      <c r="H1000" s="2">
        <f t="shared" si="304"/>
        <v>41098.494919999997</v>
      </c>
      <c r="I1000" s="2">
        <f t="shared" si="306"/>
        <v>45.987085504687386</v>
      </c>
      <c r="J1000" s="2">
        <f t="shared" si="307"/>
        <v>13.899370356796513</v>
      </c>
      <c r="K1000">
        <f t="shared" si="308"/>
        <v>9.3742703341222003E+19</v>
      </c>
      <c r="L1000" s="13">
        <f t="shared" si="316"/>
        <v>124600796525.19995</v>
      </c>
      <c r="M1000" s="2">
        <f t="shared" si="309"/>
        <v>1087476.4176567409</v>
      </c>
      <c r="N1000" s="2">
        <f t="shared" si="310"/>
        <v>6.1174058254015748E+22</v>
      </c>
      <c r="O1000" s="2">
        <f t="shared" si="311"/>
        <v>1.9344935779851216E+20</v>
      </c>
      <c r="P1000" s="2">
        <f t="shared" si="305"/>
        <v>2.0431848144488327E+21</v>
      </c>
      <c r="Q1000" s="2">
        <f t="shared" si="317"/>
        <v>5.0463322592705977E+22</v>
      </c>
    </row>
    <row r="1001" spans="1:17" x14ac:dyDescent="0.2">
      <c r="A1001">
        <f t="shared" si="313"/>
        <v>90</v>
      </c>
      <c r="B1001">
        <f t="shared" si="312"/>
        <v>90000</v>
      </c>
      <c r="C1001" s="1">
        <f t="shared" si="314"/>
        <v>2913570000</v>
      </c>
      <c r="D1001">
        <f t="shared" si="301"/>
        <v>1400</v>
      </c>
      <c r="E1001" s="2">
        <f t="shared" si="315"/>
        <v>540000</v>
      </c>
      <c r="F1001" s="2">
        <f t="shared" si="302"/>
        <v>570789.98</v>
      </c>
      <c r="G1001" s="2">
        <f t="shared" si="303"/>
        <v>11640.159999999998</v>
      </c>
      <c r="H1001" s="2">
        <f t="shared" si="304"/>
        <v>40740.559999999998</v>
      </c>
      <c r="I1001" s="2">
        <f t="shared" si="306"/>
        <v>46.391114898764286</v>
      </c>
      <c r="J1001" s="2">
        <f t="shared" si="307"/>
        <v>14.010361664149929</v>
      </c>
      <c r="K1001">
        <f t="shared" si="308"/>
        <v>1.4041231829283154E+20</v>
      </c>
      <c r="L1001" s="13">
        <f t="shared" si="316"/>
        <v>155956289656.5134</v>
      </c>
      <c r="M1001" s="2">
        <f t="shared" si="309"/>
        <v>1215130.0476720068</v>
      </c>
      <c r="N1001" s="2">
        <f t="shared" si="310"/>
        <v>9.1629439227510827E+22</v>
      </c>
      <c r="O1001" s="2">
        <f t="shared" si="311"/>
        <v>2.8975772868291232E+20</v>
      </c>
      <c r="P1001" s="2">
        <f t="shared" si="305"/>
        <v>2.2830244598164695E+21</v>
      </c>
      <c r="Q1001" s="2">
        <f t="shared" si="317"/>
        <v>6.3162297310887929E+22</v>
      </c>
    </row>
    <row r="1002" spans="1:17" x14ac:dyDescent="0.2">
      <c r="A1002">
        <f t="shared" si="313"/>
        <v>89</v>
      </c>
      <c r="B1002">
        <f t="shared" si="312"/>
        <v>89000</v>
      </c>
      <c r="C1002" s="1">
        <f t="shared" si="314"/>
        <v>2881197000</v>
      </c>
      <c r="D1002">
        <f t="shared" si="301"/>
        <v>1387.7</v>
      </c>
      <c r="E1002" s="2">
        <f t="shared" si="315"/>
        <v>540000</v>
      </c>
      <c r="F1002" s="2">
        <f t="shared" si="302"/>
        <v>570336.75800000003</v>
      </c>
      <c r="G1002" s="2">
        <f t="shared" si="303"/>
        <v>11537.892879999999</v>
      </c>
      <c r="H1002" s="2">
        <f t="shared" si="304"/>
        <v>40382.625079999998</v>
      </c>
      <c r="I1002" s="2">
        <f t="shared" si="306"/>
        <v>46.802306592397485</v>
      </c>
      <c r="J1002" s="2">
        <f t="shared" si="307"/>
        <v>14.123320533772493</v>
      </c>
      <c r="K1002">
        <f t="shared" si="308"/>
        <v>2.1182806225332974E+20</v>
      </c>
      <c r="L1002" s="13">
        <f t="shared" si="316"/>
        <v>195980585994.15619</v>
      </c>
      <c r="M1002" s="2">
        <f t="shared" si="309"/>
        <v>1360442.4473968225</v>
      </c>
      <c r="N1002" s="2">
        <f t="shared" si="310"/>
        <v>1.3823350253674843E+23</v>
      </c>
      <c r="O1002" s="2">
        <f t="shared" si="311"/>
        <v>4.3713271695878658E+20</v>
      </c>
      <c r="P1002" s="2">
        <f t="shared" si="305"/>
        <v>2.556041955780762E+21</v>
      </c>
      <c r="Q1002" s="2">
        <f t="shared" si="317"/>
        <v>7.937213732763326E+22</v>
      </c>
    </row>
    <row r="1003" spans="1:17" x14ac:dyDescent="0.2">
      <c r="A1003">
        <f t="shared" si="313"/>
        <v>88</v>
      </c>
      <c r="B1003">
        <f t="shared" si="312"/>
        <v>88000</v>
      </c>
      <c r="C1003" s="1">
        <f t="shared" si="314"/>
        <v>2848824000</v>
      </c>
      <c r="D1003">
        <f t="shared" si="301"/>
        <v>1375.4</v>
      </c>
      <c r="E1003" s="2">
        <f t="shared" si="315"/>
        <v>540000</v>
      </c>
      <c r="F1003" s="2">
        <f t="shared" si="302"/>
        <v>569883.53599999996</v>
      </c>
      <c r="G1003" s="2">
        <f t="shared" si="303"/>
        <v>11435.625759999999</v>
      </c>
      <c r="H1003" s="2">
        <f t="shared" si="304"/>
        <v>40024.690159999998</v>
      </c>
      <c r="I1003" s="2">
        <f t="shared" si="306"/>
        <v>47.220852739762975</v>
      </c>
      <c r="J1003" s="2">
        <f t="shared" si="307"/>
        <v>14.238299752524554</v>
      </c>
      <c r="K1003">
        <f t="shared" si="308"/>
        <v>3.2192579409669443E+20</v>
      </c>
      <c r="L1003" s="13">
        <f t="shared" si="316"/>
        <v>247284931523.50848</v>
      </c>
      <c r="M1003" s="2">
        <f t="shared" si="309"/>
        <v>1526212.5281493426</v>
      </c>
      <c r="N1003" s="2">
        <f t="shared" si="310"/>
        <v>2.100804284452668E+23</v>
      </c>
      <c r="O1003" s="2">
        <f t="shared" si="311"/>
        <v>6.6433264571106591E+20</v>
      </c>
      <c r="P1003" s="2">
        <f t="shared" si="305"/>
        <v>2.8674959847456595E+21</v>
      </c>
      <c r="Q1003" s="2">
        <f t="shared" si="317"/>
        <v>1.0015039726702094E+23</v>
      </c>
    </row>
    <row r="1004" spans="1:17" x14ac:dyDescent="0.2">
      <c r="A1004">
        <f t="shared" si="313"/>
        <v>87</v>
      </c>
      <c r="B1004">
        <f t="shared" si="312"/>
        <v>87000</v>
      </c>
      <c r="C1004" s="1">
        <f t="shared" si="314"/>
        <v>2816451000</v>
      </c>
      <c r="D1004">
        <f t="shared" si="301"/>
        <v>1363.1000000000001</v>
      </c>
      <c r="E1004" s="2">
        <f t="shared" si="315"/>
        <v>540000</v>
      </c>
      <c r="F1004" s="2">
        <f t="shared" si="302"/>
        <v>569430.31400000001</v>
      </c>
      <c r="G1004" s="2">
        <f t="shared" si="303"/>
        <v>11333.35864</v>
      </c>
      <c r="H1004" s="2">
        <f t="shared" si="304"/>
        <v>39666.755239999999</v>
      </c>
      <c r="I1004" s="2">
        <f t="shared" si="306"/>
        <v>47.646952430687392</v>
      </c>
      <c r="J1004" s="2">
        <f t="shared" si="307"/>
        <v>14.355354012565813</v>
      </c>
      <c r="K1004">
        <f t="shared" si="308"/>
        <v>4.9295641222366075E+20</v>
      </c>
      <c r="L1004" s="13">
        <f t="shared" si="316"/>
        <v>313331987449.64893</v>
      </c>
      <c r="M1004" s="2">
        <f t="shared" si="309"/>
        <v>1715738.2502323876</v>
      </c>
      <c r="N1004" s="2">
        <f t="shared" si="310"/>
        <v>3.2169057647391413E+23</v>
      </c>
      <c r="O1004" s="2">
        <f t="shared" si="311"/>
        <v>1.0172749234701417E+21</v>
      </c>
      <c r="P1004" s="2">
        <f t="shared" si="305"/>
        <v>3.2235828580058E+21</v>
      </c>
      <c r="Q1004" s="2">
        <f t="shared" si="317"/>
        <v>1.2689945491710781E+23</v>
      </c>
    </row>
    <row r="1005" spans="1:17" x14ac:dyDescent="0.2">
      <c r="A1005">
        <f t="shared" si="313"/>
        <v>86</v>
      </c>
      <c r="B1005">
        <f t="shared" si="312"/>
        <v>86000</v>
      </c>
      <c r="C1005" s="1">
        <f t="shared" si="314"/>
        <v>2784078000</v>
      </c>
      <c r="D1005">
        <f t="shared" si="301"/>
        <v>1350.8</v>
      </c>
      <c r="E1005" s="2">
        <f t="shared" si="315"/>
        <v>540000</v>
      </c>
      <c r="F1005" s="2">
        <f t="shared" si="302"/>
        <v>568977.09199999995</v>
      </c>
      <c r="G1005" s="2">
        <f t="shared" si="303"/>
        <v>11231.091519999998</v>
      </c>
      <c r="H1005" s="2">
        <f t="shared" si="304"/>
        <v>39308.820319999992</v>
      </c>
      <c r="I1005" s="2">
        <f t="shared" si="306"/>
        <v>48.080812006418419</v>
      </c>
      <c r="J1005" s="2">
        <f t="shared" si="307"/>
        <v>14.474539998100866</v>
      </c>
      <c r="K1005">
        <f t="shared" si="308"/>
        <v>7.6073139513418763E+20</v>
      </c>
      <c r="L1005" s="13">
        <f t="shared" si="316"/>
        <v>398734742020.51721</v>
      </c>
      <c r="M1005" s="2">
        <f t="shared" si="309"/>
        <v>1932915.4135975672</v>
      </c>
      <c r="N1005" s="2">
        <f t="shared" si="310"/>
        <v>4.9643358920644098E+23</v>
      </c>
      <c r="O1005" s="2">
        <f t="shared" si="311"/>
        <v>1.5698608489047274E+21</v>
      </c>
      <c r="P1005" s="2">
        <f t="shared" si="305"/>
        <v>3.6316221267459441E+21</v>
      </c>
      <c r="Q1005" s="2">
        <f t="shared" si="317"/>
        <v>1.6148757051830948E+23</v>
      </c>
    </row>
    <row r="1006" spans="1:17" x14ac:dyDescent="0.2">
      <c r="A1006">
        <f t="shared" si="313"/>
        <v>85</v>
      </c>
      <c r="B1006">
        <f t="shared" si="312"/>
        <v>85000</v>
      </c>
      <c r="C1006" s="1">
        <f t="shared" si="314"/>
        <v>2751705000</v>
      </c>
      <c r="D1006">
        <f t="shared" si="301"/>
        <v>1338.5</v>
      </c>
      <c r="E1006" s="2">
        <f t="shared" si="315"/>
        <v>540000</v>
      </c>
      <c r="F1006" s="2">
        <f t="shared" si="302"/>
        <v>568523.87</v>
      </c>
      <c r="G1006" s="2">
        <f t="shared" si="303"/>
        <v>11128.8244</v>
      </c>
      <c r="H1006" s="2">
        <f t="shared" si="304"/>
        <v>38950.885399999999</v>
      </c>
      <c r="I1006" s="2">
        <f t="shared" si="306"/>
        <v>48.522645392805373</v>
      </c>
      <c r="J1006" s="2">
        <f t="shared" si="307"/>
        <v>14.595916476907609</v>
      </c>
      <c r="K1006">
        <f t="shared" si="308"/>
        <v>1.1833606983646603E+21</v>
      </c>
      <c r="L1006" s="13">
        <f t="shared" si="316"/>
        <v>509667922495.97534</v>
      </c>
      <c r="M1006" s="2">
        <f t="shared" si="309"/>
        <v>2182357.9461602452</v>
      </c>
      <c r="N1006" s="2">
        <f t="shared" si="310"/>
        <v>7.72230517331791E+23</v>
      </c>
      <c r="O1006" s="2">
        <f t="shared" si="311"/>
        <v>2.4420073134585823E+21</v>
      </c>
      <c r="P1006" s="2">
        <f t="shared" si="305"/>
        <v>4.1002825835013331E+21</v>
      </c>
      <c r="Q1006" s="2">
        <f t="shared" si="317"/>
        <v>2.0641550861087001E+23</v>
      </c>
    </row>
    <row r="1007" spans="1:17" x14ac:dyDescent="0.2">
      <c r="A1007">
        <f t="shared" si="313"/>
        <v>84</v>
      </c>
      <c r="B1007">
        <f t="shared" si="312"/>
        <v>84000</v>
      </c>
      <c r="C1007" s="1">
        <f t="shared" si="314"/>
        <v>2719332000</v>
      </c>
      <c r="D1007">
        <f t="shared" si="301"/>
        <v>1326.2</v>
      </c>
      <c r="E1007" s="2">
        <f t="shared" si="315"/>
        <v>540000</v>
      </c>
      <c r="F1007" s="2">
        <f t="shared" si="302"/>
        <v>568070.64800000004</v>
      </c>
      <c r="G1007" s="2">
        <f t="shared" si="303"/>
        <v>11026.557279999999</v>
      </c>
      <c r="H1007" s="2">
        <f t="shared" si="304"/>
        <v>38592.95048</v>
      </c>
      <c r="I1007" s="2">
        <f t="shared" si="306"/>
        <v>48.972674452020804</v>
      </c>
      <c r="J1007" s="2">
        <f t="shared" si="307"/>
        <v>14.719544396958998</v>
      </c>
      <c r="K1007">
        <f t="shared" si="308"/>
        <v>1.8559329342468131E+21</v>
      </c>
      <c r="L1007" s="13">
        <f t="shared" si="316"/>
        <v>654437131708.65259</v>
      </c>
      <c r="M1007" s="2">
        <f t="shared" si="309"/>
        <v>2469544.7921877895</v>
      </c>
      <c r="N1007" s="2">
        <f t="shared" si="310"/>
        <v>1.2111337244232807E+24</v>
      </c>
      <c r="O1007" s="2">
        <f t="shared" si="311"/>
        <v>3.8299411202202492E+21</v>
      </c>
      <c r="P1007" s="2">
        <f t="shared" si="305"/>
        <v>4.6398582406703402E+21</v>
      </c>
      <c r="Q1007" s="2">
        <f t="shared" si="317"/>
        <v>2.6504703834200431E+23</v>
      </c>
    </row>
    <row r="1008" spans="1:17" x14ac:dyDescent="0.2">
      <c r="A1008">
        <f t="shared" si="313"/>
        <v>83</v>
      </c>
      <c r="B1008">
        <f t="shared" si="312"/>
        <v>83000</v>
      </c>
      <c r="C1008" s="1">
        <f t="shared" si="314"/>
        <v>2686959000</v>
      </c>
      <c r="D1008">
        <f t="shared" si="301"/>
        <v>1313.9</v>
      </c>
      <c r="E1008" s="2">
        <f t="shared" si="315"/>
        <v>540000</v>
      </c>
      <c r="F1008" s="2">
        <f t="shared" si="302"/>
        <v>567617.42599999998</v>
      </c>
      <c r="G1008" s="2">
        <f t="shared" si="303"/>
        <v>10924.29016</v>
      </c>
      <c r="H1008" s="2">
        <f t="shared" si="304"/>
        <v>38235.01556</v>
      </c>
      <c r="I1008" s="2">
        <f t="shared" si="306"/>
        <v>49.431129354037587</v>
      </c>
      <c r="J1008" s="2">
        <f t="shared" si="307"/>
        <v>14.845486988471883</v>
      </c>
      <c r="K1008">
        <f t="shared" si="308"/>
        <v>2.9353960987610804E+21</v>
      </c>
      <c r="L1008" s="13">
        <f t="shared" si="316"/>
        <v>844270290786.90466</v>
      </c>
      <c r="M1008" s="2">
        <f t="shared" si="309"/>
        <v>2800999.8157772212</v>
      </c>
      <c r="N1008" s="2">
        <f t="shared" si="310"/>
        <v>1.9155634043386665E+24</v>
      </c>
      <c r="O1008" s="2">
        <f t="shared" si="311"/>
        <v>6.057543360176226E+21</v>
      </c>
      <c r="P1008" s="2">
        <f t="shared" si="305"/>
        <v>5.2626063388129802E+21</v>
      </c>
      <c r="Q1008" s="2">
        <f t="shared" si="317"/>
        <v>3.4192946776869642E+23</v>
      </c>
    </row>
    <row r="1009" spans="1:17" x14ac:dyDescent="0.2">
      <c r="A1009">
        <f t="shared" si="313"/>
        <v>82</v>
      </c>
      <c r="B1009">
        <f t="shared" si="312"/>
        <v>82000</v>
      </c>
      <c r="C1009" s="1">
        <f t="shared" si="314"/>
        <v>2654586000</v>
      </c>
      <c r="D1009">
        <f t="shared" si="301"/>
        <v>1301.5999999999999</v>
      </c>
      <c r="E1009" s="2">
        <f t="shared" si="315"/>
        <v>540000</v>
      </c>
      <c r="F1009" s="2">
        <f t="shared" si="302"/>
        <v>567164.20400000003</v>
      </c>
      <c r="G1009" s="2">
        <f t="shared" si="303"/>
        <v>10822.023039999998</v>
      </c>
      <c r="H1009" s="2">
        <f t="shared" si="304"/>
        <v>37877.080639999993</v>
      </c>
      <c r="I1009" s="2">
        <f t="shared" si="306"/>
        <v>49.898248969168712</v>
      </c>
      <c r="J1009" s="2">
        <f t="shared" si="307"/>
        <v>14.973809871742009</v>
      </c>
      <c r="K1009">
        <f t="shared" si="308"/>
        <v>4.6831081134184192E+21</v>
      </c>
      <c r="L1009" s="13">
        <f t="shared" si="316"/>
        <v>1094424124673.6702</v>
      </c>
      <c r="M1009" s="2">
        <f t="shared" si="309"/>
        <v>3184512.8111051139</v>
      </c>
      <c r="N1009" s="2">
        <f t="shared" si="310"/>
        <v>3.0560749618806293E+24</v>
      </c>
      <c r="O1009" s="2">
        <f t="shared" si="311"/>
        <v>9.664157579755001E+21</v>
      </c>
      <c r="P1009" s="2">
        <f t="shared" si="305"/>
        <v>5.9831625876428963E+21</v>
      </c>
      <c r="Q1009" s="2">
        <f t="shared" si="317"/>
        <v>4.4324177049283641E+23</v>
      </c>
    </row>
    <row r="1010" spans="1:17" x14ac:dyDescent="0.2">
      <c r="A1010">
        <f t="shared" si="313"/>
        <v>81</v>
      </c>
      <c r="B1010">
        <f t="shared" si="312"/>
        <v>81000</v>
      </c>
      <c r="C1010" s="1">
        <f t="shared" si="314"/>
        <v>2622213000</v>
      </c>
      <c r="D1010">
        <f t="shared" si="301"/>
        <v>1289.3000000000002</v>
      </c>
      <c r="E1010" s="2">
        <f t="shared" si="315"/>
        <v>540000</v>
      </c>
      <c r="F1010" s="2">
        <f t="shared" si="302"/>
        <v>566710.98199999996</v>
      </c>
      <c r="G1010" s="2">
        <f t="shared" si="303"/>
        <v>10719.75592</v>
      </c>
      <c r="H1010" s="2">
        <f t="shared" si="304"/>
        <v>37519.14572</v>
      </c>
      <c r="I1010" s="2">
        <f t="shared" si="306"/>
        <v>50.37428128307608</v>
      </c>
      <c r="J1010" s="2">
        <f t="shared" si="307"/>
        <v>15.104581171151462</v>
      </c>
      <c r="K1010">
        <f t="shared" si="308"/>
        <v>7.5382821929968248E+21</v>
      </c>
      <c r="L1010" s="13">
        <f t="shared" si="316"/>
        <v>1425739616226.5596</v>
      </c>
      <c r="M1010" s="2">
        <f t="shared" si="309"/>
        <v>3629411.8602757799</v>
      </c>
      <c r="N1010" s="2">
        <f t="shared" si="310"/>
        <v>4.9192875559714568E+24</v>
      </c>
      <c r="O1010" s="2">
        <f t="shared" si="311"/>
        <v>1.5556153142192774E+22</v>
      </c>
      <c r="P1010" s="2">
        <f t="shared" si="305"/>
        <v>6.8190528804981079E+21</v>
      </c>
      <c r="Q1010" s="2">
        <f t="shared" si="317"/>
        <v>5.7742454457175662E+23</v>
      </c>
    </row>
    <row r="1011" spans="1:17" x14ac:dyDescent="0.2">
      <c r="A1011">
        <f t="shared" si="313"/>
        <v>80</v>
      </c>
      <c r="B1011">
        <f t="shared" si="312"/>
        <v>80000</v>
      </c>
      <c r="C1011" s="1">
        <f t="shared" si="314"/>
        <v>2589840000</v>
      </c>
      <c r="D1011">
        <f t="shared" ref="D1011:D1074" si="318">IF(A1011&gt;$B$4,$B$2+(A1011-$B$4)*$B$5,$B$6+(($B$2-$B$6)/$B$4)*(A1011))</f>
        <v>1277</v>
      </c>
      <c r="E1011" s="2">
        <f t="shared" si="315"/>
        <v>540000</v>
      </c>
      <c r="F1011" s="2">
        <f t="shared" ref="F1011:F1074" si="319">+$F$20+$H$15*C1011*(0.000001)</f>
        <v>566257.76</v>
      </c>
      <c r="G1011" s="2">
        <f t="shared" ref="G1011:G1074" si="320">+$B$17*D1011</f>
        <v>10617.488799999999</v>
      </c>
      <c r="H1011" s="2">
        <f t="shared" ref="H1011:H1074" si="321">+$B$23*$B$17*D1011</f>
        <v>37161.210799999993</v>
      </c>
      <c r="I1011" s="2">
        <f t="shared" si="306"/>
        <v>50.859483835763506</v>
      </c>
      <c r="J1011" s="2">
        <f t="shared" si="307"/>
        <v>15.237871635764895</v>
      </c>
      <c r="K1011">
        <f t="shared" si="308"/>
        <v>1.2245969750369627E+22</v>
      </c>
      <c r="L1011" s="13">
        <f t="shared" si="316"/>
        <v>1866840970407.8582</v>
      </c>
      <c r="M1011" s="2">
        <f t="shared" si="309"/>
        <v>4146900.0441410006</v>
      </c>
      <c r="N1011" s="2">
        <f t="shared" si="310"/>
        <v>7.9914024258419763E+24</v>
      </c>
      <c r="O1011" s="2">
        <f t="shared" si="311"/>
        <v>2.527103336465536E+22</v>
      </c>
      <c r="P1011" s="2">
        <f t="shared" ref="P1011:P1037" si="322">(1000000)*($F$18^(-1/$B$23))*($F$19^((1/$B$23)-1))*M1011</f>
        <v>7.7913259171938472E+21</v>
      </c>
      <c r="Q1011" s="2">
        <f t="shared" si="317"/>
        <v>7.5607059301518261E+23</v>
      </c>
    </row>
    <row r="1012" spans="1:17" x14ac:dyDescent="0.2">
      <c r="A1012">
        <f t="shared" si="313"/>
        <v>79</v>
      </c>
      <c r="B1012">
        <f t="shared" si="312"/>
        <v>79000</v>
      </c>
      <c r="C1012" s="1">
        <f t="shared" si="314"/>
        <v>2557467000</v>
      </c>
      <c r="D1012">
        <f t="shared" si="318"/>
        <v>1264.7</v>
      </c>
      <c r="E1012" s="2">
        <f t="shared" si="315"/>
        <v>540000</v>
      </c>
      <c r="F1012" s="2">
        <f t="shared" si="319"/>
        <v>565804.53799999994</v>
      </c>
      <c r="G1012" s="2">
        <f t="shared" si="320"/>
        <v>10515.221679999999</v>
      </c>
      <c r="H1012" s="2">
        <f t="shared" si="321"/>
        <v>36803.275880000001</v>
      </c>
      <c r="I1012" s="2">
        <f t="shared" ref="I1012:I1075" si="323">+E1012/G1012</f>
        <v>51.354124186186446</v>
      </c>
      <c r="J1012" s="2">
        <f t="shared" ref="J1012:J1075" si="324">+F1012/H1012</f>
        <v>15.373754766962879</v>
      </c>
      <c r="K1012">
        <f t="shared" ref="K1012:K1075" si="325">+EXP(I1012)</f>
        <v>2.0082267932904254E+22</v>
      </c>
      <c r="L1012" s="13">
        <f t="shared" si="316"/>
        <v>2457262379491.1929</v>
      </c>
      <c r="M1012" s="2">
        <f t="shared" ref="M1012:M1075" si="326">+EXP(J1012)</f>
        <v>4750473.080579143</v>
      </c>
      <c r="N1012" s="2">
        <f t="shared" ref="N1012:N1037" si="327">+$B$13*(($B$15/$B$21)^($B$23-1))*K1012</f>
        <v>1.3105167491580286E+25</v>
      </c>
      <c r="O1012" s="2">
        <f t="shared" ref="O1012:O1037" si="328">+$B$13*(($B$15/$B$22)^($B$23-1))*K1012</f>
        <v>4.1442178391389032E+22</v>
      </c>
      <c r="P1012" s="2">
        <f t="shared" si="322"/>
        <v>8.9253378759253012E+21</v>
      </c>
      <c r="Q1012" s="2">
        <f t="shared" si="317"/>
        <v>9.9519126369393311E+23</v>
      </c>
    </row>
    <row r="1013" spans="1:17" x14ac:dyDescent="0.2">
      <c r="A1013">
        <f t="shared" si="313"/>
        <v>78</v>
      </c>
      <c r="B1013">
        <f t="shared" si="312"/>
        <v>78000</v>
      </c>
      <c r="C1013" s="1">
        <f t="shared" si="314"/>
        <v>2525094000</v>
      </c>
      <c r="D1013">
        <f t="shared" si="318"/>
        <v>1252.4000000000001</v>
      </c>
      <c r="E1013" s="2">
        <f t="shared" si="315"/>
        <v>540000</v>
      </c>
      <c r="F1013" s="2">
        <f t="shared" si="319"/>
        <v>565351.31599999999</v>
      </c>
      <c r="G1013" s="2">
        <f t="shared" si="320"/>
        <v>10412.95456</v>
      </c>
      <c r="H1013" s="2">
        <f t="shared" si="321"/>
        <v>36445.340960000001</v>
      </c>
      <c r="I1013" s="2">
        <f t="shared" si="323"/>
        <v>51.858480404239849</v>
      </c>
      <c r="J1013" s="2">
        <f t="shared" si="324"/>
        <v>15.512306953596408</v>
      </c>
      <c r="K1013">
        <f t="shared" si="325"/>
        <v>3.3254611571514431E+22</v>
      </c>
      <c r="L1013" s="13">
        <f t="shared" si="316"/>
        <v>3251920598934.9136</v>
      </c>
      <c r="M1013" s="2">
        <f t="shared" si="326"/>
        <v>5456439.0897640046</v>
      </c>
      <c r="N1013" s="2">
        <f t="shared" si="327"/>
        <v>2.17010975039369E+25</v>
      </c>
      <c r="O1013" s="2">
        <f t="shared" si="328"/>
        <v>6.8624895837835121E+22</v>
      </c>
      <c r="P1013" s="2">
        <f t="shared" si="322"/>
        <v>1.0251728964563004E+22</v>
      </c>
      <c r="Q1013" s="2">
        <f t="shared" si="317"/>
        <v>1.3170278425686401E+24</v>
      </c>
    </row>
    <row r="1014" spans="1:17" x14ac:dyDescent="0.2">
      <c r="A1014">
        <f t="shared" si="313"/>
        <v>77</v>
      </c>
      <c r="B1014">
        <f t="shared" si="312"/>
        <v>77000</v>
      </c>
      <c r="C1014" s="1">
        <f t="shared" si="314"/>
        <v>2492721000</v>
      </c>
      <c r="D1014">
        <f t="shared" si="318"/>
        <v>1240.0999999999999</v>
      </c>
      <c r="E1014" s="2">
        <f t="shared" si="315"/>
        <v>540000</v>
      </c>
      <c r="F1014" s="2">
        <f t="shared" si="319"/>
        <v>564898.09400000004</v>
      </c>
      <c r="G1014" s="2">
        <f t="shared" si="320"/>
        <v>10310.687439999998</v>
      </c>
      <c r="H1014" s="2">
        <f t="shared" si="321"/>
        <v>36087.406039999994</v>
      </c>
      <c r="I1014" s="2">
        <f t="shared" si="323"/>
        <v>52.372841592024841</v>
      </c>
      <c r="J1014" s="2">
        <f t="shared" si="324"/>
        <v>15.653607615184528</v>
      </c>
      <c r="K1014">
        <f t="shared" si="325"/>
        <v>5.5620655782802712E+22</v>
      </c>
      <c r="L1014" s="13">
        <f t="shared" si="316"/>
        <v>4327551855374.3535</v>
      </c>
      <c r="M1014" s="2">
        <f t="shared" si="326"/>
        <v>6284567.702261935</v>
      </c>
      <c r="N1014" s="2">
        <f t="shared" si="327"/>
        <v>3.6296598196006072E+25</v>
      </c>
      <c r="O1014" s="2">
        <f t="shared" si="328"/>
        <v>1.1477992161533737E+23</v>
      </c>
      <c r="P1014" s="2">
        <f t="shared" si="322"/>
        <v>1.1807642985312312E+22</v>
      </c>
      <c r="Q1014" s="2">
        <f t="shared" si="317"/>
        <v>1.7526585014266132E+24</v>
      </c>
    </row>
    <row r="1015" spans="1:17" x14ac:dyDescent="0.2">
      <c r="A1015">
        <f t="shared" si="313"/>
        <v>76</v>
      </c>
      <c r="B1015">
        <f t="shared" si="312"/>
        <v>76000</v>
      </c>
      <c r="C1015" s="1">
        <f t="shared" si="314"/>
        <v>2460348000</v>
      </c>
      <c r="D1015">
        <f t="shared" si="318"/>
        <v>1227.8000000000002</v>
      </c>
      <c r="E1015" s="2">
        <f t="shared" si="315"/>
        <v>540000</v>
      </c>
      <c r="F1015" s="2">
        <f t="shared" si="319"/>
        <v>564444.87199999997</v>
      </c>
      <c r="G1015" s="2">
        <f t="shared" si="320"/>
        <v>10208.420320000001</v>
      </c>
      <c r="H1015" s="2">
        <f t="shared" si="321"/>
        <v>35729.471120000002</v>
      </c>
      <c r="I1015" s="2">
        <f t="shared" si="323"/>
        <v>52.897508436447289</v>
      </c>
      <c r="J1015" s="2">
        <f t="shared" si="324"/>
        <v>15.797739353719265</v>
      </c>
      <c r="K1015">
        <f t="shared" si="325"/>
        <v>9.3993110174929315E+22</v>
      </c>
      <c r="L1015" s="13">
        <f t="shared" si="316"/>
        <v>5792034265012.6748</v>
      </c>
      <c r="M1015" s="2">
        <f t="shared" si="326"/>
        <v>7258903.5826264918</v>
      </c>
      <c r="N1015" s="2">
        <f t="shared" si="327"/>
        <v>6.1337467262785805E+25</v>
      </c>
      <c r="O1015" s="2">
        <f t="shared" si="328"/>
        <v>1.9396610245641599E+23</v>
      </c>
      <c r="P1015" s="2">
        <f t="shared" si="322"/>
        <v>1.3638255808368372E+22</v>
      </c>
      <c r="Q1015" s="2">
        <f t="shared" si="317"/>
        <v>2.3457738773301334E+24</v>
      </c>
    </row>
    <row r="1016" spans="1:17" x14ac:dyDescent="0.2">
      <c r="A1016">
        <f t="shared" si="313"/>
        <v>75</v>
      </c>
      <c r="B1016">
        <f t="shared" ref="B1016:B1079" si="329">A1016*1000</f>
        <v>75000</v>
      </c>
      <c r="C1016" s="1">
        <f t="shared" si="314"/>
        <v>2427975000</v>
      </c>
      <c r="D1016">
        <f t="shared" si="318"/>
        <v>1215.5</v>
      </c>
      <c r="E1016" s="2">
        <f t="shared" si="315"/>
        <v>540000</v>
      </c>
      <c r="F1016" s="2">
        <f t="shared" si="319"/>
        <v>563991.65</v>
      </c>
      <c r="G1016" s="2">
        <f t="shared" si="320"/>
        <v>10106.153199999999</v>
      </c>
      <c r="H1016" s="2">
        <f t="shared" si="321"/>
        <v>35371.536199999995</v>
      </c>
      <c r="I1016" s="2">
        <f t="shared" si="323"/>
        <v>53.432793795368156</v>
      </c>
      <c r="J1016" s="2">
        <f t="shared" si="324"/>
        <v>15.94478811468754</v>
      </c>
      <c r="K1016">
        <f t="shared" si="325"/>
        <v>1.6053417407536158E+23</v>
      </c>
      <c r="L1016" s="13">
        <f t="shared" si="316"/>
        <v>7797976881945.0137</v>
      </c>
      <c r="M1016" s="2">
        <f t="shared" si="326"/>
        <v>8408789.7429205552</v>
      </c>
      <c r="N1016" s="2">
        <f t="shared" si="327"/>
        <v>1.0476044072358258E+26</v>
      </c>
      <c r="O1016" s="2">
        <f t="shared" si="328"/>
        <v>3.3128160136957738E+23</v>
      </c>
      <c r="P1016" s="2">
        <f t="shared" si="322"/>
        <v>1.5798698005469235E+22</v>
      </c>
      <c r="Q1016" s="2">
        <f t="shared" si="317"/>
        <v>3.1581806371877304E+24</v>
      </c>
    </row>
    <row r="1017" spans="1:17" x14ac:dyDescent="0.2">
      <c r="A1017">
        <f t="shared" si="313"/>
        <v>74</v>
      </c>
      <c r="B1017">
        <f t="shared" si="329"/>
        <v>74000</v>
      </c>
      <c r="C1017" s="1">
        <f t="shared" si="314"/>
        <v>2395602000</v>
      </c>
      <c r="D1017">
        <f t="shared" si="318"/>
        <v>1203.2</v>
      </c>
      <c r="E1017" s="2">
        <f t="shared" si="315"/>
        <v>540000</v>
      </c>
      <c r="F1017" s="2">
        <f t="shared" si="319"/>
        <v>563538.42799999996</v>
      </c>
      <c r="G1017" s="2">
        <f t="shared" si="320"/>
        <v>10003.88608</v>
      </c>
      <c r="H1017" s="2">
        <f t="shared" si="321"/>
        <v>35013.601279999995</v>
      </c>
      <c r="I1017" s="2">
        <f t="shared" si="323"/>
        <v>53.979023319705774</v>
      </c>
      <c r="J1017" s="2">
        <f t="shared" si="324"/>
        <v>16.094843357969491</v>
      </c>
      <c r="K1017">
        <f t="shared" si="325"/>
        <v>2.7719919598674258E+23</v>
      </c>
      <c r="L1017" s="13">
        <f t="shared" si="316"/>
        <v>10562660341166.797</v>
      </c>
      <c r="M1017" s="2">
        <f t="shared" si="326"/>
        <v>9770159.5839999542</v>
      </c>
      <c r="N1017" s="2">
        <f t="shared" si="327"/>
        <v>1.8089300989683051E+26</v>
      </c>
      <c r="O1017" s="2">
        <f t="shared" si="328"/>
        <v>5.7203392407736206E+23</v>
      </c>
      <c r="P1017" s="2">
        <f t="shared" si="322"/>
        <v>1.8356482377598978E+22</v>
      </c>
      <c r="Q1017" s="2">
        <f t="shared" si="317"/>
        <v>4.2778774381725529E+24</v>
      </c>
    </row>
    <row r="1018" spans="1:17" x14ac:dyDescent="0.2">
      <c r="A1018">
        <f t="shared" si="313"/>
        <v>73</v>
      </c>
      <c r="B1018">
        <f t="shared" si="329"/>
        <v>73000</v>
      </c>
      <c r="C1018" s="1">
        <f t="shared" si="314"/>
        <v>2363229000</v>
      </c>
      <c r="D1018">
        <f t="shared" si="318"/>
        <v>1190.9000000000001</v>
      </c>
      <c r="E1018" s="2">
        <f t="shared" si="315"/>
        <v>540000</v>
      </c>
      <c r="F1018" s="2">
        <f t="shared" si="319"/>
        <v>563085.20600000001</v>
      </c>
      <c r="G1018" s="2">
        <f t="shared" si="320"/>
        <v>9901.6189599999998</v>
      </c>
      <c r="H1018" s="2">
        <f t="shared" si="321"/>
        <v>34655.666359999996</v>
      </c>
      <c r="I1018" s="2">
        <f t="shared" si="323"/>
        <v>54.536536114090175</v>
      </c>
      <c r="J1018" s="2">
        <f t="shared" si="324"/>
        <v>16.247998239327465</v>
      </c>
      <c r="K1018">
        <f t="shared" si="325"/>
        <v>4.8407950570672107E+23</v>
      </c>
      <c r="L1018" s="13">
        <f t="shared" si="316"/>
        <v>14397498885802.705</v>
      </c>
      <c r="M1018" s="2">
        <f t="shared" si="326"/>
        <v>11387174.535975493</v>
      </c>
      <c r="N1018" s="2">
        <f t="shared" si="327"/>
        <v>3.1589773738321631E+26</v>
      </c>
      <c r="O1018" s="2">
        <f t="shared" si="328"/>
        <v>9.9895635782467791E+23</v>
      </c>
      <c r="P1018" s="2">
        <f t="shared" si="322"/>
        <v>2.13945808052708E+22</v>
      </c>
      <c r="Q1018" s="2">
        <f t="shared" si="317"/>
        <v>5.8309870487500958E+24</v>
      </c>
    </row>
    <row r="1019" spans="1:17" x14ac:dyDescent="0.2">
      <c r="A1019">
        <f t="shared" si="313"/>
        <v>72</v>
      </c>
      <c r="B1019">
        <f t="shared" si="329"/>
        <v>72000</v>
      </c>
      <c r="C1019" s="1">
        <f t="shared" si="314"/>
        <v>2330856000</v>
      </c>
      <c r="D1019">
        <f t="shared" si="318"/>
        <v>1178.5999999999999</v>
      </c>
      <c r="E1019" s="2">
        <f t="shared" si="315"/>
        <v>540000</v>
      </c>
      <c r="F1019" s="2">
        <f t="shared" si="319"/>
        <v>562631.98399999994</v>
      </c>
      <c r="G1019" s="2">
        <f t="shared" si="320"/>
        <v>9799.3518399999975</v>
      </c>
      <c r="H1019" s="2">
        <f t="shared" si="321"/>
        <v>34297.731439999996</v>
      </c>
      <c r="I1019" s="2">
        <f t="shared" si="323"/>
        <v>55.105685438885125</v>
      </c>
      <c r="J1019" s="2">
        <f t="shared" si="324"/>
        <v>16.404349803259173</v>
      </c>
      <c r="K1019">
        <f t="shared" si="325"/>
        <v>8.5525398731517894E+23</v>
      </c>
      <c r="L1019" s="13">
        <f t="shared" si="316"/>
        <v>19751877938904.949</v>
      </c>
      <c r="M1019" s="2">
        <f t="shared" si="326"/>
        <v>13314307.984559728</v>
      </c>
      <c r="N1019" s="2">
        <f t="shared" si="327"/>
        <v>5.5811658270144335E+26</v>
      </c>
      <c r="O1019" s="2">
        <f t="shared" si="328"/>
        <v>1.7649196012462841E+24</v>
      </c>
      <c r="P1019" s="2">
        <f t="shared" si="322"/>
        <v>2.5015339594733192E+22</v>
      </c>
      <c r="Q1019" s="2">
        <f t="shared" si="317"/>
        <v>7.9995105652565049E+24</v>
      </c>
    </row>
    <row r="1020" spans="1:17" x14ac:dyDescent="0.2">
      <c r="A1020">
        <f t="shared" si="313"/>
        <v>71</v>
      </c>
      <c r="B1020">
        <f t="shared" si="329"/>
        <v>71000</v>
      </c>
      <c r="C1020" s="1">
        <f t="shared" si="314"/>
        <v>2298483000</v>
      </c>
      <c r="D1020">
        <f t="shared" si="318"/>
        <v>1166.3000000000002</v>
      </c>
      <c r="E1020" s="2">
        <f t="shared" si="315"/>
        <v>540000</v>
      </c>
      <c r="F1020" s="2">
        <f t="shared" si="319"/>
        <v>562178.76199999999</v>
      </c>
      <c r="G1020" s="2">
        <f t="shared" si="320"/>
        <v>9697.0847200000007</v>
      </c>
      <c r="H1020" s="2">
        <f t="shared" si="321"/>
        <v>33939.796520000004</v>
      </c>
      <c r="I1020" s="2">
        <f t="shared" si="323"/>
        <v>55.686839456632072</v>
      </c>
      <c r="J1020" s="2">
        <f t="shared" si="324"/>
        <v>16.563999188054058</v>
      </c>
      <c r="K1020">
        <f t="shared" si="325"/>
        <v>1.5292802880664005E+24</v>
      </c>
      <c r="L1020" s="13">
        <f t="shared" si="316"/>
        <v>27278856516160.742</v>
      </c>
      <c r="M1020" s="2">
        <f t="shared" si="326"/>
        <v>15619007.937799592</v>
      </c>
      <c r="N1020" s="2">
        <f t="shared" si="327"/>
        <v>9.9796867483502257E+26</v>
      </c>
      <c r="O1020" s="2">
        <f t="shared" si="328"/>
        <v>3.1558540459786188E+24</v>
      </c>
      <c r="P1020" s="2">
        <f t="shared" si="322"/>
        <v>2.9345482179771743E+22</v>
      </c>
      <c r="Q1020" s="2">
        <f t="shared" si="317"/>
        <v>1.1047936889045101E+25</v>
      </c>
    </row>
    <row r="1021" spans="1:17" x14ac:dyDescent="0.2">
      <c r="A1021">
        <f t="shared" si="313"/>
        <v>70</v>
      </c>
      <c r="B1021">
        <f t="shared" si="329"/>
        <v>70000</v>
      </c>
      <c r="C1021" s="1">
        <f t="shared" si="314"/>
        <v>2266110000</v>
      </c>
      <c r="D1021">
        <f t="shared" si="318"/>
        <v>1154</v>
      </c>
      <c r="E1021" s="2">
        <f t="shared" si="315"/>
        <v>540000</v>
      </c>
      <c r="F1021" s="2">
        <f t="shared" si="319"/>
        <v>561725.54</v>
      </c>
      <c r="G1021" s="2">
        <f t="shared" si="320"/>
        <v>9594.8175999999985</v>
      </c>
      <c r="H1021" s="2">
        <f t="shared" si="321"/>
        <v>33581.861599999997</v>
      </c>
      <c r="I1021" s="2">
        <f t="shared" si="323"/>
        <v>56.280382026230505</v>
      </c>
      <c r="J1021" s="2">
        <f t="shared" si="324"/>
        <v>16.727051843963292</v>
      </c>
      <c r="K1021">
        <f t="shared" si="325"/>
        <v>2.7685945101537945E+24</v>
      </c>
      <c r="L1021" s="13">
        <f t="shared" si="316"/>
        <v>37934378582098.055</v>
      </c>
      <c r="M1021" s="2">
        <f t="shared" si="326"/>
        <v>18385113.458703794</v>
      </c>
      <c r="N1021" s="2">
        <f t="shared" si="327"/>
        <v>1.8067130113520002E+27</v>
      </c>
      <c r="O1021" s="2">
        <f t="shared" si="328"/>
        <v>5.7133281941339438E+24</v>
      </c>
      <c r="P1021" s="2">
        <f t="shared" si="322"/>
        <v>3.4542528022524425E+22</v>
      </c>
      <c r="Q1021" s="2">
        <f t="shared" si="317"/>
        <v>1.5363423325749713E+25</v>
      </c>
    </row>
    <row r="1022" spans="1:17" x14ac:dyDescent="0.2">
      <c r="A1022">
        <f t="shared" si="313"/>
        <v>69</v>
      </c>
      <c r="B1022">
        <f t="shared" si="329"/>
        <v>69000</v>
      </c>
      <c r="C1022" s="1">
        <f t="shared" si="314"/>
        <v>2233737000</v>
      </c>
      <c r="D1022">
        <f t="shared" si="318"/>
        <v>1141.7</v>
      </c>
      <c r="E1022" s="2">
        <f t="shared" si="315"/>
        <v>540000</v>
      </c>
      <c r="F1022" s="2">
        <f t="shared" si="319"/>
        <v>561272.31799999997</v>
      </c>
      <c r="G1022" s="2">
        <f t="shared" si="320"/>
        <v>9492.5504799999999</v>
      </c>
      <c r="H1022" s="2">
        <f t="shared" si="321"/>
        <v>33223.926679999997</v>
      </c>
      <c r="I1022" s="2">
        <f t="shared" si="323"/>
        <v>56.886713548454054</v>
      </c>
      <c r="J1022" s="2">
        <f t="shared" si="324"/>
        <v>16.893617765472388</v>
      </c>
      <c r="K1022">
        <f t="shared" si="325"/>
        <v>5.0767501194166752E+24</v>
      </c>
      <c r="L1022" s="13">
        <f t="shared" si="316"/>
        <v>53128241040910.883</v>
      </c>
      <c r="M1022" s="2">
        <f t="shared" si="326"/>
        <v>21717257.207442418</v>
      </c>
      <c r="N1022" s="2">
        <f t="shared" si="327"/>
        <v>3.3129555312249077E+27</v>
      </c>
      <c r="O1022" s="2">
        <f t="shared" si="328"/>
        <v>1.0476485265523744E+25</v>
      </c>
      <c r="P1022" s="2">
        <f t="shared" si="322"/>
        <v>4.080306424790154E+22</v>
      </c>
      <c r="Q1022" s="2">
        <f t="shared" si="317"/>
        <v>2.1516937621568906E+25</v>
      </c>
    </row>
    <row r="1023" spans="1:17" x14ac:dyDescent="0.2">
      <c r="A1023">
        <f t="shared" si="313"/>
        <v>68</v>
      </c>
      <c r="B1023">
        <f t="shared" si="329"/>
        <v>68000</v>
      </c>
      <c r="C1023" s="1">
        <f t="shared" si="314"/>
        <v>2201364000</v>
      </c>
      <c r="D1023">
        <f t="shared" si="318"/>
        <v>1129.4000000000001</v>
      </c>
      <c r="E1023" s="2">
        <f t="shared" si="315"/>
        <v>540000</v>
      </c>
      <c r="F1023" s="2">
        <f t="shared" si="319"/>
        <v>560819.09600000002</v>
      </c>
      <c r="G1023" s="2">
        <f t="shared" si="320"/>
        <v>9390.2833599999994</v>
      </c>
      <c r="H1023" s="2">
        <f t="shared" si="321"/>
        <v>32865.991759999997</v>
      </c>
      <c r="I1023" s="2">
        <f t="shared" si="323"/>
        <v>57.506251866716838</v>
      </c>
      <c r="J1023" s="2">
        <f t="shared" si="324"/>
        <v>17.063811738751561</v>
      </c>
      <c r="K1023">
        <f t="shared" si="325"/>
        <v>9.4329571289237928E+24</v>
      </c>
      <c r="L1023" s="13">
        <f t="shared" si="316"/>
        <v>74955648688768</v>
      </c>
      <c r="M1023" s="2">
        <f t="shared" si="326"/>
        <v>25746563.986463476</v>
      </c>
      <c r="N1023" s="2">
        <f t="shared" si="327"/>
        <v>6.1557033064424848E+27</v>
      </c>
      <c r="O1023" s="2">
        <f t="shared" si="328"/>
        <v>1.9466043048587606E+25</v>
      </c>
      <c r="P1023" s="2">
        <f t="shared" si="322"/>
        <v>4.8373452248949832E+22</v>
      </c>
      <c r="Q1023" s="2">
        <f t="shared" si="317"/>
        <v>3.035703771895104E+25</v>
      </c>
    </row>
    <row r="1024" spans="1:17" x14ac:dyDescent="0.2">
      <c r="A1024">
        <f t="shared" si="313"/>
        <v>67</v>
      </c>
      <c r="B1024">
        <f t="shared" si="329"/>
        <v>67000</v>
      </c>
      <c r="C1024" s="1">
        <f t="shared" si="314"/>
        <v>2168991000</v>
      </c>
      <c r="D1024">
        <f t="shared" si="318"/>
        <v>1117.0999999999999</v>
      </c>
      <c r="E1024" s="2">
        <f t="shared" si="315"/>
        <v>540000</v>
      </c>
      <c r="F1024" s="2">
        <f t="shared" si="319"/>
        <v>560365.87399999995</v>
      </c>
      <c r="G1024" s="2">
        <f t="shared" si="320"/>
        <v>9288.016239999999</v>
      </c>
      <c r="H1024" s="2">
        <f t="shared" si="321"/>
        <v>32508.056839999994</v>
      </c>
      <c r="I1024" s="2">
        <f t="shared" si="323"/>
        <v>58.139433227347595</v>
      </c>
      <c r="J1024" s="2">
        <f t="shared" si="324"/>
        <v>17.237753605453584</v>
      </c>
      <c r="K1024">
        <f t="shared" si="325"/>
        <v>1.7767856237887882E+25</v>
      </c>
      <c r="L1024" s="13">
        <f t="shared" si="316"/>
        <v>106555290533939.05</v>
      </c>
      <c r="M1024" s="2">
        <f t="shared" si="326"/>
        <v>30638060.629561588</v>
      </c>
      <c r="N1024" s="2">
        <f t="shared" si="327"/>
        <v>1.1594842412311441E+28</v>
      </c>
      <c r="O1024" s="2">
        <f t="shared" si="328"/>
        <v>3.6666111133625145E+25</v>
      </c>
      <c r="P1024" s="2">
        <f t="shared" si="322"/>
        <v>5.7563749618929352E+22</v>
      </c>
      <c r="Q1024" s="2">
        <f t="shared" si="317"/>
        <v>4.3154892666245312E+25</v>
      </c>
    </row>
    <row r="1025" spans="1:17" x14ac:dyDescent="0.2">
      <c r="A1025">
        <f t="shared" ref="A1025:A1088" si="330">+A1024-1</f>
        <v>66</v>
      </c>
      <c r="B1025">
        <f t="shared" si="329"/>
        <v>66000</v>
      </c>
      <c r="C1025" s="1">
        <f t="shared" si="314"/>
        <v>2136618000</v>
      </c>
      <c r="D1025">
        <f t="shared" si="318"/>
        <v>1104.8000000000002</v>
      </c>
      <c r="E1025" s="2">
        <f t="shared" si="315"/>
        <v>540000</v>
      </c>
      <c r="F1025" s="2">
        <f t="shared" si="319"/>
        <v>559912.652</v>
      </c>
      <c r="G1025" s="2">
        <f t="shared" si="320"/>
        <v>9185.7491200000004</v>
      </c>
      <c r="H1025" s="2">
        <f t="shared" si="321"/>
        <v>32150.121920000001</v>
      </c>
      <c r="I1025" s="2">
        <f t="shared" si="323"/>
        <v>58.786713304009766</v>
      </c>
      <c r="J1025" s="2">
        <f t="shared" si="324"/>
        <v>17.415568544133222</v>
      </c>
      <c r="K1025">
        <f t="shared" si="325"/>
        <v>3.394260711117111E+25</v>
      </c>
      <c r="L1025" s="13">
        <f t="shared" si="316"/>
        <v>152667759385250.03</v>
      </c>
      <c r="M1025" s="2">
        <f t="shared" si="326"/>
        <v>36600356.696613714</v>
      </c>
      <c r="N1025" s="2">
        <f t="shared" si="327"/>
        <v>2.2150065559277299E+28</v>
      </c>
      <c r="O1025" s="2">
        <f t="shared" si="328"/>
        <v>7.0044657489367307E+25</v>
      </c>
      <c r="P1025" s="2">
        <f t="shared" si="322"/>
        <v>6.8765898544327149E+22</v>
      </c>
      <c r="Q1025" s="2">
        <f t="shared" si="317"/>
        <v>6.1830442551026265E+25</v>
      </c>
    </row>
    <row r="1026" spans="1:17" x14ac:dyDescent="0.2">
      <c r="A1026">
        <f t="shared" si="330"/>
        <v>65</v>
      </c>
      <c r="B1026">
        <f t="shared" si="329"/>
        <v>65000</v>
      </c>
      <c r="C1026" s="1">
        <f t="shared" si="314"/>
        <v>2104245000</v>
      </c>
      <c r="D1026">
        <f t="shared" si="318"/>
        <v>1092.5</v>
      </c>
      <c r="E1026" s="2">
        <f t="shared" si="315"/>
        <v>540000</v>
      </c>
      <c r="F1026" s="2">
        <f t="shared" si="319"/>
        <v>559459.43000000005</v>
      </c>
      <c r="G1026" s="2">
        <f t="shared" si="320"/>
        <v>9083.4819999999982</v>
      </c>
      <c r="H1026" s="2">
        <f t="shared" si="321"/>
        <v>31792.186999999998</v>
      </c>
      <c r="I1026" s="2">
        <f t="shared" si="323"/>
        <v>59.448568291322658</v>
      </c>
      <c r="J1026" s="2">
        <f t="shared" si="324"/>
        <v>17.597387370676955</v>
      </c>
      <c r="K1026">
        <f t="shared" si="325"/>
        <v>6.5793829639965514E+25</v>
      </c>
      <c r="L1026" s="13">
        <f t="shared" si="316"/>
        <v>220514018347809.91</v>
      </c>
      <c r="M1026" s="2">
        <f t="shared" si="326"/>
        <v>43898353.457404219</v>
      </c>
      <c r="N1026" s="2">
        <f t="shared" si="327"/>
        <v>4.293534775180904E+28</v>
      </c>
      <c r="O1026" s="2">
        <f t="shared" si="328"/>
        <v>1.3577349102710577E+26</v>
      </c>
      <c r="P1026" s="2">
        <f t="shared" si="322"/>
        <v>8.2477603842428238E+22</v>
      </c>
      <c r="Q1026" s="2">
        <f t="shared" si="317"/>
        <v>8.9308177430863012E+25</v>
      </c>
    </row>
    <row r="1027" spans="1:17" x14ac:dyDescent="0.2">
      <c r="A1027">
        <f t="shared" si="330"/>
        <v>64</v>
      </c>
      <c r="B1027">
        <f t="shared" si="329"/>
        <v>64000</v>
      </c>
      <c r="C1027" s="1">
        <f t="shared" si="314"/>
        <v>2071872000</v>
      </c>
      <c r="D1027">
        <f t="shared" si="318"/>
        <v>1080.2</v>
      </c>
      <c r="E1027" s="2">
        <f t="shared" si="315"/>
        <v>540000</v>
      </c>
      <c r="F1027" s="2">
        <f t="shared" si="319"/>
        <v>559006.20799999998</v>
      </c>
      <c r="G1027" s="2">
        <f t="shared" si="320"/>
        <v>8981.2148799999995</v>
      </c>
      <c r="H1027" s="2">
        <f t="shared" si="321"/>
        <v>31434.252079999998</v>
      </c>
      <c r="I1027" s="2">
        <f t="shared" si="323"/>
        <v>60.1254960731994</v>
      </c>
      <c r="J1027" s="2">
        <f t="shared" si="324"/>
        <v>17.783346859258248</v>
      </c>
      <c r="K1027">
        <f t="shared" si="325"/>
        <v>1.2947060168367131E+26</v>
      </c>
      <c r="L1027" s="13">
        <f t="shared" si="316"/>
        <v>321189810412350.69</v>
      </c>
      <c r="M1027" s="2">
        <f t="shared" si="326"/>
        <v>52870012.215435974</v>
      </c>
      <c r="N1027" s="2">
        <f t="shared" si="327"/>
        <v>8.4489158593494134E+28</v>
      </c>
      <c r="O1027" s="2">
        <f t="shared" si="328"/>
        <v>2.6717817874662853E+26</v>
      </c>
      <c r="P1027" s="2">
        <f t="shared" si="322"/>
        <v>9.9333837814219449E+22</v>
      </c>
      <c r="Q1027" s="2">
        <f t="shared" si="317"/>
        <v>1.3008187321700203E+26</v>
      </c>
    </row>
    <row r="1028" spans="1:17" x14ac:dyDescent="0.2">
      <c r="A1028">
        <f t="shared" si="330"/>
        <v>63</v>
      </c>
      <c r="B1028">
        <f t="shared" si="329"/>
        <v>63000</v>
      </c>
      <c r="C1028" s="1">
        <f t="shared" si="314"/>
        <v>2039499000</v>
      </c>
      <c r="D1028">
        <f t="shared" si="318"/>
        <v>1067.9000000000001</v>
      </c>
      <c r="E1028" s="2">
        <f t="shared" si="315"/>
        <v>540000</v>
      </c>
      <c r="F1028" s="2">
        <f t="shared" si="319"/>
        <v>558552.98600000003</v>
      </c>
      <c r="G1028" s="2">
        <f t="shared" si="320"/>
        <v>8878.9477599999991</v>
      </c>
      <c r="H1028" s="2">
        <f t="shared" si="321"/>
        <v>31076.317159999999</v>
      </c>
      <c r="I1028" s="2">
        <f t="shared" si="323"/>
        <v>60.818017471926204</v>
      </c>
      <c r="J1028" s="2">
        <f t="shared" si="324"/>
        <v>17.973590085473308</v>
      </c>
      <c r="K1028">
        <f t="shared" si="325"/>
        <v>2.587792133569127E+26</v>
      </c>
      <c r="L1028" s="13">
        <f t="shared" si="316"/>
        <v>471899655391637.56</v>
      </c>
      <c r="M1028" s="2">
        <f t="shared" si="326"/>
        <v>63948593.082489975</v>
      </c>
      <c r="N1028" s="2">
        <f t="shared" si="327"/>
        <v>1.6887260670519708E+29</v>
      </c>
      <c r="O1028" s="2">
        <f t="shared" si="328"/>
        <v>5.3402207159824317E+26</v>
      </c>
      <c r="P1028" s="2">
        <f t="shared" si="322"/>
        <v>1.201486231518018E+23</v>
      </c>
      <c r="Q1028" s="2">
        <f t="shared" si="317"/>
        <v>1.9111936043361323E+26</v>
      </c>
    </row>
    <row r="1029" spans="1:17" x14ac:dyDescent="0.2">
      <c r="A1029">
        <f t="shared" si="330"/>
        <v>62</v>
      </c>
      <c r="B1029">
        <f t="shared" si="329"/>
        <v>62000</v>
      </c>
      <c r="C1029" s="1">
        <f t="shared" si="314"/>
        <v>2007126000</v>
      </c>
      <c r="D1029">
        <f t="shared" si="318"/>
        <v>1055.5999999999999</v>
      </c>
      <c r="E1029" s="2">
        <f t="shared" si="315"/>
        <v>540000</v>
      </c>
      <c r="F1029" s="2">
        <f t="shared" si="319"/>
        <v>558099.76399999997</v>
      </c>
      <c r="G1029" s="2">
        <f t="shared" si="320"/>
        <v>8776.6806399999987</v>
      </c>
      <c r="H1029" s="2">
        <f t="shared" si="321"/>
        <v>30718.382239999995</v>
      </c>
      <c r="I1029" s="2">
        <f t="shared" si="323"/>
        <v>61.52667758456802</v>
      </c>
      <c r="J1029" s="2">
        <f t="shared" si="324"/>
        <v>18.168266793466401</v>
      </c>
      <c r="K1029">
        <f t="shared" si="325"/>
        <v>5.256498742062319E+26</v>
      </c>
      <c r="L1029" s="13">
        <f t="shared" si="316"/>
        <v>699570399087545.12</v>
      </c>
      <c r="M1029" s="2">
        <f t="shared" si="326"/>
        <v>77692306.381510943</v>
      </c>
      <c r="N1029" s="2">
        <f t="shared" si="327"/>
        <v>3.4302548230191569E+29</v>
      </c>
      <c r="O1029" s="2">
        <f t="shared" si="328"/>
        <v>1.0847418195518268E+27</v>
      </c>
      <c r="P1029" s="2">
        <f t="shared" si="322"/>
        <v>1.459707429244825E+23</v>
      </c>
      <c r="Q1029" s="2">
        <f t="shared" si="317"/>
        <v>2.8332601163045576E+26</v>
      </c>
    </row>
    <row r="1030" spans="1:17" x14ac:dyDescent="0.2">
      <c r="A1030">
        <f t="shared" si="330"/>
        <v>61</v>
      </c>
      <c r="B1030">
        <f t="shared" si="329"/>
        <v>61000</v>
      </c>
      <c r="C1030" s="1">
        <f t="shared" si="314"/>
        <v>1974753000</v>
      </c>
      <c r="D1030">
        <f t="shared" si="318"/>
        <v>1043.3000000000002</v>
      </c>
      <c r="E1030" s="2">
        <f t="shared" si="315"/>
        <v>540000</v>
      </c>
      <c r="F1030" s="2">
        <f t="shared" si="319"/>
        <v>557646.54200000002</v>
      </c>
      <c r="G1030" s="2">
        <f t="shared" si="320"/>
        <v>8674.4135200000001</v>
      </c>
      <c r="H1030" s="2">
        <f t="shared" si="321"/>
        <v>30360.447320000003</v>
      </c>
      <c r="I1030" s="2">
        <f t="shared" si="323"/>
        <v>62.25204721390778</v>
      </c>
      <c r="J1030" s="2">
        <f t="shared" si="324"/>
        <v>18.367533789024552</v>
      </c>
      <c r="K1030">
        <f t="shared" si="325"/>
        <v>1.085726885318817E+27</v>
      </c>
      <c r="L1030" s="13">
        <f t="shared" si="316"/>
        <v>1046754347753620.6</v>
      </c>
      <c r="M1030" s="2">
        <f t="shared" si="326"/>
        <v>94824065.360601202</v>
      </c>
      <c r="N1030" s="2">
        <f t="shared" si="327"/>
        <v>7.0851722174773137E+29</v>
      </c>
      <c r="O1030" s="2">
        <f t="shared" si="328"/>
        <v>2.2405281821774064E+27</v>
      </c>
      <c r="P1030" s="2">
        <f t="shared" si="322"/>
        <v>1.7815842922511857E+23</v>
      </c>
      <c r="Q1030" s="2">
        <f t="shared" si="317"/>
        <v>4.2393551084021636E+26</v>
      </c>
    </row>
    <row r="1031" spans="1:17" x14ac:dyDescent="0.2">
      <c r="A1031">
        <f t="shared" si="330"/>
        <v>60</v>
      </c>
      <c r="B1031">
        <f t="shared" si="329"/>
        <v>60000</v>
      </c>
      <c r="C1031" s="1">
        <f t="shared" si="314"/>
        <v>1942380000</v>
      </c>
      <c r="D1031">
        <f t="shared" si="318"/>
        <v>1031</v>
      </c>
      <c r="E1031" s="2">
        <f t="shared" si="315"/>
        <v>540000</v>
      </c>
      <c r="F1031" s="2">
        <f t="shared" si="319"/>
        <v>557193.31999999995</v>
      </c>
      <c r="G1031" s="2">
        <f t="shared" si="320"/>
        <v>8572.1463999999996</v>
      </c>
      <c r="H1031" s="2">
        <f t="shared" si="321"/>
        <v>30002.512399999996</v>
      </c>
      <c r="I1031" s="2">
        <f t="shared" si="323"/>
        <v>62.994724401813762</v>
      </c>
      <c r="J1031" s="2">
        <f t="shared" si="324"/>
        <v>18.571555360810382</v>
      </c>
      <c r="K1031">
        <f t="shared" si="325"/>
        <v>2.2817139453484068E+27</v>
      </c>
      <c r="L1031" s="13">
        <f t="shared" si="316"/>
        <v>1581371830066423.5</v>
      </c>
      <c r="M1031" s="2">
        <f t="shared" si="326"/>
        <v>116285084.7048028</v>
      </c>
      <c r="N1031" s="2">
        <f t="shared" si="327"/>
        <v>1.4889873754084976E+30</v>
      </c>
      <c r="O1031" s="2">
        <f t="shared" si="328"/>
        <v>4.7085915135270185E+27</v>
      </c>
      <c r="P1031" s="2">
        <f t="shared" si="322"/>
        <v>2.1848006573577447E+23</v>
      </c>
      <c r="Q1031" s="2">
        <f t="shared" si="317"/>
        <v>6.4045559117690152E+26</v>
      </c>
    </row>
    <row r="1032" spans="1:17" x14ac:dyDescent="0.2">
      <c r="A1032">
        <f t="shared" si="330"/>
        <v>59</v>
      </c>
      <c r="B1032">
        <f t="shared" si="329"/>
        <v>59000</v>
      </c>
      <c r="C1032" s="1">
        <f t="shared" si="314"/>
        <v>1910007000</v>
      </c>
      <c r="D1032">
        <f t="shared" si="318"/>
        <v>1018.7</v>
      </c>
      <c r="E1032" s="2">
        <f t="shared" si="315"/>
        <v>540000</v>
      </c>
      <c r="F1032" s="2">
        <f t="shared" si="319"/>
        <v>556740.098</v>
      </c>
      <c r="G1032" s="2">
        <f t="shared" si="320"/>
        <v>8469.8792799999992</v>
      </c>
      <c r="H1032" s="2">
        <f t="shared" si="321"/>
        <v>29644.57748</v>
      </c>
      <c r="I1032" s="2">
        <f t="shared" si="323"/>
        <v>63.755336073691957</v>
      </c>
      <c r="J1032" s="2">
        <f t="shared" si="324"/>
        <v>18.780503732111214</v>
      </c>
      <c r="K1032">
        <f t="shared" si="325"/>
        <v>4.8819198913429643E+27</v>
      </c>
      <c r="L1032" s="13">
        <f t="shared" si="316"/>
        <v>2412961321120491.5</v>
      </c>
      <c r="M1032" s="2">
        <f t="shared" si="326"/>
        <v>143307572.073576</v>
      </c>
      <c r="N1032" s="2">
        <f t="shared" si="327"/>
        <v>3.18581437466533E+30</v>
      </c>
      <c r="O1032" s="2">
        <f t="shared" si="328"/>
        <v>1.0074429626447423E+28</v>
      </c>
      <c r="P1032" s="2">
        <f t="shared" si="322"/>
        <v>2.6925076286912632E+23</v>
      </c>
      <c r="Q1032" s="2">
        <f t="shared" si="317"/>
        <v>9.7724933505379903E+26</v>
      </c>
    </row>
    <row r="1033" spans="1:17" x14ac:dyDescent="0.2">
      <c r="A1033">
        <f t="shared" si="330"/>
        <v>58</v>
      </c>
      <c r="B1033">
        <f t="shared" si="329"/>
        <v>58000</v>
      </c>
      <c r="C1033" s="1">
        <f t="shared" si="314"/>
        <v>1877634000</v>
      </c>
      <c r="D1033">
        <f t="shared" si="318"/>
        <v>1006.4000000000001</v>
      </c>
      <c r="E1033" s="2">
        <f t="shared" si="315"/>
        <v>540000</v>
      </c>
      <c r="F1033" s="2">
        <f t="shared" si="319"/>
        <v>556286.87600000005</v>
      </c>
      <c r="G1033" s="2">
        <f t="shared" si="320"/>
        <v>8367.6121600000006</v>
      </c>
      <c r="H1033" s="2">
        <f t="shared" si="321"/>
        <v>29286.64256</v>
      </c>
      <c r="I1033" s="2">
        <f t="shared" si="323"/>
        <v>64.534539803527409</v>
      </c>
      <c r="J1033" s="2">
        <f t="shared" si="324"/>
        <v>18.994559545715301</v>
      </c>
      <c r="K1033">
        <f t="shared" si="325"/>
        <v>1.0641296124300616E+28</v>
      </c>
      <c r="L1033" s="13">
        <f t="shared" si="316"/>
        <v>3720082026439493</v>
      </c>
      <c r="M1033" s="2">
        <f t="shared" si="326"/>
        <v>177513912.78853825</v>
      </c>
      <c r="N1033" s="2">
        <f t="shared" si="327"/>
        <v>6.9442340129308248E+30</v>
      </c>
      <c r="O1033" s="2">
        <f t="shared" si="328"/>
        <v>2.1959596086072462E+28</v>
      </c>
      <c r="P1033" s="2">
        <f t="shared" si="322"/>
        <v>3.3351870907183124E+23</v>
      </c>
      <c r="Q1033" s="2">
        <f t="shared" si="317"/>
        <v>1.5066332207079947E+27</v>
      </c>
    </row>
    <row r="1034" spans="1:17" x14ac:dyDescent="0.2">
      <c r="A1034">
        <f t="shared" si="330"/>
        <v>57</v>
      </c>
      <c r="B1034">
        <f t="shared" si="329"/>
        <v>57000</v>
      </c>
      <c r="C1034" s="1">
        <f t="shared" si="314"/>
        <v>1845261000</v>
      </c>
      <c r="D1034">
        <f t="shared" si="318"/>
        <v>994.1</v>
      </c>
      <c r="E1034" s="2">
        <f t="shared" si="315"/>
        <v>540000</v>
      </c>
      <c r="F1034" s="2">
        <f t="shared" si="319"/>
        <v>555833.65399999998</v>
      </c>
      <c r="G1034" s="2">
        <f t="shared" si="320"/>
        <v>8265.3450400000002</v>
      </c>
      <c r="H1034" s="2">
        <f t="shared" si="321"/>
        <v>28928.707639999997</v>
      </c>
      <c r="I1034" s="2">
        <f t="shared" si="323"/>
        <v>65.333025709958747</v>
      </c>
      <c r="J1034" s="2">
        <f t="shared" si="324"/>
        <v>19.213912384784294</v>
      </c>
      <c r="K1034">
        <f t="shared" si="325"/>
        <v>2.3646809456126427E+28</v>
      </c>
      <c r="L1034" s="13">
        <f t="shared" si="316"/>
        <v>5797049026324655</v>
      </c>
      <c r="M1034" s="2">
        <f t="shared" si="326"/>
        <v>221052853.01079524</v>
      </c>
      <c r="N1034" s="2">
        <f t="shared" si="327"/>
        <v>1.5431294891562826E+31</v>
      </c>
      <c r="O1034" s="2">
        <f t="shared" si="328"/>
        <v>4.8798039103059335E+28</v>
      </c>
      <c r="P1034" s="2">
        <f t="shared" si="322"/>
        <v>4.1532103605101761E+23</v>
      </c>
      <c r="Q1034" s="2">
        <f t="shared" si="317"/>
        <v>2.3478048556614854E+27</v>
      </c>
    </row>
    <row r="1035" spans="1:17" x14ac:dyDescent="0.2">
      <c r="A1035">
        <f t="shared" si="330"/>
        <v>56</v>
      </c>
      <c r="B1035">
        <f t="shared" si="329"/>
        <v>56000</v>
      </c>
      <c r="C1035" s="1">
        <f t="shared" si="314"/>
        <v>1812888000</v>
      </c>
      <c r="D1035">
        <f t="shared" si="318"/>
        <v>981.80000000000007</v>
      </c>
      <c r="E1035" s="2">
        <f t="shared" si="315"/>
        <v>540000</v>
      </c>
      <c r="F1035" s="2">
        <f t="shared" si="319"/>
        <v>555380.43200000003</v>
      </c>
      <c r="G1035" s="2">
        <f t="shared" si="320"/>
        <v>8163.0779199999997</v>
      </c>
      <c r="H1035" s="2">
        <f t="shared" si="321"/>
        <v>28570.772719999997</v>
      </c>
      <c r="I1035" s="2">
        <f t="shared" si="323"/>
        <v>66.151518494876754</v>
      </c>
      <c r="J1035" s="2">
        <f t="shared" si="324"/>
        <v>19.438761332878649</v>
      </c>
      <c r="K1035">
        <f t="shared" si="325"/>
        <v>5.3609215487618974E+28</v>
      </c>
      <c r="L1035" s="13">
        <f t="shared" si="316"/>
        <v>9134580014548396</v>
      </c>
      <c r="M1035" s="2">
        <f t="shared" si="326"/>
        <v>276787696.83752668</v>
      </c>
      <c r="N1035" s="2">
        <f t="shared" si="327"/>
        <v>3.4983984398811084E+31</v>
      </c>
      <c r="O1035" s="2">
        <f t="shared" si="328"/>
        <v>1.1062907232803889E+29</v>
      </c>
      <c r="P1035" s="2">
        <f t="shared" si="322"/>
        <v>5.2003740938427348E+23</v>
      </c>
      <c r="Q1035" s="2">
        <f t="shared" si="317"/>
        <v>3.6995049058921006E+27</v>
      </c>
    </row>
    <row r="1036" spans="1:17" x14ac:dyDescent="0.2">
      <c r="A1036">
        <f t="shared" si="330"/>
        <v>55</v>
      </c>
      <c r="B1036">
        <f t="shared" si="329"/>
        <v>55000</v>
      </c>
      <c r="C1036" s="1">
        <f t="shared" si="314"/>
        <v>1780515000</v>
      </c>
      <c r="D1036">
        <f t="shared" si="318"/>
        <v>969.5</v>
      </c>
      <c r="E1036" s="2">
        <f t="shared" si="315"/>
        <v>540000</v>
      </c>
      <c r="F1036" s="2">
        <f t="shared" si="319"/>
        <v>554927.21</v>
      </c>
      <c r="G1036" s="2">
        <f t="shared" si="320"/>
        <v>8060.8107999999993</v>
      </c>
      <c r="H1036" s="2">
        <f t="shared" si="321"/>
        <v>28212.837799999998</v>
      </c>
      <c r="I1036" s="2">
        <f t="shared" si="323"/>
        <v>66.990779637204739</v>
      </c>
      <c r="J1036" s="2">
        <f t="shared" si="324"/>
        <v>19.66931557661314</v>
      </c>
      <c r="K1036">
        <f t="shared" si="325"/>
        <v>1.2408689997009853E+29</v>
      </c>
      <c r="L1036" s="13">
        <f t="shared" si="316"/>
        <v>1.4560660467759518E+16</v>
      </c>
      <c r="M1036" s="2">
        <f t="shared" si="326"/>
        <v>348558130.62185162</v>
      </c>
      <c r="N1036" s="2">
        <f t="shared" si="327"/>
        <v>8.0975894408552259E+31</v>
      </c>
      <c r="O1036" s="2">
        <f t="shared" si="328"/>
        <v>2.5606826190031722E+29</v>
      </c>
      <c r="P1036" s="2">
        <f t="shared" si="322"/>
        <v>6.5488195226688044E+23</v>
      </c>
      <c r="Q1036" s="2">
        <f t="shared" si="317"/>
        <v>5.8970674894426043E+27</v>
      </c>
    </row>
    <row r="1037" spans="1:17" x14ac:dyDescent="0.2">
      <c r="A1037">
        <f t="shared" si="330"/>
        <v>54</v>
      </c>
      <c r="B1037">
        <f t="shared" si="329"/>
        <v>54000</v>
      </c>
      <c r="C1037" s="1">
        <f t="shared" si="314"/>
        <v>1748142000</v>
      </c>
      <c r="D1037">
        <f t="shared" si="318"/>
        <v>957.2</v>
      </c>
      <c r="E1037" s="2">
        <f t="shared" si="315"/>
        <v>540000</v>
      </c>
      <c r="F1037" s="2">
        <f t="shared" si="319"/>
        <v>554473.98800000001</v>
      </c>
      <c r="G1037" s="2">
        <f t="shared" si="320"/>
        <v>7958.5436799999998</v>
      </c>
      <c r="H1037" s="2">
        <f t="shared" si="321"/>
        <v>27854.902879999998</v>
      </c>
      <c r="I1037" s="2">
        <f t="shared" si="323"/>
        <v>67.851609755819041</v>
      </c>
      <c r="J1037" s="2">
        <f t="shared" si="324"/>
        <v>19.905795054777087</v>
      </c>
      <c r="K1037">
        <f t="shared" si="325"/>
        <v>2.9348080740392108E+29</v>
      </c>
      <c r="L1037" s="13">
        <f t="shared" si="316"/>
        <v>2.3489707778026644E+16</v>
      </c>
      <c r="M1037" s="2">
        <f t="shared" si="326"/>
        <v>441547011.99622279</v>
      </c>
      <c r="N1037" s="2">
        <f t="shared" si="327"/>
        <v>1.9151796746476255E+32</v>
      </c>
      <c r="O1037" s="2">
        <f t="shared" si="328"/>
        <v>6.056329900346704E+29</v>
      </c>
      <c r="P1037" s="2">
        <f t="shared" si="322"/>
        <v>8.2959238023743891E+23</v>
      </c>
      <c r="Q1037" s="2">
        <f t="shared" si="317"/>
        <v>9.5133316501007908E+27</v>
      </c>
    </row>
    <row r="1038" spans="1:17" x14ac:dyDescent="0.2">
      <c r="A1038">
        <f t="shared" si="330"/>
        <v>53</v>
      </c>
      <c r="B1038">
        <f t="shared" si="329"/>
        <v>53000</v>
      </c>
      <c r="C1038" s="1">
        <f t="shared" si="314"/>
        <v>1715769000</v>
      </c>
      <c r="D1038">
        <f t="shared" si="318"/>
        <v>944.90000000000009</v>
      </c>
      <c r="E1038" s="2">
        <f t="shared" si="315"/>
        <v>540000</v>
      </c>
      <c r="F1038" s="2">
        <f t="shared" si="319"/>
        <v>554020.76599999995</v>
      </c>
      <c r="G1038" s="2">
        <f t="shared" si="320"/>
        <v>7856.2765600000002</v>
      </c>
      <c r="H1038" s="2">
        <f t="shared" si="321"/>
        <v>27496.967959999998</v>
      </c>
      <c r="I1038" s="2">
        <f t="shared" si="323"/>
        <v>68.734851157021893</v>
      </c>
      <c r="J1038" s="2">
        <f t="shared" si="324"/>
        <v>20.148431158153045</v>
      </c>
      <c r="K1038">
        <f t="shared" si="325"/>
        <v>7.0984997591697395E+29</v>
      </c>
      <c r="L1038" s="13">
        <f t="shared" si="316"/>
        <v>3.8369083788986736E+16</v>
      </c>
      <c r="M1038" s="2">
        <f t="shared" si="326"/>
        <v>562797903.54494119</v>
      </c>
      <c r="P1038" s="2"/>
      <c r="Q1038" s="2"/>
    </row>
    <row r="1039" spans="1:17" x14ac:dyDescent="0.2">
      <c r="A1039">
        <f t="shared" si="330"/>
        <v>52</v>
      </c>
      <c r="B1039">
        <f t="shared" si="329"/>
        <v>52000</v>
      </c>
      <c r="C1039" s="1">
        <f t="shared" si="314"/>
        <v>1683396000</v>
      </c>
      <c r="D1039">
        <f t="shared" si="318"/>
        <v>932.6</v>
      </c>
      <c r="E1039" s="2">
        <f t="shared" si="315"/>
        <v>540000</v>
      </c>
      <c r="F1039" s="2">
        <f t="shared" si="319"/>
        <v>553567.54399999999</v>
      </c>
      <c r="G1039" s="2">
        <f t="shared" si="320"/>
        <v>7754.0094399999998</v>
      </c>
      <c r="H1039" s="2">
        <f t="shared" si="321"/>
        <v>27139.033039999998</v>
      </c>
      <c r="I1039" s="2">
        <f t="shared" si="323"/>
        <v>69.641390583604959</v>
      </c>
      <c r="J1039" s="2">
        <f t="shared" si="324"/>
        <v>20.397467484714777</v>
      </c>
      <c r="K1039">
        <f t="shared" si="325"/>
        <v>1.7574041293746313E+30</v>
      </c>
      <c r="L1039" s="13">
        <f t="shared" si="316"/>
        <v>6.3490166803880232E+16</v>
      </c>
      <c r="M1039" s="2">
        <f t="shared" si="326"/>
        <v>721950752.51290023</v>
      </c>
      <c r="P1039" s="2"/>
      <c r="Q1039" s="2"/>
    </row>
    <row r="1040" spans="1:17" x14ac:dyDescent="0.2">
      <c r="A1040">
        <f t="shared" si="330"/>
        <v>51</v>
      </c>
      <c r="B1040">
        <f t="shared" si="329"/>
        <v>51000</v>
      </c>
      <c r="C1040" s="1">
        <f t="shared" si="314"/>
        <v>1651023000</v>
      </c>
      <c r="D1040">
        <f t="shared" si="318"/>
        <v>920.30000000000007</v>
      </c>
      <c r="E1040" s="2">
        <f t="shared" si="315"/>
        <v>540000</v>
      </c>
      <c r="F1040" s="2">
        <f t="shared" si="319"/>
        <v>553114.32200000004</v>
      </c>
      <c r="G1040" s="2">
        <f t="shared" si="320"/>
        <v>7651.7423199999994</v>
      </c>
      <c r="H1040" s="2">
        <f t="shared" si="321"/>
        <v>26781.098119999999</v>
      </c>
      <c r="I1040" s="2">
        <f t="shared" si="323"/>
        <v>70.572162184363791</v>
      </c>
      <c r="J1040" s="2">
        <f t="shared" si="324"/>
        <v>20.653160655385406</v>
      </c>
      <c r="K1040">
        <f t="shared" si="325"/>
        <v>4.4575950517951469E+30</v>
      </c>
      <c r="L1040" s="13">
        <f t="shared" si="316"/>
        <v>1.0648247037460717E+17</v>
      </c>
      <c r="M1040" s="2">
        <f t="shared" si="326"/>
        <v>932295754.42592967</v>
      </c>
      <c r="P1040" s="2"/>
      <c r="Q1040" s="2"/>
    </row>
    <row r="1041" spans="1:17" x14ac:dyDescent="0.2">
      <c r="A1041">
        <f t="shared" si="330"/>
        <v>50</v>
      </c>
      <c r="B1041">
        <f t="shared" si="329"/>
        <v>50000</v>
      </c>
      <c r="C1041" s="1">
        <f t="shared" si="314"/>
        <v>1618650000</v>
      </c>
      <c r="D1041">
        <f t="shared" si="318"/>
        <v>908</v>
      </c>
      <c r="E1041" s="2">
        <f t="shared" si="315"/>
        <v>540000</v>
      </c>
      <c r="F1041" s="2">
        <f t="shared" si="319"/>
        <v>552661.1</v>
      </c>
      <c r="G1041" s="2">
        <f t="shared" si="320"/>
        <v>7549.4751999999989</v>
      </c>
      <c r="H1041" s="2">
        <f t="shared" si="321"/>
        <v>26423.163199999995</v>
      </c>
      <c r="I1041" s="2">
        <f t="shared" si="323"/>
        <v>71.528150724966963</v>
      </c>
      <c r="J1041" s="2">
        <f t="shared" si="324"/>
        <v>20.915781196098433</v>
      </c>
      <c r="K1041">
        <f t="shared" si="325"/>
        <v>1.1595277870989238E+31</v>
      </c>
      <c r="L1041" s="13">
        <f t="shared" si="316"/>
        <v>1.8110647517792045E+17</v>
      </c>
      <c r="M1041" s="2">
        <f t="shared" si="326"/>
        <v>1212295123.3895473</v>
      </c>
      <c r="P1041" s="2"/>
      <c r="Q1041" s="2"/>
    </row>
    <row r="1042" spans="1:17" x14ac:dyDescent="0.2">
      <c r="A1042">
        <f t="shared" si="330"/>
        <v>49</v>
      </c>
      <c r="B1042">
        <f t="shared" si="329"/>
        <v>49000</v>
      </c>
      <c r="C1042" s="1">
        <f t="shared" si="314"/>
        <v>1586277000</v>
      </c>
      <c r="D1042">
        <f t="shared" si="318"/>
        <v>895.7</v>
      </c>
      <c r="E1042" s="2">
        <f t="shared" si="315"/>
        <v>540000</v>
      </c>
      <c r="F1042" s="2">
        <f t="shared" si="319"/>
        <v>552207.87800000003</v>
      </c>
      <c r="G1042" s="2">
        <f t="shared" si="320"/>
        <v>7447.2080799999994</v>
      </c>
      <c r="H1042" s="2">
        <f t="shared" si="321"/>
        <v>26065.228279999999</v>
      </c>
      <c r="I1042" s="2">
        <f t="shared" si="323"/>
        <v>72.510395063380585</v>
      </c>
      <c r="J1042" s="2">
        <f t="shared" si="324"/>
        <v>21.18561449253496</v>
      </c>
      <c r="K1042">
        <f t="shared" si="325"/>
        <v>3.0964527451979728E+31</v>
      </c>
      <c r="L1042" s="13">
        <f t="shared" si="316"/>
        <v>3.1255373865191635E+17</v>
      </c>
      <c r="M1042" s="2">
        <f t="shared" si="326"/>
        <v>1587798801.6555161</v>
      </c>
      <c r="P1042" s="2"/>
      <c r="Q1042" s="2"/>
    </row>
    <row r="1043" spans="1:17" x14ac:dyDescent="0.2">
      <c r="A1043">
        <f t="shared" si="330"/>
        <v>48</v>
      </c>
      <c r="B1043">
        <f t="shared" si="329"/>
        <v>48000</v>
      </c>
      <c r="C1043" s="1">
        <f t="shared" si="314"/>
        <v>1553904000</v>
      </c>
      <c r="D1043">
        <f t="shared" si="318"/>
        <v>883.40000000000009</v>
      </c>
      <c r="E1043" s="2">
        <f t="shared" si="315"/>
        <v>540000</v>
      </c>
      <c r="F1043" s="2">
        <f t="shared" si="319"/>
        <v>551754.65599999996</v>
      </c>
      <c r="G1043" s="2">
        <f t="shared" si="320"/>
        <v>7344.9409599999999</v>
      </c>
      <c r="H1043" s="2">
        <f t="shared" si="321"/>
        <v>25707.29336</v>
      </c>
      <c r="I1043" s="2">
        <f t="shared" si="323"/>
        <v>73.519991915632772</v>
      </c>
      <c r="J1043" s="2">
        <f t="shared" si="324"/>
        <v>21.462961824620496</v>
      </c>
      <c r="K1043">
        <f t="shared" si="325"/>
        <v>8.4981970804632588E+31</v>
      </c>
      <c r="L1043" s="13">
        <f t="shared" si="316"/>
        <v>5.4766487516949178E+17</v>
      </c>
      <c r="M1043" s="2">
        <f t="shared" si="326"/>
        <v>2095298421.1106632</v>
      </c>
      <c r="P1043" s="2"/>
      <c r="Q1043" s="2"/>
    </row>
    <row r="1044" spans="1:17" x14ac:dyDescent="0.2">
      <c r="A1044">
        <f t="shared" si="330"/>
        <v>47</v>
      </c>
      <c r="B1044">
        <f t="shared" si="329"/>
        <v>47000</v>
      </c>
      <c r="C1044" s="1">
        <f t="shared" si="314"/>
        <v>1521531000</v>
      </c>
      <c r="D1044">
        <f t="shared" si="318"/>
        <v>871.1</v>
      </c>
      <c r="E1044" s="2">
        <f t="shared" si="315"/>
        <v>540000</v>
      </c>
      <c r="F1044" s="2">
        <f t="shared" si="319"/>
        <v>551301.43400000001</v>
      </c>
      <c r="G1044" s="2">
        <f t="shared" si="320"/>
        <v>7242.6738399999995</v>
      </c>
      <c r="H1044" s="2">
        <f t="shared" si="321"/>
        <v>25349.358439999996</v>
      </c>
      <c r="I1044" s="2">
        <f t="shared" si="323"/>
        <v>74.558099940615307</v>
      </c>
      <c r="J1044" s="2">
        <f t="shared" si="324"/>
        <v>21.748141488664835</v>
      </c>
      <c r="K1044">
        <f t="shared" si="325"/>
        <v>2.3997797559909995E+32</v>
      </c>
      <c r="L1044" s="13">
        <f t="shared" si="316"/>
        <v>9.7495394966001088E+17</v>
      </c>
      <c r="M1044" s="2">
        <f t="shared" si="326"/>
        <v>2786748911.581573</v>
      </c>
      <c r="P1044" s="2"/>
      <c r="Q1044" s="2"/>
    </row>
    <row r="1045" spans="1:17" x14ac:dyDescent="0.2">
      <c r="A1045">
        <f t="shared" si="330"/>
        <v>46</v>
      </c>
      <c r="B1045">
        <f t="shared" si="329"/>
        <v>46000</v>
      </c>
      <c r="C1045" s="1">
        <f t="shared" si="314"/>
        <v>1489158000</v>
      </c>
      <c r="D1045">
        <f t="shared" si="318"/>
        <v>858.80000000000007</v>
      </c>
      <c r="E1045" s="2">
        <f t="shared" si="315"/>
        <v>540000</v>
      </c>
      <c r="F1045" s="2">
        <f t="shared" si="319"/>
        <v>550848.21200000006</v>
      </c>
      <c r="G1045" s="2">
        <f t="shared" si="320"/>
        <v>7140.40672</v>
      </c>
      <c r="H1045" s="2">
        <f t="shared" si="321"/>
        <v>24991.42352</v>
      </c>
      <c r="I1045" s="2">
        <f t="shared" si="323"/>
        <v>75.625944175908231</v>
      </c>
      <c r="J1045" s="2">
        <f t="shared" si="324"/>
        <v>22.041490015931675</v>
      </c>
      <c r="K1045">
        <f t="shared" si="325"/>
        <v>6.9812026411994622E+32</v>
      </c>
      <c r="L1045" s="13">
        <f t="shared" si="316"/>
        <v>1.7645253966914673E+18</v>
      </c>
      <c r="M1045" s="2">
        <f t="shared" si="326"/>
        <v>3736779629.9347668</v>
      </c>
      <c r="P1045" s="2"/>
      <c r="Q1045" s="2"/>
    </row>
    <row r="1046" spans="1:17" x14ac:dyDescent="0.2">
      <c r="A1046">
        <f t="shared" si="330"/>
        <v>45</v>
      </c>
      <c r="B1046">
        <f t="shared" si="329"/>
        <v>45000</v>
      </c>
      <c r="C1046" s="1">
        <f t="shared" si="314"/>
        <v>1456785000</v>
      </c>
      <c r="D1046">
        <f t="shared" si="318"/>
        <v>846.5</v>
      </c>
      <c r="E1046" s="2">
        <f t="shared" si="315"/>
        <v>540000</v>
      </c>
      <c r="F1046" s="2">
        <f t="shared" si="319"/>
        <v>550394.99</v>
      </c>
      <c r="G1046" s="2">
        <f t="shared" si="320"/>
        <v>7038.1395999999995</v>
      </c>
      <c r="H1046" s="2">
        <f t="shared" si="321"/>
        <v>24633.488599999997</v>
      </c>
      <c r="I1046" s="2">
        <f t="shared" si="323"/>
        <v>76.724820860330766</v>
      </c>
      <c r="J1046" s="2">
        <f t="shared" si="324"/>
        <v>22.343363497446319</v>
      </c>
      <c r="K1046">
        <f t="shared" si="325"/>
        <v>2.0949146056712918E+33</v>
      </c>
      <c r="L1046" s="13">
        <f t="shared" si="316"/>
        <v>3.2490700081975608E+18</v>
      </c>
      <c r="M1046" s="2">
        <f t="shared" si="326"/>
        <v>5053583827.9881554</v>
      </c>
      <c r="P1046" s="2"/>
      <c r="Q1046" s="2"/>
    </row>
    <row r="1047" spans="1:17" x14ac:dyDescent="0.2">
      <c r="A1047">
        <f t="shared" si="330"/>
        <v>44</v>
      </c>
      <c r="B1047">
        <f t="shared" si="329"/>
        <v>44000</v>
      </c>
      <c r="C1047" s="1">
        <f t="shared" si="314"/>
        <v>1424412000</v>
      </c>
      <c r="D1047">
        <f t="shared" si="318"/>
        <v>834.2</v>
      </c>
      <c r="E1047" s="2">
        <f t="shared" si="315"/>
        <v>540000</v>
      </c>
      <c r="F1047" s="2">
        <f t="shared" si="319"/>
        <v>549941.76800000004</v>
      </c>
      <c r="G1047" s="2">
        <f t="shared" si="320"/>
        <v>6935.87248</v>
      </c>
      <c r="H1047" s="2">
        <f t="shared" si="321"/>
        <v>24275.553679999997</v>
      </c>
      <c r="I1047" s="2">
        <f t="shared" si="323"/>
        <v>77.856102683133528</v>
      </c>
      <c r="J1047" s="2">
        <f t="shared" si="324"/>
        <v>22.654139026006352</v>
      </c>
      <c r="K1047">
        <f t="shared" si="325"/>
        <v>6.4934541415195629E+33</v>
      </c>
      <c r="L1047" s="13">
        <f t="shared" si="316"/>
        <v>6.0912828346684385E+18</v>
      </c>
      <c r="M1047" s="2">
        <f t="shared" si="326"/>
        <v>6895528713.8022366</v>
      </c>
      <c r="P1047" s="2"/>
      <c r="Q1047" s="2"/>
    </row>
    <row r="1048" spans="1:17" x14ac:dyDescent="0.2">
      <c r="A1048">
        <f t="shared" si="330"/>
        <v>43</v>
      </c>
      <c r="B1048">
        <f t="shared" si="329"/>
        <v>43000</v>
      </c>
      <c r="C1048" s="1">
        <f t="shared" si="314"/>
        <v>1392039000</v>
      </c>
      <c r="D1048">
        <f t="shared" si="318"/>
        <v>821.9</v>
      </c>
      <c r="E1048" s="2">
        <f t="shared" si="315"/>
        <v>540000</v>
      </c>
      <c r="F1048" s="2">
        <f t="shared" si="319"/>
        <v>549488.54599999997</v>
      </c>
      <c r="G1048" s="2">
        <f t="shared" si="320"/>
        <v>6833.6053599999987</v>
      </c>
      <c r="H1048" s="2">
        <f t="shared" si="321"/>
        <v>23917.618759999998</v>
      </c>
      <c r="I1048" s="2">
        <f t="shared" si="323"/>
        <v>79.021244504526095</v>
      </c>
      <c r="J1048" s="2">
        <f t="shared" si="324"/>
        <v>22.974216267673295</v>
      </c>
      <c r="K1048">
        <f t="shared" si="325"/>
        <v>2.082046580140518E+34</v>
      </c>
      <c r="L1048" s="13">
        <f t="shared" si="316"/>
        <v>1.1636651365178442E+19</v>
      </c>
      <c r="M1048" s="2">
        <f t="shared" si="326"/>
        <v>9496757558.6078548</v>
      </c>
      <c r="P1048" s="2"/>
      <c r="Q1048" s="2"/>
    </row>
    <row r="1049" spans="1:17" x14ac:dyDescent="0.2">
      <c r="A1049">
        <f t="shared" si="330"/>
        <v>42</v>
      </c>
      <c r="B1049">
        <f t="shared" si="329"/>
        <v>42000</v>
      </c>
      <c r="C1049" s="1">
        <f t="shared" si="314"/>
        <v>1359666000</v>
      </c>
      <c r="D1049">
        <f t="shared" si="318"/>
        <v>809.6</v>
      </c>
      <c r="E1049" s="2">
        <f t="shared" si="315"/>
        <v>540000</v>
      </c>
      <c r="F1049" s="2">
        <f t="shared" si="319"/>
        <v>549035.32400000002</v>
      </c>
      <c r="G1049" s="2">
        <f t="shared" si="320"/>
        <v>6731.3382399999991</v>
      </c>
      <c r="H1049" s="2">
        <f t="shared" si="321"/>
        <v>23559.683839999998</v>
      </c>
      <c r="I1049" s="2">
        <f t="shared" si="323"/>
        <v>80.221789597665506</v>
      </c>
      <c r="J1049" s="2">
        <f t="shared" si="324"/>
        <v>23.304019176515403</v>
      </c>
      <c r="K1049">
        <f t="shared" si="325"/>
        <v>6.9164071433961697E+34</v>
      </c>
      <c r="L1049" s="13">
        <f t="shared" si="316"/>
        <v>2.2671966689206641E+19</v>
      </c>
      <c r="M1049" s="2">
        <f t="shared" si="326"/>
        <v>13207083831.795301</v>
      </c>
      <c r="P1049" s="2"/>
      <c r="Q1049" s="2"/>
    </row>
    <row r="1050" spans="1:17" x14ac:dyDescent="0.2">
      <c r="A1050">
        <f t="shared" si="330"/>
        <v>41</v>
      </c>
      <c r="B1050">
        <f t="shared" si="329"/>
        <v>41000</v>
      </c>
      <c r="C1050" s="1">
        <f t="shared" si="314"/>
        <v>1327293000</v>
      </c>
      <c r="D1050">
        <f t="shared" si="318"/>
        <v>797.3</v>
      </c>
      <c r="E1050" s="2">
        <f t="shared" si="315"/>
        <v>540000</v>
      </c>
      <c r="F1050" s="2">
        <f t="shared" si="319"/>
        <v>548582.10199999996</v>
      </c>
      <c r="G1050" s="2">
        <f t="shared" si="320"/>
        <v>6629.0711199999987</v>
      </c>
      <c r="H1050" s="2">
        <f t="shared" si="321"/>
        <v>23201.748919999995</v>
      </c>
      <c r="I1050" s="2">
        <f t="shared" si="323"/>
        <v>81.459376468418412</v>
      </c>
      <c r="J1050" s="2">
        <f t="shared" si="324"/>
        <v>23.643997868071065</v>
      </c>
      <c r="K1050">
        <f t="shared" si="325"/>
        <v>2.3842824359150982E+35</v>
      </c>
      <c r="L1050" s="13">
        <f t="shared" si="316"/>
        <v>4.5090765760752656E+19</v>
      </c>
      <c r="M1050" s="2">
        <f t="shared" si="326"/>
        <v>18554865228.326824</v>
      </c>
      <c r="P1050" s="2"/>
      <c r="Q1050" s="2"/>
    </row>
    <row r="1051" spans="1:17" x14ac:dyDescent="0.2">
      <c r="A1051">
        <f t="shared" si="330"/>
        <v>40</v>
      </c>
      <c r="B1051">
        <f t="shared" si="329"/>
        <v>40000</v>
      </c>
      <c r="C1051" s="1">
        <f t="shared" si="314"/>
        <v>1294920000</v>
      </c>
      <c r="D1051">
        <f t="shared" si="318"/>
        <v>785</v>
      </c>
      <c r="E1051" s="2">
        <f t="shared" si="315"/>
        <v>540000</v>
      </c>
      <c r="F1051" s="2">
        <f t="shared" si="319"/>
        <v>548128.88</v>
      </c>
      <c r="G1051" s="2">
        <f t="shared" si="320"/>
        <v>6526.8039999999992</v>
      </c>
      <c r="H1051" s="2">
        <f t="shared" si="321"/>
        <v>22843.813999999998</v>
      </c>
      <c r="I1051" s="2">
        <f t="shared" si="323"/>
        <v>82.735746316267509</v>
      </c>
      <c r="J1051" s="2">
        <f t="shared" si="324"/>
        <v>23.994630668941713</v>
      </c>
      <c r="K1051">
        <f t="shared" si="325"/>
        <v>8.5443313364054065E+35</v>
      </c>
      <c r="L1051" s="13">
        <f t="shared" si="316"/>
        <v>9.1631200926003495E+19</v>
      </c>
      <c r="M1051" s="2">
        <f t="shared" si="326"/>
        <v>26347274418.132584</v>
      </c>
      <c r="P1051" s="2"/>
      <c r="Q1051" s="2"/>
    </row>
    <row r="1052" spans="1:17" x14ac:dyDescent="0.2">
      <c r="A1052">
        <f t="shared" si="330"/>
        <v>39</v>
      </c>
      <c r="B1052">
        <f t="shared" si="329"/>
        <v>39000</v>
      </c>
      <c r="C1052" s="1">
        <f t="shared" si="314"/>
        <v>1262547000</v>
      </c>
      <c r="D1052">
        <f t="shared" si="318"/>
        <v>772.7</v>
      </c>
      <c r="E1052" s="2">
        <f t="shared" si="315"/>
        <v>540000</v>
      </c>
      <c r="F1052" s="2">
        <f t="shared" si="319"/>
        <v>547675.65800000005</v>
      </c>
      <c r="G1052" s="2">
        <f t="shared" si="320"/>
        <v>6424.5368799999997</v>
      </c>
      <c r="H1052" s="2">
        <f t="shared" si="321"/>
        <v>22485.879079999999</v>
      </c>
      <c r="I1052" s="2">
        <f t="shared" si="323"/>
        <v>84.052751207803794</v>
      </c>
      <c r="J1052" s="2">
        <f t="shared" si="324"/>
        <v>24.35642636213981</v>
      </c>
      <c r="K1052">
        <f t="shared" si="325"/>
        <v>3.1889377257848886E+36</v>
      </c>
      <c r="L1052" s="13">
        <f t="shared" si="316"/>
        <v>1.9045981345701688E+20</v>
      </c>
      <c r="M1052" s="2">
        <f t="shared" si="326"/>
        <v>37832197477.949631</v>
      </c>
      <c r="P1052" s="2"/>
      <c r="Q1052" s="2"/>
    </row>
    <row r="1053" spans="1:17" x14ac:dyDescent="0.2">
      <c r="A1053">
        <f t="shared" si="330"/>
        <v>38</v>
      </c>
      <c r="B1053">
        <f t="shared" si="329"/>
        <v>38000</v>
      </c>
      <c r="C1053" s="1">
        <f t="shared" si="314"/>
        <v>1230174000</v>
      </c>
      <c r="D1053">
        <f t="shared" si="318"/>
        <v>760.40000000000009</v>
      </c>
      <c r="E1053" s="2">
        <f t="shared" si="315"/>
        <v>540000</v>
      </c>
      <c r="F1053" s="2">
        <f t="shared" si="319"/>
        <v>547222.43599999999</v>
      </c>
      <c r="G1053" s="2">
        <f t="shared" si="320"/>
        <v>6322.2697600000001</v>
      </c>
      <c r="H1053" s="2">
        <f t="shared" si="321"/>
        <v>22127.944159999999</v>
      </c>
      <c r="I1053" s="2">
        <f t="shared" si="323"/>
        <v>85.412363043490259</v>
      </c>
      <c r="J1053" s="2">
        <f t="shared" si="324"/>
        <v>24.729926650357203</v>
      </c>
      <c r="K1053">
        <f t="shared" si="325"/>
        <v>1.2419895910891259E+37</v>
      </c>
      <c r="L1053" s="13">
        <f t="shared" si="316"/>
        <v>4.0536225659617241E+20</v>
      </c>
      <c r="M1053" s="2">
        <f t="shared" si="326"/>
        <v>54963031979.328102</v>
      </c>
      <c r="P1053" s="2"/>
      <c r="Q1053" s="2"/>
    </row>
    <row r="1054" spans="1:17" x14ac:dyDescent="0.2">
      <c r="A1054">
        <f t="shared" si="330"/>
        <v>37</v>
      </c>
      <c r="B1054">
        <f t="shared" si="329"/>
        <v>37000</v>
      </c>
      <c r="C1054" s="1">
        <f t="shared" si="314"/>
        <v>1197801000</v>
      </c>
      <c r="D1054">
        <f t="shared" si="318"/>
        <v>748.1</v>
      </c>
      <c r="E1054" s="2">
        <f t="shared" si="315"/>
        <v>540000</v>
      </c>
      <c r="F1054" s="2">
        <f t="shared" si="319"/>
        <v>546769.21400000004</v>
      </c>
      <c r="G1054" s="2">
        <f t="shared" si="320"/>
        <v>6220.0026399999997</v>
      </c>
      <c r="H1054" s="2">
        <f t="shared" si="321"/>
        <v>21770.009239999999</v>
      </c>
      <c r="I1054" s="2">
        <f t="shared" si="323"/>
        <v>86.816683408996113</v>
      </c>
      <c r="J1054" s="2">
        <f t="shared" si="324"/>
        <v>25.115708862234733</v>
      </c>
      <c r="K1054">
        <f t="shared" si="325"/>
        <v>5.0583228117022338E+37</v>
      </c>
      <c r="L1054" s="13">
        <f t="shared" si="316"/>
        <v>8.8444392030564975E+20</v>
      </c>
      <c r="M1054" s="2">
        <f t="shared" si="326"/>
        <v>80837666405.426956</v>
      </c>
      <c r="P1054" s="2"/>
      <c r="Q1054" s="2"/>
    </row>
    <row r="1055" spans="1:17" x14ac:dyDescent="0.2">
      <c r="A1055">
        <f t="shared" si="330"/>
        <v>36</v>
      </c>
      <c r="B1055">
        <f t="shared" si="329"/>
        <v>36000</v>
      </c>
      <c r="C1055" s="1">
        <f t="shared" si="314"/>
        <v>1165428000</v>
      </c>
      <c r="D1055">
        <f t="shared" si="318"/>
        <v>735.8</v>
      </c>
      <c r="E1055" s="2">
        <f t="shared" si="315"/>
        <v>540000</v>
      </c>
      <c r="F1055" s="2">
        <f t="shared" si="319"/>
        <v>546315.99199999997</v>
      </c>
      <c r="G1055" s="2">
        <f t="shared" si="320"/>
        <v>6117.7355199999993</v>
      </c>
      <c r="H1055" s="2">
        <f t="shared" si="321"/>
        <v>21412.074319999996</v>
      </c>
      <c r="I1055" s="2">
        <f t="shared" si="323"/>
        <v>88.267954414609946</v>
      </c>
      <c r="J1055" s="2">
        <f t="shared" si="324"/>
        <v>25.514388930067941</v>
      </c>
      <c r="K1055">
        <f t="shared" si="325"/>
        <v>2.1591635057573527E+38</v>
      </c>
      <c r="L1055" s="13">
        <f t="shared" si="316"/>
        <v>1.9807300714237235E+21</v>
      </c>
      <c r="M1055" s="2">
        <f t="shared" si="326"/>
        <v>120436554201.63638</v>
      </c>
      <c r="P1055" s="2"/>
      <c r="Q1055" s="2"/>
    </row>
    <row r="1056" spans="1:17" x14ac:dyDescent="0.2">
      <c r="A1056">
        <f t="shared" si="330"/>
        <v>35</v>
      </c>
      <c r="B1056">
        <f t="shared" si="329"/>
        <v>35000</v>
      </c>
      <c r="C1056" s="1">
        <f t="shared" ref="C1056:C1091" si="331">$B$3*$B$1*B1056</f>
        <v>1133055000</v>
      </c>
      <c r="D1056">
        <f t="shared" si="318"/>
        <v>723.5</v>
      </c>
      <c r="E1056" s="2">
        <f t="shared" ref="E1056:E1091" si="332">+$B$19+$B$16*0</f>
        <v>540000</v>
      </c>
      <c r="F1056" s="2">
        <f t="shared" si="319"/>
        <v>545862.77</v>
      </c>
      <c r="G1056" s="2">
        <f t="shared" si="320"/>
        <v>6015.4683999999997</v>
      </c>
      <c r="H1056" s="2">
        <f t="shared" si="321"/>
        <v>21054.139399999996</v>
      </c>
      <c r="I1056" s="2">
        <f t="shared" si="323"/>
        <v>89.76857064031789</v>
      </c>
      <c r="J1056" s="2">
        <f t="shared" si="324"/>
        <v>25.926624671251112</v>
      </c>
      <c r="K1056">
        <f t="shared" si="325"/>
        <v>9.6826643534800927E+38</v>
      </c>
      <c r="L1056" s="13">
        <f t="shared" ref="L1056:L1091" si="333">EXP((300*1000)/($B$17*D1056))</f>
        <v>4.5591726954721276E+21</v>
      </c>
      <c r="M1056" s="2">
        <f t="shared" si="326"/>
        <v>181882128981.13461</v>
      </c>
      <c r="P1056" s="2"/>
      <c r="Q1056" s="2"/>
    </row>
    <row r="1057" spans="1:17" x14ac:dyDescent="0.2">
      <c r="A1057">
        <f t="shared" si="330"/>
        <v>34</v>
      </c>
      <c r="B1057">
        <f t="shared" si="329"/>
        <v>34000</v>
      </c>
      <c r="C1057" s="1">
        <f t="shared" si="331"/>
        <v>1100682000</v>
      </c>
      <c r="D1057">
        <f t="shared" si="318"/>
        <v>711.2</v>
      </c>
      <c r="E1057" s="2">
        <f t="shared" si="332"/>
        <v>540000</v>
      </c>
      <c r="F1057" s="2">
        <f t="shared" si="319"/>
        <v>545409.54799999995</v>
      </c>
      <c r="G1057" s="2">
        <f t="shared" si="320"/>
        <v>5913.2012799999993</v>
      </c>
      <c r="H1057" s="2">
        <f t="shared" si="321"/>
        <v>20696.20448</v>
      </c>
      <c r="I1057" s="2">
        <f t="shared" si="323"/>
        <v>91.32109232040213</v>
      </c>
      <c r="J1057" s="2">
        <f t="shared" si="324"/>
        <v>26.353119410231105</v>
      </c>
      <c r="K1057">
        <f t="shared" si="325"/>
        <v>4.5734767553370923E+39</v>
      </c>
      <c r="L1057" s="13">
        <f t="shared" si="333"/>
        <v>1.0801156644689358E+22</v>
      </c>
      <c r="M1057" s="2">
        <f t="shared" si="326"/>
        <v>278621317041.69604</v>
      </c>
      <c r="P1057" s="2"/>
      <c r="Q1057" s="2"/>
    </row>
    <row r="1058" spans="1:17" x14ac:dyDescent="0.2">
      <c r="A1058">
        <f t="shared" si="330"/>
        <v>33</v>
      </c>
      <c r="B1058">
        <f t="shared" si="329"/>
        <v>33000</v>
      </c>
      <c r="C1058" s="1">
        <f t="shared" si="331"/>
        <v>1068309000</v>
      </c>
      <c r="D1058">
        <f t="shared" si="318"/>
        <v>698.90000000000009</v>
      </c>
      <c r="E1058" s="2">
        <f t="shared" si="332"/>
        <v>540000</v>
      </c>
      <c r="F1058" s="2">
        <f t="shared" si="319"/>
        <v>544956.326</v>
      </c>
      <c r="G1058" s="2">
        <f t="shared" si="320"/>
        <v>5810.9341599999998</v>
      </c>
      <c r="H1058" s="2">
        <f t="shared" si="321"/>
        <v>20338.269560000001</v>
      </c>
      <c r="I1058" s="2">
        <f t="shared" si="323"/>
        <v>92.928259920260402</v>
      </c>
      <c r="J1058" s="2">
        <f t="shared" si="324"/>
        <v>26.794625982919658</v>
      </c>
      <c r="K1058">
        <f t="shared" si="325"/>
        <v>2.2815526556045096E+40</v>
      </c>
      <c r="L1058" s="13">
        <f t="shared" si="333"/>
        <v>2.6377836048912623E+22</v>
      </c>
      <c r="M1058" s="2">
        <f t="shared" si="326"/>
        <v>433269590871.73627</v>
      </c>
      <c r="P1058" s="2"/>
      <c r="Q1058" s="2"/>
    </row>
    <row r="1059" spans="1:17" x14ac:dyDescent="0.2">
      <c r="A1059">
        <f t="shared" si="330"/>
        <v>32</v>
      </c>
      <c r="B1059">
        <f t="shared" si="329"/>
        <v>32000</v>
      </c>
      <c r="C1059" s="1">
        <f t="shared" si="331"/>
        <v>1035936000</v>
      </c>
      <c r="D1059">
        <f t="shared" si="318"/>
        <v>686.6</v>
      </c>
      <c r="E1059" s="2">
        <f t="shared" si="332"/>
        <v>540000</v>
      </c>
      <c r="F1059" s="2">
        <f t="shared" si="319"/>
        <v>544503.10400000005</v>
      </c>
      <c r="G1059" s="2">
        <f t="shared" si="320"/>
        <v>5708.6670399999994</v>
      </c>
      <c r="H1059" s="2">
        <f t="shared" si="321"/>
        <v>19980.334639999997</v>
      </c>
      <c r="I1059" s="2">
        <f t="shared" si="323"/>
        <v>94.593010280032033</v>
      </c>
      <c r="J1059" s="2">
        <f t="shared" si="324"/>
        <v>27.251951171524528</v>
      </c>
      <c r="K1059">
        <f t="shared" si="325"/>
        <v>1.2056531668616035E+41</v>
      </c>
      <c r="L1059" s="13">
        <f t="shared" si="333"/>
        <v>6.6512202357104034E+22</v>
      </c>
      <c r="M1059" s="2">
        <f t="shared" si="326"/>
        <v>684497734205.8103</v>
      </c>
      <c r="P1059" s="2"/>
      <c r="Q1059" s="2"/>
    </row>
    <row r="1060" spans="1:17" x14ac:dyDescent="0.2">
      <c r="A1060">
        <f t="shared" si="330"/>
        <v>31</v>
      </c>
      <c r="B1060">
        <f t="shared" si="329"/>
        <v>31000</v>
      </c>
      <c r="C1060" s="1">
        <f t="shared" si="331"/>
        <v>1003563000</v>
      </c>
      <c r="D1060">
        <f t="shared" si="318"/>
        <v>674.3</v>
      </c>
      <c r="E1060" s="2">
        <f t="shared" si="332"/>
        <v>540000</v>
      </c>
      <c r="F1060" s="2">
        <f t="shared" si="319"/>
        <v>544049.88199999998</v>
      </c>
      <c r="G1060" s="2">
        <f t="shared" si="320"/>
        <v>5606.3999199999989</v>
      </c>
      <c r="H1060" s="2">
        <f t="shared" si="321"/>
        <v>19622.399719999998</v>
      </c>
      <c r="I1060" s="2">
        <f t="shared" si="323"/>
        <v>96.318494525092689</v>
      </c>
      <c r="J1060" s="2">
        <f t="shared" si="324"/>
        <v>27.725960624758898</v>
      </c>
      <c r="K1060">
        <f t="shared" si="325"/>
        <v>6.7700313141159389E+41</v>
      </c>
      <c r="L1060" s="13">
        <f t="shared" si="333"/>
        <v>1.7346707003219525E+23</v>
      </c>
      <c r="M1060" s="2">
        <f t="shared" si="326"/>
        <v>1099592337487.625</v>
      </c>
      <c r="P1060" s="2"/>
      <c r="Q1060" s="2"/>
    </row>
    <row r="1061" spans="1:17" x14ac:dyDescent="0.2">
      <c r="A1061">
        <f t="shared" si="330"/>
        <v>30</v>
      </c>
      <c r="B1061">
        <f t="shared" si="329"/>
        <v>30000</v>
      </c>
      <c r="C1061" s="1">
        <f t="shared" si="331"/>
        <v>971190000</v>
      </c>
      <c r="D1061">
        <f t="shared" si="318"/>
        <v>662</v>
      </c>
      <c r="E1061" s="2">
        <f t="shared" si="332"/>
        <v>540000</v>
      </c>
      <c r="F1061" s="2">
        <f t="shared" si="319"/>
        <v>543596.66</v>
      </c>
      <c r="G1061" s="2">
        <f t="shared" si="320"/>
        <v>5504.1327999999994</v>
      </c>
      <c r="H1061" s="2">
        <f t="shared" si="321"/>
        <v>19264.464799999998</v>
      </c>
      <c r="I1061" s="2">
        <f t="shared" si="323"/>
        <v>98.108097973217511</v>
      </c>
      <c r="J1061" s="2">
        <f t="shared" si="324"/>
        <v>28.217584326557574</v>
      </c>
      <c r="K1061">
        <f t="shared" si="325"/>
        <v>4.0532704244574535E+42</v>
      </c>
      <c r="L1061" s="13">
        <f t="shared" si="333"/>
        <v>4.6881672842883773E+23</v>
      </c>
      <c r="M1061" s="2">
        <f t="shared" si="326"/>
        <v>1797799128915.5286</v>
      </c>
      <c r="P1061" s="2"/>
      <c r="Q1061" s="2"/>
    </row>
    <row r="1062" spans="1:17" x14ac:dyDescent="0.2">
      <c r="A1062">
        <f t="shared" si="330"/>
        <v>29</v>
      </c>
      <c r="B1062">
        <f t="shared" si="329"/>
        <v>29000</v>
      </c>
      <c r="C1062" s="1">
        <f t="shared" si="331"/>
        <v>938817000</v>
      </c>
      <c r="D1062">
        <f t="shared" si="318"/>
        <v>649.70000000000005</v>
      </c>
      <c r="E1062" s="2">
        <f t="shared" si="332"/>
        <v>540000</v>
      </c>
      <c r="F1062" s="2">
        <f t="shared" si="319"/>
        <v>543143.43799999997</v>
      </c>
      <c r="G1062" s="2">
        <f t="shared" si="320"/>
        <v>5401.8656799999999</v>
      </c>
      <c r="H1062" s="2">
        <f t="shared" si="321"/>
        <v>18906.529879999998</v>
      </c>
      <c r="I1062" s="2">
        <f t="shared" si="323"/>
        <v>99.965462303016764</v>
      </c>
      <c r="J1062" s="2">
        <f t="shared" si="324"/>
        <v>28.727822685989377</v>
      </c>
      <c r="K1062">
        <f t="shared" si="325"/>
        <v>2.5968607307593402E+43</v>
      </c>
      <c r="L1062" s="13">
        <f t="shared" si="333"/>
        <v>1.3156432562321504E+24</v>
      </c>
      <c r="M1062" s="2">
        <f t="shared" si="326"/>
        <v>2994572759263.9097</v>
      </c>
      <c r="P1062" s="2"/>
      <c r="Q1062" s="2"/>
    </row>
    <row r="1063" spans="1:17" x14ac:dyDescent="0.2">
      <c r="A1063">
        <f t="shared" si="330"/>
        <v>28</v>
      </c>
      <c r="B1063">
        <f t="shared" si="329"/>
        <v>28000</v>
      </c>
      <c r="C1063" s="1">
        <f t="shared" si="331"/>
        <v>906444000</v>
      </c>
      <c r="D1063">
        <f t="shared" si="318"/>
        <v>637.40000000000009</v>
      </c>
      <c r="E1063" s="2">
        <f t="shared" si="332"/>
        <v>540000</v>
      </c>
      <c r="F1063" s="2">
        <f t="shared" si="319"/>
        <v>542690.21600000001</v>
      </c>
      <c r="G1063" s="2">
        <f t="shared" si="320"/>
        <v>5299.5985600000004</v>
      </c>
      <c r="H1063" s="2">
        <f t="shared" si="321"/>
        <v>18548.594960000002</v>
      </c>
      <c r="I1063" s="2">
        <f t="shared" si="323"/>
        <v>101.8945102890963</v>
      </c>
      <c r="J1063" s="2">
        <f t="shared" si="324"/>
        <v>29.257753332277193</v>
      </c>
      <c r="K1063">
        <f t="shared" si="325"/>
        <v>1.7874074130658675E+44</v>
      </c>
      <c r="L1063" s="13">
        <f t="shared" si="333"/>
        <v>3.8420997992313473E+24</v>
      </c>
      <c r="M1063" s="2">
        <f t="shared" si="326"/>
        <v>5087223581147.5</v>
      </c>
      <c r="P1063" s="2"/>
      <c r="Q1063" s="2"/>
    </row>
    <row r="1064" spans="1:17" x14ac:dyDescent="0.2">
      <c r="A1064">
        <f t="shared" si="330"/>
        <v>27</v>
      </c>
      <c r="B1064">
        <f t="shared" si="329"/>
        <v>27000</v>
      </c>
      <c r="C1064" s="1">
        <f t="shared" si="331"/>
        <v>874071000</v>
      </c>
      <c r="D1064">
        <f t="shared" si="318"/>
        <v>625.1</v>
      </c>
      <c r="E1064" s="2">
        <f t="shared" si="332"/>
        <v>540000</v>
      </c>
      <c r="F1064" s="2">
        <f t="shared" si="319"/>
        <v>542236.99399999995</v>
      </c>
      <c r="G1064" s="2">
        <f t="shared" si="320"/>
        <v>5197.3314399999999</v>
      </c>
      <c r="H1064" s="2">
        <f t="shared" si="321"/>
        <v>18190.660039999999</v>
      </c>
      <c r="I1064" s="2">
        <f t="shared" si="323"/>
        <v>103.89947345747879</v>
      </c>
      <c r="J1064" s="2">
        <f t="shared" si="324"/>
        <v>29.808538712045547</v>
      </c>
      <c r="K1064">
        <f t="shared" si="325"/>
        <v>1.3272966407363221E+45</v>
      </c>
      <c r="L1064" s="13">
        <f t="shared" si="333"/>
        <v>1.1703494433517194E+25</v>
      </c>
      <c r="M1064" s="2">
        <f t="shared" si="326"/>
        <v>8824373388098.7402</v>
      </c>
      <c r="P1064" s="2"/>
      <c r="Q1064" s="2"/>
    </row>
    <row r="1065" spans="1:17" x14ac:dyDescent="0.2">
      <c r="A1065">
        <f t="shared" si="330"/>
        <v>26</v>
      </c>
      <c r="B1065">
        <f t="shared" si="329"/>
        <v>26000</v>
      </c>
      <c r="C1065" s="1">
        <f t="shared" si="331"/>
        <v>841698000</v>
      </c>
      <c r="D1065">
        <f t="shared" si="318"/>
        <v>612.79999999999995</v>
      </c>
      <c r="E1065" s="2">
        <f t="shared" si="332"/>
        <v>540000</v>
      </c>
      <c r="F1065" s="2">
        <f t="shared" si="319"/>
        <v>541783.772</v>
      </c>
      <c r="G1065" s="2">
        <f t="shared" si="320"/>
        <v>5095.0643199999995</v>
      </c>
      <c r="H1065" s="2">
        <f t="shared" si="321"/>
        <v>17832.725119999996</v>
      </c>
      <c r="I1065" s="2">
        <f t="shared" si="323"/>
        <v>105.98492307158942</v>
      </c>
      <c r="J1065" s="2">
        <f t="shared" si="324"/>
        <v>30.381434601510872</v>
      </c>
      <c r="K1065">
        <f t="shared" si="325"/>
        <v>1.0682361110470423E+46</v>
      </c>
      <c r="L1065" s="13">
        <f t="shared" si="333"/>
        <v>3.7280506857672745E+25</v>
      </c>
      <c r="M1065" s="2">
        <f t="shared" si="326"/>
        <v>15649101224339.146</v>
      </c>
      <c r="P1065" s="2"/>
      <c r="Q1065" s="2"/>
    </row>
    <row r="1066" spans="1:17" x14ac:dyDescent="0.2">
      <c r="A1066">
        <f t="shared" si="330"/>
        <v>25</v>
      </c>
      <c r="B1066">
        <f t="shared" si="329"/>
        <v>25000</v>
      </c>
      <c r="C1066" s="1">
        <f t="shared" si="331"/>
        <v>809325000</v>
      </c>
      <c r="D1066">
        <f t="shared" si="318"/>
        <v>600.5</v>
      </c>
      <c r="E1066" s="2">
        <f t="shared" si="332"/>
        <v>540000</v>
      </c>
      <c r="F1066" s="2">
        <f t="shared" si="319"/>
        <v>541330.55000000005</v>
      </c>
      <c r="G1066" s="2">
        <f t="shared" si="320"/>
        <v>4992.7971999999991</v>
      </c>
      <c r="H1066" s="2">
        <f t="shared" si="321"/>
        <v>17474.790199999999</v>
      </c>
      <c r="I1066" s="2">
        <f t="shared" si="323"/>
        <v>108.15580492634471</v>
      </c>
      <c r="J1066" s="2">
        <f t="shared" si="324"/>
        <v>30.977799664799413</v>
      </c>
      <c r="K1066">
        <f t="shared" si="325"/>
        <v>9.3641694804755878E+46</v>
      </c>
      <c r="L1066" s="13">
        <f t="shared" si="333"/>
        <v>1.2452619066359494E+26</v>
      </c>
      <c r="M1066" s="2">
        <f t="shared" si="326"/>
        <v>28411061218685.195</v>
      </c>
      <c r="P1066" s="2"/>
      <c r="Q1066" s="2"/>
    </row>
    <row r="1067" spans="1:17" x14ac:dyDescent="0.2">
      <c r="A1067">
        <f t="shared" si="330"/>
        <v>24</v>
      </c>
      <c r="B1067">
        <f t="shared" si="329"/>
        <v>24000</v>
      </c>
      <c r="C1067" s="1">
        <f t="shared" si="331"/>
        <v>776952000</v>
      </c>
      <c r="D1067">
        <f t="shared" si="318"/>
        <v>588.20000000000005</v>
      </c>
      <c r="E1067" s="2">
        <f t="shared" si="332"/>
        <v>540000</v>
      </c>
      <c r="F1067" s="2">
        <f t="shared" si="319"/>
        <v>540877.32799999998</v>
      </c>
      <c r="G1067" s="2">
        <f t="shared" si="320"/>
        <v>4890.5300799999995</v>
      </c>
      <c r="H1067" s="2">
        <f t="shared" si="321"/>
        <v>17116.85528</v>
      </c>
      <c r="I1067" s="2">
        <f t="shared" si="323"/>
        <v>110.41747850776946</v>
      </c>
      <c r="J1067" s="2">
        <f t="shared" si="324"/>
        <v>31.599106211523686</v>
      </c>
      <c r="K1067">
        <f t="shared" si="325"/>
        <v>8.9887980145677807E+47</v>
      </c>
      <c r="L1067" s="13">
        <f t="shared" si="333"/>
        <v>4.3746704776659412E+26</v>
      </c>
      <c r="M1067" s="2">
        <f t="shared" si="326"/>
        <v>52883167609603.328</v>
      </c>
      <c r="P1067" s="2"/>
      <c r="Q1067" s="2"/>
    </row>
    <row r="1068" spans="1:17" x14ac:dyDescent="0.2">
      <c r="A1068">
        <f t="shared" si="330"/>
        <v>23</v>
      </c>
      <c r="B1068">
        <f t="shared" si="329"/>
        <v>23000</v>
      </c>
      <c r="C1068" s="1">
        <f t="shared" si="331"/>
        <v>744579000</v>
      </c>
      <c r="D1068">
        <f t="shared" si="318"/>
        <v>575.90000000000009</v>
      </c>
      <c r="E1068" s="2">
        <f t="shared" si="332"/>
        <v>540000</v>
      </c>
      <c r="F1068" s="2">
        <f t="shared" si="319"/>
        <v>540424.10600000003</v>
      </c>
      <c r="G1068" s="2">
        <f t="shared" si="320"/>
        <v>4788.26296</v>
      </c>
      <c r="H1068" s="2">
        <f t="shared" si="321"/>
        <v>16758.92036</v>
      </c>
      <c r="I1068" s="2">
        <f t="shared" si="323"/>
        <v>112.77576117081088</v>
      </c>
      <c r="J1068" s="2">
        <f t="shared" si="324"/>
        <v>32.246952332912691</v>
      </c>
      <c r="K1068">
        <f t="shared" si="325"/>
        <v>9.503657334481228E+48</v>
      </c>
      <c r="L1068" s="13">
        <f t="shared" si="333"/>
        <v>1.6215834977995799E+27</v>
      </c>
      <c r="M1068" s="2">
        <f t="shared" si="326"/>
        <v>101081913913755.67</v>
      </c>
      <c r="P1068" s="2"/>
      <c r="Q1068" s="2"/>
    </row>
    <row r="1069" spans="1:17" x14ac:dyDescent="0.2">
      <c r="A1069">
        <f t="shared" si="330"/>
        <v>22</v>
      </c>
      <c r="B1069">
        <f t="shared" si="329"/>
        <v>22000</v>
      </c>
      <c r="C1069" s="1">
        <f t="shared" si="331"/>
        <v>712206000</v>
      </c>
      <c r="D1069">
        <f t="shared" si="318"/>
        <v>563.6</v>
      </c>
      <c r="E1069" s="2">
        <f t="shared" si="332"/>
        <v>540000</v>
      </c>
      <c r="F1069" s="2">
        <f t="shared" si="319"/>
        <v>539970.88399999996</v>
      </c>
      <c r="G1069" s="2">
        <f t="shared" si="320"/>
        <v>4685.9958399999996</v>
      </c>
      <c r="H1069" s="2">
        <f t="shared" si="321"/>
        <v>16400.98544</v>
      </c>
      <c r="I1069" s="2">
        <f t="shared" si="323"/>
        <v>115.23697810196947</v>
      </c>
      <c r="J1069" s="2">
        <f t="shared" si="324"/>
        <v>32.923075627094754</v>
      </c>
      <c r="K1069">
        <f t="shared" si="325"/>
        <v>1.1137397006047404E+50</v>
      </c>
      <c r="L1069" s="13">
        <f t="shared" si="333"/>
        <v>6.3645649488793976E+27</v>
      </c>
      <c r="M1069" s="2">
        <f t="shared" si="326"/>
        <v>198751343083851.19</v>
      </c>
      <c r="P1069" s="2"/>
      <c r="Q1069" s="2"/>
    </row>
    <row r="1070" spans="1:17" x14ac:dyDescent="0.2">
      <c r="A1070">
        <f t="shared" si="330"/>
        <v>21</v>
      </c>
      <c r="B1070">
        <f t="shared" si="329"/>
        <v>21000</v>
      </c>
      <c r="C1070" s="1">
        <f t="shared" si="331"/>
        <v>679833000</v>
      </c>
      <c r="D1070">
        <f t="shared" si="318"/>
        <v>551.29999999999995</v>
      </c>
      <c r="E1070" s="2">
        <f t="shared" si="332"/>
        <v>540000</v>
      </c>
      <c r="F1070" s="2">
        <f t="shared" si="319"/>
        <v>539517.66200000001</v>
      </c>
      <c r="G1070" s="2">
        <f t="shared" si="320"/>
        <v>4583.7287199999992</v>
      </c>
      <c r="H1070" s="2">
        <f t="shared" si="321"/>
        <v>16043.050519999997</v>
      </c>
      <c r="I1070" s="2">
        <f t="shared" si="323"/>
        <v>117.80801897019772</v>
      </c>
      <c r="J1070" s="2">
        <f t="shared" si="324"/>
        <v>33.629368761721018</v>
      </c>
      <c r="K1070">
        <f t="shared" si="325"/>
        <v>1.4567081925455385E+51</v>
      </c>
      <c r="L1070" s="13">
        <f t="shared" si="333"/>
        <v>2.6551916165663169E+28</v>
      </c>
      <c r="M1070" s="2">
        <f t="shared" si="326"/>
        <v>402762736660816.12</v>
      </c>
      <c r="P1070" s="2"/>
      <c r="Q1070" s="2"/>
    </row>
    <row r="1071" spans="1:17" x14ac:dyDescent="0.2">
      <c r="A1071">
        <f t="shared" si="330"/>
        <v>20</v>
      </c>
      <c r="B1071">
        <f t="shared" si="329"/>
        <v>20000</v>
      </c>
      <c r="C1071" s="1">
        <f t="shared" si="331"/>
        <v>647460000</v>
      </c>
      <c r="D1071">
        <f t="shared" si="318"/>
        <v>539</v>
      </c>
      <c r="E1071" s="2">
        <f t="shared" si="332"/>
        <v>540000</v>
      </c>
      <c r="F1071" s="2">
        <f t="shared" si="319"/>
        <v>539064.43999999994</v>
      </c>
      <c r="G1071" s="2">
        <f t="shared" si="320"/>
        <v>4481.4615999999996</v>
      </c>
      <c r="H1071" s="2">
        <f t="shared" si="321"/>
        <v>15685.115599999999</v>
      </c>
      <c r="I1071" s="2">
        <f t="shared" si="323"/>
        <v>120.49640233445268</v>
      </c>
      <c r="J1071" s="2">
        <f t="shared" si="324"/>
        <v>34.367897167426676</v>
      </c>
      <c r="K1071">
        <f t="shared" si="325"/>
        <v>2.1425088426995982E+52</v>
      </c>
      <c r="L1071" s="13">
        <f t="shared" si="333"/>
        <v>1.182319331529584E+29</v>
      </c>
      <c r="M1071" s="2">
        <f t="shared" si="326"/>
        <v>842923369300525</v>
      </c>
      <c r="P1071" s="2"/>
      <c r="Q1071" s="2"/>
    </row>
    <row r="1072" spans="1:17" x14ac:dyDescent="0.2">
      <c r="A1072">
        <f t="shared" si="330"/>
        <v>19</v>
      </c>
      <c r="B1072">
        <f t="shared" si="329"/>
        <v>19000</v>
      </c>
      <c r="C1072" s="1">
        <f t="shared" si="331"/>
        <v>615087000</v>
      </c>
      <c r="D1072">
        <f t="shared" si="318"/>
        <v>526.70000000000005</v>
      </c>
      <c r="E1072" s="2">
        <f t="shared" si="332"/>
        <v>540000</v>
      </c>
      <c r="F1072" s="2">
        <f t="shared" si="319"/>
        <v>538611.21799999999</v>
      </c>
      <c r="G1072" s="2">
        <f t="shared" si="320"/>
        <v>4379.1944800000001</v>
      </c>
      <c r="H1072" s="2">
        <f t="shared" si="321"/>
        <v>15327.180679999999</v>
      </c>
      <c r="I1072" s="2">
        <f t="shared" si="323"/>
        <v>123.31034907588757</v>
      </c>
      <c r="J1072" s="2">
        <f t="shared" si="324"/>
        <v>35.140919210459778</v>
      </c>
      <c r="K1072">
        <f t="shared" si="325"/>
        <v>3.5727626469263786E+53</v>
      </c>
      <c r="L1072" s="13">
        <f t="shared" si="333"/>
        <v>5.645065438208662E+29</v>
      </c>
      <c r="M1072" s="2">
        <f t="shared" si="326"/>
        <v>1826027451151494</v>
      </c>
      <c r="P1072" s="2"/>
      <c r="Q1072" s="2"/>
    </row>
    <row r="1073" spans="1:17" x14ac:dyDescent="0.2">
      <c r="A1073">
        <f t="shared" si="330"/>
        <v>18</v>
      </c>
      <c r="B1073">
        <f t="shared" si="329"/>
        <v>18000</v>
      </c>
      <c r="C1073" s="1">
        <f t="shared" si="331"/>
        <v>582714000</v>
      </c>
      <c r="D1073">
        <f t="shared" si="318"/>
        <v>514.4</v>
      </c>
      <c r="E1073" s="2">
        <f t="shared" si="332"/>
        <v>540000</v>
      </c>
      <c r="F1073" s="2">
        <f t="shared" si="319"/>
        <v>538157.99600000004</v>
      </c>
      <c r="G1073" s="2">
        <f t="shared" si="320"/>
        <v>4276.9273599999997</v>
      </c>
      <c r="H1073" s="2">
        <f t="shared" si="321"/>
        <v>14969.245759999998</v>
      </c>
      <c r="I1073" s="2">
        <f t="shared" si="323"/>
        <v>126.25886636522161</v>
      </c>
      <c r="J1073" s="2">
        <f t="shared" si="324"/>
        <v>35.950909259438873</v>
      </c>
      <c r="K1073">
        <f t="shared" si="325"/>
        <v>6.8159901441810374E+54</v>
      </c>
      <c r="L1073" s="13">
        <f t="shared" si="333"/>
        <v>2.9045017400095499E+30</v>
      </c>
      <c r="M1073" s="2">
        <f t="shared" si="326"/>
        <v>4104700845166776</v>
      </c>
      <c r="P1073" s="2"/>
      <c r="Q1073" s="2"/>
    </row>
    <row r="1074" spans="1:17" x14ac:dyDescent="0.2">
      <c r="A1074">
        <f t="shared" si="330"/>
        <v>17</v>
      </c>
      <c r="B1074">
        <f t="shared" si="329"/>
        <v>17000</v>
      </c>
      <c r="C1074" s="1">
        <f t="shared" si="331"/>
        <v>550341000</v>
      </c>
      <c r="D1074">
        <f t="shared" si="318"/>
        <v>502.1</v>
      </c>
      <c r="E1074" s="2">
        <f t="shared" si="332"/>
        <v>540000</v>
      </c>
      <c r="F1074" s="2">
        <f t="shared" si="319"/>
        <v>537704.77399999998</v>
      </c>
      <c r="G1074" s="2">
        <f t="shared" si="320"/>
        <v>4174.6602400000002</v>
      </c>
      <c r="H1074" s="2">
        <f t="shared" si="321"/>
        <v>14611.310839999998</v>
      </c>
      <c r="I1074" s="2">
        <f t="shared" si="323"/>
        <v>129.35184397185816</v>
      </c>
      <c r="J1074" s="2">
        <f t="shared" si="324"/>
        <v>36.800584142524478</v>
      </c>
      <c r="K1074">
        <f t="shared" si="325"/>
        <v>1.5024224380904891E+56</v>
      </c>
      <c r="L1074" s="13">
        <f t="shared" si="333"/>
        <v>1.6193059914348608E+31</v>
      </c>
      <c r="M1074" s="2">
        <f t="shared" si="326"/>
        <v>9600428641313184</v>
      </c>
      <c r="P1074" s="2"/>
      <c r="Q1074" s="2"/>
    </row>
    <row r="1075" spans="1:17" x14ac:dyDescent="0.2">
      <c r="A1075">
        <f t="shared" si="330"/>
        <v>16</v>
      </c>
      <c r="B1075">
        <f t="shared" si="329"/>
        <v>16000</v>
      </c>
      <c r="C1075" s="1">
        <f t="shared" si="331"/>
        <v>517968000</v>
      </c>
      <c r="D1075">
        <f t="shared" ref="D1075:D1091" si="334">IF(A1075&gt;$B$4,$B$2+(A1075-$B$4)*$B$5,$B$6+(($B$2-$B$6)/$B$4)*(A1075))</f>
        <v>489.8</v>
      </c>
      <c r="E1075" s="2">
        <f t="shared" si="332"/>
        <v>540000</v>
      </c>
      <c r="F1075" s="2">
        <f t="shared" ref="F1075:F1091" si="335">+$F$20+$H$15*C1075*(0.000001)</f>
        <v>537251.55200000003</v>
      </c>
      <c r="G1075" s="2">
        <f t="shared" ref="G1075:G1091" si="336">+$B$17*D1075</f>
        <v>4072.3931199999997</v>
      </c>
      <c r="H1075" s="2">
        <f t="shared" ref="H1075:H1091" si="337">+$B$23*$B$17*D1075</f>
        <v>14253.375919999999</v>
      </c>
      <c r="I1075" s="2">
        <f t="shared" si="323"/>
        <v>132.60016508425886</v>
      </c>
      <c r="J1075" s="2">
        <f t="shared" si="324"/>
        <v>37.692933590991693</v>
      </c>
      <c r="K1075">
        <f t="shared" si="325"/>
        <v>3.8682986443643087E+57</v>
      </c>
      <c r="L1075" s="13">
        <f t="shared" si="333"/>
        <v>9.8416216304476657E+31</v>
      </c>
      <c r="M1075" s="2">
        <f t="shared" si="326"/>
        <v>2.3433279107080948E+16</v>
      </c>
      <c r="P1075" s="2"/>
      <c r="Q1075" s="2"/>
    </row>
    <row r="1076" spans="1:17" x14ac:dyDescent="0.2">
      <c r="A1076">
        <f t="shared" si="330"/>
        <v>15</v>
      </c>
      <c r="B1076">
        <f t="shared" si="329"/>
        <v>15000</v>
      </c>
      <c r="C1076" s="1">
        <f t="shared" si="331"/>
        <v>485595000</v>
      </c>
      <c r="D1076">
        <f t="shared" si="334"/>
        <v>477.5</v>
      </c>
      <c r="E1076" s="2">
        <f t="shared" si="332"/>
        <v>540000</v>
      </c>
      <c r="F1076" s="2">
        <f t="shared" si="335"/>
        <v>536798.32999999996</v>
      </c>
      <c r="G1076" s="2">
        <f t="shared" si="336"/>
        <v>3970.1259999999997</v>
      </c>
      <c r="H1076" s="2">
        <f t="shared" si="337"/>
        <v>13895.440999999999</v>
      </c>
      <c r="I1076" s="2">
        <f t="shared" ref="I1076:I1091" si="338">+E1076/G1076</f>
        <v>136.01583425815704</v>
      </c>
      <c r="J1076" s="2">
        <f t="shared" ref="J1076:J1091" si="339">+F1076/H1076</f>
        <v>38.631255388008199</v>
      </c>
      <c r="K1076">
        <f t="shared" ref="K1076:K1091" si="340">+EXP(I1076)</f>
        <v>1.1774060682131682E+59</v>
      </c>
      <c r="L1076" s="13">
        <f t="shared" si="333"/>
        <v>6.5641917806000656E+32</v>
      </c>
      <c r="M1076" s="2">
        <f t="shared" ref="M1076:M1091" si="341">+EXP(J1076)</f>
        <v>5.9888170198071528E+16</v>
      </c>
      <c r="P1076" s="2"/>
      <c r="Q1076" s="2"/>
    </row>
    <row r="1077" spans="1:17" x14ac:dyDescent="0.2">
      <c r="A1077">
        <f t="shared" si="330"/>
        <v>14</v>
      </c>
      <c r="B1077">
        <f t="shared" si="329"/>
        <v>14000</v>
      </c>
      <c r="C1077" s="1">
        <f t="shared" si="331"/>
        <v>453222000</v>
      </c>
      <c r="D1077">
        <f t="shared" si="334"/>
        <v>465.20000000000005</v>
      </c>
      <c r="E1077" s="2">
        <f t="shared" si="332"/>
        <v>540000</v>
      </c>
      <c r="F1077" s="2">
        <f t="shared" si="335"/>
        <v>536345.10800000001</v>
      </c>
      <c r="G1077" s="2">
        <f t="shared" si="336"/>
        <v>3867.8588799999998</v>
      </c>
      <c r="H1077" s="2">
        <f t="shared" si="337"/>
        <v>13537.506079999999</v>
      </c>
      <c r="I1077" s="2">
        <f t="shared" si="338"/>
        <v>139.61212566266121</v>
      </c>
      <c r="J1077" s="2">
        <f t="shared" si="339"/>
        <v>39.619196093465398</v>
      </c>
      <c r="K1077">
        <f t="shared" si="340"/>
        <v>4.2931472257050269E+60</v>
      </c>
      <c r="L1077" s="13">
        <f t="shared" si="333"/>
        <v>4.8403351587578304E+33</v>
      </c>
      <c r="M1077" s="2">
        <f t="shared" si="341"/>
        <v>1.6084154672942086E+17</v>
      </c>
      <c r="P1077" s="2"/>
      <c r="Q1077" s="2"/>
    </row>
    <row r="1078" spans="1:17" x14ac:dyDescent="0.2">
      <c r="A1078">
        <f t="shared" si="330"/>
        <v>13</v>
      </c>
      <c r="B1078">
        <f t="shared" si="329"/>
        <v>13000</v>
      </c>
      <c r="C1078" s="1">
        <f t="shared" si="331"/>
        <v>420849000</v>
      </c>
      <c r="D1078">
        <f t="shared" si="334"/>
        <v>452.9</v>
      </c>
      <c r="E1078" s="2">
        <f t="shared" si="332"/>
        <v>540000</v>
      </c>
      <c r="F1078" s="2">
        <f t="shared" si="335"/>
        <v>535891.88600000006</v>
      </c>
      <c r="G1078" s="2">
        <f t="shared" si="336"/>
        <v>3765.5917599999993</v>
      </c>
      <c r="H1078" s="2">
        <f t="shared" si="337"/>
        <v>13179.571159999998</v>
      </c>
      <c r="I1078" s="2">
        <f t="shared" si="338"/>
        <v>143.40375548304263</v>
      </c>
      <c r="J1078" s="2">
        <f t="shared" si="339"/>
        <v>40.660798404915639</v>
      </c>
      <c r="K1078">
        <f t="shared" si="340"/>
        <v>1.903091591877185E+62</v>
      </c>
      <c r="L1078" s="13">
        <f t="shared" si="333"/>
        <v>3.9783210530908178E+34</v>
      </c>
      <c r="M1078" s="2">
        <f t="shared" si="341"/>
        <v>4.5578536595246528E+17</v>
      </c>
      <c r="P1078" s="2"/>
      <c r="Q1078" s="2"/>
    </row>
    <row r="1079" spans="1:17" x14ac:dyDescent="0.2">
      <c r="A1079">
        <f t="shared" si="330"/>
        <v>12</v>
      </c>
      <c r="B1079">
        <f t="shared" si="329"/>
        <v>12000</v>
      </c>
      <c r="C1079" s="1">
        <f t="shared" si="331"/>
        <v>388476000</v>
      </c>
      <c r="D1079">
        <f t="shared" si="334"/>
        <v>440.6</v>
      </c>
      <c r="E1079" s="2">
        <f t="shared" si="332"/>
        <v>540000</v>
      </c>
      <c r="F1079" s="2">
        <f t="shared" si="335"/>
        <v>535438.66399999999</v>
      </c>
      <c r="G1079" s="2">
        <f t="shared" si="336"/>
        <v>3663.3246399999998</v>
      </c>
      <c r="H1079" s="2">
        <f t="shared" si="337"/>
        <v>12821.63624</v>
      </c>
      <c r="I1079" s="2">
        <f t="shared" si="338"/>
        <v>147.40708320079435</v>
      </c>
      <c r="J1079" s="2">
        <f t="shared" si="339"/>
        <v>41.760556451412789</v>
      </c>
      <c r="K1079">
        <f t="shared" si="340"/>
        <v>1.0425162365266364E+64</v>
      </c>
      <c r="L1079" s="13">
        <f t="shared" si="333"/>
        <v>3.6779140074070396E+35</v>
      </c>
      <c r="M1079" s="2">
        <f t="shared" si="341"/>
        <v>1.3689236546603569E+18</v>
      </c>
      <c r="P1079" s="2"/>
      <c r="Q1079" s="2"/>
    </row>
    <row r="1080" spans="1:17" x14ac:dyDescent="0.2">
      <c r="A1080">
        <f t="shared" si="330"/>
        <v>11</v>
      </c>
      <c r="B1080">
        <f t="shared" ref="B1080:B1091" si="342">A1080*1000</f>
        <v>11000</v>
      </c>
      <c r="C1080" s="1">
        <f t="shared" si="331"/>
        <v>356103000</v>
      </c>
      <c r="D1080">
        <f t="shared" si="334"/>
        <v>428.3</v>
      </c>
      <c r="E1080" s="2">
        <f t="shared" si="332"/>
        <v>540000</v>
      </c>
      <c r="F1080" s="2">
        <f t="shared" si="335"/>
        <v>534985.44200000004</v>
      </c>
      <c r="G1080" s="2">
        <f t="shared" si="336"/>
        <v>3561.0575199999998</v>
      </c>
      <c r="H1080" s="2">
        <f t="shared" si="337"/>
        <v>12463.701319999998</v>
      </c>
      <c r="I1080" s="2">
        <f t="shared" si="338"/>
        <v>151.64034755608216</v>
      </c>
      <c r="J1080" s="2">
        <f t="shared" si="339"/>
        <v>42.923480614986374</v>
      </c>
      <c r="K1080">
        <f t="shared" si="340"/>
        <v>7.1873066972718052E+65</v>
      </c>
      <c r="L1080" s="13">
        <f t="shared" si="333"/>
        <v>3.8635026077845989E+36</v>
      </c>
      <c r="M1080" s="2">
        <f t="shared" si="341"/>
        <v>4.379562970973225E+18</v>
      </c>
      <c r="P1080" s="2"/>
      <c r="Q1080" s="2"/>
    </row>
    <row r="1081" spans="1:17" x14ac:dyDescent="0.2">
      <c r="A1081">
        <f t="shared" si="330"/>
        <v>10</v>
      </c>
      <c r="B1081">
        <f t="shared" si="342"/>
        <v>10000</v>
      </c>
      <c r="C1081" s="1">
        <f t="shared" si="331"/>
        <v>323730000</v>
      </c>
      <c r="D1081">
        <f t="shared" si="334"/>
        <v>416</v>
      </c>
      <c r="E1081" s="2">
        <f t="shared" si="332"/>
        <v>540000</v>
      </c>
      <c r="F1081" s="2">
        <f t="shared" si="335"/>
        <v>534532.22</v>
      </c>
      <c r="G1081" s="2">
        <f t="shared" si="336"/>
        <v>3458.7903999999999</v>
      </c>
      <c r="H1081" s="2">
        <f t="shared" si="337"/>
        <v>12105.766399999999</v>
      </c>
      <c r="I1081" s="2">
        <f t="shared" si="338"/>
        <v>156.12394437084131</v>
      </c>
      <c r="J1081" s="2">
        <f t="shared" si="339"/>
        <v>44.15517385169435</v>
      </c>
      <c r="K1081">
        <f t="shared" si="340"/>
        <v>6.3645475169736771E+67</v>
      </c>
      <c r="L1081" s="13">
        <f t="shared" si="333"/>
        <v>4.664012875640473E+37</v>
      </c>
      <c r="M1081" s="2">
        <f t="shared" si="341"/>
        <v>1.5008882279281564E+19</v>
      </c>
      <c r="P1081" s="2"/>
      <c r="Q1081" s="2"/>
    </row>
    <row r="1082" spans="1:17" x14ac:dyDescent="0.2">
      <c r="A1082">
        <f t="shared" si="330"/>
        <v>9</v>
      </c>
      <c r="B1082">
        <f t="shared" si="342"/>
        <v>9000</v>
      </c>
      <c r="C1082" s="1">
        <f t="shared" si="331"/>
        <v>291357000</v>
      </c>
      <c r="D1082">
        <f t="shared" si="334"/>
        <v>403.7</v>
      </c>
      <c r="E1082" s="2">
        <f t="shared" si="332"/>
        <v>540000</v>
      </c>
      <c r="F1082" s="2">
        <f t="shared" si="335"/>
        <v>534078.99800000002</v>
      </c>
      <c r="G1082" s="2">
        <f t="shared" si="336"/>
        <v>3356.5232799999994</v>
      </c>
      <c r="H1082" s="2">
        <f t="shared" si="337"/>
        <v>11747.831479999999</v>
      </c>
      <c r="I1082" s="2">
        <f t="shared" si="338"/>
        <v>160.88075516044091</v>
      </c>
      <c r="J1082" s="2">
        <f t="shared" si="339"/>
        <v>45.461921964852706</v>
      </c>
      <c r="K1082">
        <f t="shared" si="340"/>
        <v>7.4066907258431896E+69</v>
      </c>
      <c r="L1082" s="13">
        <f t="shared" si="333"/>
        <v>6.5532674827000507E+38</v>
      </c>
      <c r="M1082" s="2">
        <f t="shared" si="341"/>
        <v>5.5444930835438756E+19</v>
      </c>
      <c r="P1082" s="2"/>
      <c r="Q1082" s="2"/>
    </row>
    <row r="1083" spans="1:17" x14ac:dyDescent="0.2">
      <c r="A1083">
        <f t="shared" si="330"/>
        <v>8</v>
      </c>
      <c r="B1083">
        <f t="shared" si="342"/>
        <v>8000</v>
      </c>
      <c r="C1083" s="1">
        <f t="shared" si="331"/>
        <v>258984000</v>
      </c>
      <c r="D1083">
        <f t="shared" si="334"/>
        <v>391.4</v>
      </c>
      <c r="E1083" s="2">
        <f t="shared" si="332"/>
        <v>540000</v>
      </c>
      <c r="F1083" s="2">
        <f t="shared" si="335"/>
        <v>533625.77599999995</v>
      </c>
      <c r="G1083" s="2">
        <f t="shared" si="336"/>
        <v>3254.2561599999995</v>
      </c>
      <c r="H1083" s="2">
        <f t="shared" si="337"/>
        <v>11389.896559999997</v>
      </c>
      <c r="I1083" s="2">
        <f t="shared" si="338"/>
        <v>165.93653770636178</v>
      </c>
      <c r="J1083" s="2">
        <f t="shared" si="339"/>
        <v>46.850800899635217</v>
      </c>
      <c r="K1083">
        <f t="shared" si="340"/>
        <v>1.1623118672865009E+72</v>
      </c>
      <c r="L1083" s="13">
        <f t="shared" si="333"/>
        <v>1.0871522607986638E+40</v>
      </c>
      <c r="M1083" s="2">
        <f t="shared" si="341"/>
        <v>2.223536707587979E+20</v>
      </c>
      <c r="P1083" s="2"/>
      <c r="Q1083" s="2"/>
    </row>
    <row r="1084" spans="1:17" x14ac:dyDescent="0.2">
      <c r="A1084">
        <f t="shared" si="330"/>
        <v>7</v>
      </c>
      <c r="B1084">
        <f t="shared" si="342"/>
        <v>7000</v>
      </c>
      <c r="C1084" s="1">
        <f t="shared" si="331"/>
        <v>226611000</v>
      </c>
      <c r="D1084">
        <f t="shared" si="334"/>
        <v>379.1</v>
      </c>
      <c r="E1084" s="2">
        <f t="shared" si="332"/>
        <v>540000</v>
      </c>
      <c r="F1084" s="2">
        <f t="shared" si="335"/>
        <v>533172.554</v>
      </c>
      <c r="G1084" s="2">
        <f t="shared" si="336"/>
        <v>3151.9890399999999</v>
      </c>
      <c r="H1084" s="2">
        <f t="shared" si="337"/>
        <v>11031.96164</v>
      </c>
      <c r="I1084" s="2">
        <f t="shared" si="338"/>
        <v>171.32039266227906</v>
      </c>
      <c r="J1084" s="2">
        <f t="shared" si="339"/>
        <v>48.329804924883696</v>
      </c>
      <c r="K1084">
        <f t="shared" si="340"/>
        <v>2.5322184613642854E+74</v>
      </c>
      <c r="L1084" s="13">
        <f t="shared" si="333"/>
        <v>2.1641054970266894E+41</v>
      </c>
      <c r="M1084" s="2">
        <f t="shared" si="341"/>
        <v>9.7581522612058679E+20</v>
      </c>
      <c r="P1084" s="2"/>
      <c r="Q1084" s="2"/>
    </row>
    <row r="1085" spans="1:17" x14ac:dyDescent="0.2">
      <c r="A1085">
        <f t="shared" si="330"/>
        <v>6</v>
      </c>
      <c r="B1085">
        <f t="shared" si="342"/>
        <v>6000</v>
      </c>
      <c r="C1085" s="1">
        <f t="shared" si="331"/>
        <v>194238000</v>
      </c>
      <c r="D1085">
        <f t="shared" si="334"/>
        <v>366.8</v>
      </c>
      <c r="E1085" s="2">
        <f t="shared" si="332"/>
        <v>540000</v>
      </c>
      <c r="F1085" s="2">
        <f t="shared" si="335"/>
        <v>532719.33200000005</v>
      </c>
      <c r="G1085" s="2">
        <f t="shared" si="336"/>
        <v>3049.72192</v>
      </c>
      <c r="H1085" s="2">
        <f t="shared" si="337"/>
        <v>10674.02672</v>
      </c>
      <c r="I1085" s="2">
        <f t="shared" si="338"/>
        <v>177.06532404108503</v>
      </c>
      <c r="J1085" s="2">
        <f t="shared" si="339"/>
        <v>49.908000605042524</v>
      </c>
      <c r="K1085">
        <f t="shared" si="340"/>
        <v>7.9157700102720774E+76</v>
      </c>
      <c r="L1085" s="13">
        <f t="shared" si="333"/>
        <v>5.2648389773527952E+42</v>
      </c>
      <c r="M1085" s="2">
        <f t="shared" si="341"/>
        <v>4.7289994727440798E+21</v>
      </c>
      <c r="P1085" s="2"/>
      <c r="Q1085" s="2"/>
    </row>
    <row r="1086" spans="1:17" x14ac:dyDescent="0.2">
      <c r="A1086">
        <f t="shared" si="330"/>
        <v>5</v>
      </c>
      <c r="B1086">
        <f t="shared" si="342"/>
        <v>5000</v>
      </c>
      <c r="C1086" s="1">
        <f t="shared" si="331"/>
        <v>161865000</v>
      </c>
      <c r="D1086">
        <f t="shared" si="334"/>
        <v>354.5</v>
      </c>
      <c r="E1086" s="2">
        <f t="shared" si="332"/>
        <v>540000</v>
      </c>
      <c r="F1086" s="2">
        <f t="shared" si="335"/>
        <v>532266.11</v>
      </c>
      <c r="G1086" s="2">
        <f t="shared" si="336"/>
        <v>2947.4547999999995</v>
      </c>
      <c r="H1086" s="2">
        <f t="shared" si="337"/>
        <v>10316.091799999998</v>
      </c>
      <c r="I1086" s="2">
        <f t="shared" si="338"/>
        <v>183.20891638440057</v>
      </c>
      <c r="J1086" s="2">
        <f t="shared" si="339"/>
        <v>51.595712826052988</v>
      </c>
      <c r="K1086">
        <f t="shared" si="340"/>
        <v>3.686560973088554E+79</v>
      </c>
      <c r="L1086" s="13">
        <f t="shared" si="333"/>
        <v>1.5983745920624293E+44</v>
      </c>
      <c r="M1086" s="2">
        <f t="shared" si="341"/>
        <v>2.5570155565155277E+22</v>
      </c>
      <c r="P1086" s="2"/>
      <c r="Q1086" s="2"/>
    </row>
    <row r="1087" spans="1:17" x14ac:dyDescent="0.2">
      <c r="A1087">
        <f t="shared" si="330"/>
        <v>4</v>
      </c>
      <c r="B1087">
        <f t="shared" si="342"/>
        <v>4000</v>
      </c>
      <c r="C1087" s="1">
        <f t="shared" si="331"/>
        <v>129492000</v>
      </c>
      <c r="D1087">
        <f t="shared" si="334"/>
        <v>342.2</v>
      </c>
      <c r="E1087" s="2">
        <f t="shared" si="332"/>
        <v>540000</v>
      </c>
      <c r="F1087" s="2">
        <f t="shared" si="335"/>
        <v>531812.88800000004</v>
      </c>
      <c r="G1087" s="2">
        <f t="shared" si="336"/>
        <v>2845.1876799999995</v>
      </c>
      <c r="H1087" s="2">
        <f t="shared" si="337"/>
        <v>9958.1568799999986</v>
      </c>
      <c r="I1087" s="2">
        <f t="shared" si="338"/>
        <v>189.79415797273523</v>
      </c>
      <c r="J1087" s="2">
        <f t="shared" si="339"/>
        <v>53.404750940216168</v>
      </c>
      <c r="K1087">
        <f t="shared" si="340"/>
        <v>2.6702720196019903E+82</v>
      </c>
      <c r="L1087" s="13">
        <f t="shared" si="333"/>
        <v>6.2019867794059559E+45</v>
      </c>
      <c r="M1087" s="2">
        <f t="shared" si="341"/>
        <v>1.560948737320485E+23</v>
      </c>
      <c r="P1087" s="2"/>
      <c r="Q1087" s="2"/>
    </row>
    <row r="1088" spans="1:17" x14ac:dyDescent="0.2">
      <c r="A1088">
        <f t="shared" si="330"/>
        <v>3</v>
      </c>
      <c r="B1088">
        <f t="shared" si="342"/>
        <v>3000</v>
      </c>
      <c r="C1088" s="1">
        <f t="shared" si="331"/>
        <v>97119000</v>
      </c>
      <c r="D1088">
        <f t="shared" si="334"/>
        <v>329.9</v>
      </c>
      <c r="E1088" s="2">
        <f t="shared" si="332"/>
        <v>540000</v>
      </c>
      <c r="F1088" s="2">
        <f t="shared" si="335"/>
        <v>531359.66599999997</v>
      </c>
      <c r="G1088" s="2">
        <f t="shared" si="336"/>
        <v>2742.9205599999996</v>
      </c>
      <c r="H1088" s="2">
        <f t="shared" si="337"/>
        <v>9600.2219599999989</v>
      </c>
      <c r="I1088" s="2">
        <f t="shared" si="338"/>
        <v>196.87044819117915</v>
      </c>
      <c r="J1088" s="2">
        <f t="shared" si="339"/>
        <v>55.348685500600659</v>
      </c>
      <c r="K1088">
        <f t="shared" si="340"/>
        <v>3.1604527311413218E+85</v>
      </c>
      <c r="L1088" s="13">
        <f t="shared" si="333"/>
        <v>3.1612636806537129E+47</v>
      </c>
      <c r="M1088" s="2">
        <f t="shared" si="341"/>
        <v>1.0905075921790483E+24</v>
      </c>
      <c r="P1088" s="2"/>
      <c r="Q1088" s="2"/>
    </row>
    <row r="1089" spans="1:17" x14ac:dyDescent="0.2">
      <c r="A1089">
        <f t="shared" ref="A1089:A1091" si="343">+A1088-1</f>
        <v>2</v>
      </c>
      <c r="B1089">
        <f t="shared" si="342"/>
        <v>2000</v>
      </c>
      <c r="C1089" s="1">
        <f t="shared" si="331"/>
        <v>64746000</v>
      </c>
      <c r="D1089">
        <f t="shared" si="334"/>
        <v>317.60000000000002</v>
      </c>
      <c r="E1089" s="2">
        <f t="shared" si="332"/>
        <v>540000</v>
      </c>
      <c r="F1089" s="2">
        <f t="shared" si="335"/>
        <v>530906.44400000002</v>
      </c>
      <c r="G1089" s="2">
        <f t="shared" si="336"/>
        <v>2640.65344</v>
      </c>
      <c r="H1089" s="2">
        <f t="shared" si="337"/>
        <v>9242.2870399999993</v>
      </c>
      <c r="I1089" s="2">
        <f t="shared" si="338"/>
        <v>204.49483897440172</v>
      </c>
      <c r="J1089" s="2">
        <f t="shared" si="339"/>
        <v>57.443189299604363</v>
      </c>
      <c r="K1089">
        <f t="shared" si="340"/>
        <v>6.4711302939297399E+88</v>
      </c>
      <c r="L1089" s="13">
        <f t="shared" si="333"/>
        <v>2.1849093012473403E+49</v>
      </c>
      <c r="M1089" s="2">
        <f t="shared" si="341"/>
        <v>8.8564593933660847E+24</v>
      </c>
      <c r="P1089" s="2"/>
      <c r="Q1089" s="2"/>
    </row>
    <row r="1090" spans="1:17" x14ac:dyDescent="0.2">
      <c r="A1090">
        <f t="shared" si="343"/>
        <v>1</v>
      </c>
      <c r="B1090">
        <f t="shared" si="342"/>
        <v>1000</v>
      </c>
      <c r="C1090" s="1">
        <f t="shared" si="331"/>
        <v>32373000</v>
      </c>
      <c r="D1090">
        <f t="shared" si="334"/>
        <v>305.3</v>
      </c>
      <c r="E1090" s="2">
        <f t="shared" si="332"/>
        <v>540000</v>
      </c>
      <c r="F1090" s="2">
        <f t="shared" si="335"/>
        <v>530453.22199999995</v>
      </c>
      <c r="G1090" s="2">
        <f t="shared" si="336"/>
        <v>2538.3863199999996</v>
      </c>
      <c r="H1090" s="2">
        <f t="shared" si="337"/>
        <v>8884.3521199999996</v>
      </c>
      <c r="I1090" s="2">
        <f t="shared" si="338"/>
        <v>212.73357634546349</v>
      </c>
      <c r="J1090" s="2">
        <f t="shared" si="339"/>
        <v>59.706460846578871</v>
      </c>
      <c r="K1090">
        <f t="shared" si="340"/>
        <v>2.4491665671532588E+92</v>
      </c>
      <c r="L1090" s="13">
        <f t="shared" si="333"/>
        <v>2.1243809647426215E+51</v>
      </c>
      <c r="M1090" s="2">
        <f t="shared" si="341"/>
        <v>8.5150358279007265E+25</v>
      </c>
      <c r="P1090" s="2"/>
      <c r="Q1090" s="2"/>
    </row>
    <row r="1091" spans="1:17" x14ac:dyDescent="0.2">
      <c r="A1091">
        <f t="shared" si="343"/>
        <v>0</v>
      </c>
      <c r="B1091">
        <f t="shared" si="342"/>
        <v>0</v>
      </c>
      <c r="C1091" s="1">
        <f t="shared" si="331"/>
        <v>0</v>
      </c>
      <c r="D1091">
        <f t="shared" si="334"/>
        <v>293</v>
      </c>
      <c r="E1091" s="2">
        <f t="shared" si="332"/>
        <v>540000</v>
      </c>
      <c r="F1091" s="2">
        <f t="shared" si="335"/>
        <v>530000</v>
      </c>
      <c r="G1091" s="2">
        <f t="shared" si="336"/>
        <v>2436.1191999999996</v>
      </c>
      <c r="H1091" s="2">
        <f t="shared" si="337"/>
        <v>8526.4171999999999</v>
      </c>
      <c r="I1091" s="2">
        <f t="shared" si="338"/>
        <v>221.66403023300342</v>
      </c>
      <c r="J1091" s="2">
        <f t="shared" si="339"/>
        <v>62.159754509784015</v>
      </c>
      <c r="K1091">
        <f t="shared" si="340"/>
        <v>1.8512504053778073E+96</v>
      </c>
      <c r="L1091" s="13">
        <f t="shared" si="333"/>
        <v>3.0333679415604621E+53</v>
      </c>
      <c r="M1091" s="2">
        <f t="shared" si="341"/>
        <v>9.9000726147693128E+26</v>
      </c>
      <c r="P1091" s="2"/>
      <c r="Q1091" s="2"/>
    </row>
    <row r="1092" spans="1:17" x14ac:dyDescent="0.2">
      <c r="C1092" s="1"/>
      <c r="E1092" s="2"/>
      <c r="F1092" s="2"/>
      <c r="G1092" s="2"/>
      <c r="H1092" s="2"/>
      <c r="I1092" s="2"/>
      <c r="J1092" s="2"/>
      <c r="M1092" s="2"/>
      <c r="P1092" s="2"/>
      <c r="Q1092" s="2"/>
    </row>
    <row r="1093" spans="1:17" x14ac:dyDescent="0.2">
      <c r="C1093" s="1"/>
      <c r="E1093" s="2"/>
      <c r="F1093" s="2"/>
      <c r="G1093" s="2"/>
      <c r="H1093" s="2"/>
      <c r="I1093" s="2"/>
      <c r="J1093" s="2"/>
      <c r="M1093" s="2"/>
      <c r="P1093" s="2"/>
      <c r="Q1093" s="2"/>
    </row>
    <row r="1094" spans="1:17" x14ac:dyDescent="0.2">
      <c r="C1094" s="1"/>
      <c r="E1094" s="2"/>
      <c r="F1094" s="2"/>
      <c r="G1094" s="2"/>
      <c r="H1094" s="2"/>
      <c r="I1094" s="2"/>
      <c r="J1094" s="2"/>
      <c r="M1094" s="2"/>
      <c r="P1094" s="2"/>
      <c r="Q1094" s="2"/>
    </row>
    <row r="1095" spans="1:17" x14ac:dyDescent="0.2">
      <c r="C1095" s="1"/>
      <c r="E1095" s="2"/>
      <c r="F1095" s="2"/>
      <c r="G1095" s="2"/>
      <c r="H1095" s="2"/>
      <c r="I1095" s="2"/>
      <c r="J1095" s="2"/>
      <c r="M1095" s="2"/>
      <c r="P1095" s="2"/>
      <c r="Q1095" s="2"/>
    </row>
    <row r="1096" spans="1:17" x14ac:dyDescent="0.2">
      <c r="Q1096" s="2"/>
    </row>
    <row r="1097" spans="1:17" x14ac:dyDescent="0.2">
      <c r="Q1097" s="2"/>
    </row>
    <row r="1098" spans="1:17" x14ac:dyDescent="0.2">
      <c r="Q1098" s="2"/>
    </row>
    <row r="1099" spans="1:17" x14ac:dyDescent="0.2">
      <c r="Q1099" s="2"/>
    </row>
    <row r="1100" spans="1:17" x14ac:dyDescent="0.2">
      <c r="C1100" s="1"/>
      <c r="D1100" s="1"/>
      <c r="E1100" s="1"/>
      <c r="F1100" s="1"/>
      <c r="G1100" s="1"/>
      <c r="H1100" s="1"/>
      <c r="I1100" s="1"/>
      <c r="J1100" s="1"/>
      <c r="K1100" s="1"/>
      <c r="L1100" s="1"/>
      <c r="M1100" s="1"/>
      <c r="P1100" s="2"/>
    </row>
    <row r="1101" spans="1:17" x14ac:dyDescent="0.2">
      <c r="C1101" s="1"/>
      <c r="D1101" s="1"/>
      <c r="E1101" s="1"/>
      <c r="F1101" s="1"/>
      <c r="G1101" s="1"/>
      <c r="H1101" s="1"/>
      <c r="I1101" s="1"/>
      <c r="J1101" s="1"/>
      <c r="K1101" s="1"/>
      <c r="L1101" s="1"/>
      <c r="M1101" s="1"/>
      <c r="P1101" s="2"/>
    </row>
    <row r="1102" spans="1:17" x14ac:dyDescent="0.2">
      <c r="C1102" s="1"/>
      <c r="D1102" s="1"/>
      <c r="E1102" s="1"/>
      <c r="F1102" s="1"/>
      <c r="G1102" s="1"/>
      <c r="H1102" s="1"/>
      <c r="I1102" s="1"/>
      <c r="J1102" s="1"/>
      <c r="K1102" s="1"/>
      <c r="L1102" s="1"/>
      <c r="M1102" s="1"/>
      <c r="P1102" s="2"/>
    </row>
    <row r="1103" spans="1:17" x14ac:dyDescent="0.2">
      <c r="C1103" s="1"/>
      <c r="D1103" s="1"/>
      <c r="E1103" s="1"/>
      <c r="F1103" s="1"/>
      <c r="G1103" s="1"/>
      <c r="H1103" s="1"/>
      <c r="I1103" s="1"/>
      <c r="J1103" s="1"/>
      <c r="K1103" s="1"/>
      <c r="L1103" s="1"/>
      <c r="M1103" s="1"/>
      <c r="P1103" s="2"/>
    </row>
    <row r="1104" spans="1:17" x14ac:dyDescent="0.2">
      <c r="C1104" s="1"/>
      <c r="D1104" s="1"/>
      <c r="E1104" s="1"/>
      <c r="F1104" s="1"/>
      <c r="G1104" s="1"/>
      <c r="H1104" s="1"/>
      <c r="I1104" s="1"/>
      <c r="J1104" s="1"/>
      <c r="K1104" s="1"/>
      <c r="L1104" s="1"/>
      <c r="M1104" s="1"/>
      <c r="P1104" s="2"/>
    </row>
    <row r="1105" spans="3:16" x14ac:dyDescent="0.2">
      <c r="C1105" s="1"/>
      <c r="D1105" s="1"/>
      <c r="E1105" s="1"/>
      <c r="F1105" s="1"/>
      <c r="G1105" s="1"/>
      <c r="H1105" s="1"/>
      <c r="I1105" s="1"/>
      <c r="J1105" s="1"/>
      <c r="K1105" s="1"/>
      <c r="L1105" s="1"/>
      <c r="M1105" s="1"/>
      <c r="P1105" s="2"/>
    </row>
    <row r="1106" spans="3:16" x14ac:dyDescent="0.2">
      <c r="C1106" s="1"/>
      <c r="D1106" s="1"/>
      <c r="E1106" s="1"/>
      <c r="F1106" s="1"/>
      <c r="G1106" s="1"/>
      <c r="H1106" s="1"/>
      <c r="I1106" s="1"/>
      <c r="J1106" s="1"/>
      <c r="K1106" s="1"/>
      <c r="L1106" s="1"/>
      <c r="M1106" s="1"/>
      <c r="P1106" s="2"/>
    </row>
    <row r="1107" spans="3:16" x14ac:dyDescent="0.2">
      <c r="C1107" s="1"/>
      <c r="D1107" s="1"/>
      <c r="E1107" s="1"/>
      <c r="F1107" s="1"/>
      <c r="G1107" s="1"/>
      <c r="H1107" s="1"/>
      <c r="I1107" s="1"/>
      <c r="J1107" s="1"/>
      <c r="K1107" s="1"/>
      <c r="L1107" s="1"/>
      <c r="M1107" s="1"/>
      <c r="P1107" s="2"/>
    </row>
    <row r="1108" spans="3:16" x14ac:dyDescent="0.2">
      <c r="C1108" s="1"/>
      <c r="D1108" s="1"/>
      <c r="E1108" s="1"/>
      <c r="F1108" s="1"/>
      <c r="G1108" s="1"/>
      <c r="H1108" s="1"/>
      <c r="I1108" s="1"/>
      <c r="J1108" s="1"/>
      <c r="K1108" s="1"/>
      <c r="L1108" s="1"/>
      <c r="M1108" s="1"/>
      <c r="P1108" s="2"/>
    </row>
    <row r="1109" spans="3:16" x14ac:dyDescent="0.2">
      <c r="C1109" s="1"/>
      <c r="D1109" s="1"/>
      <c r="E1109" s="1"/>
      <c r="F1109" s="1"/>
      <c r="G1109" s="1"/>
      <c r="H1109" s="1"/>
      <c r="I1109" s="1"/>
      <c r="J1109" s="1"/>
      <c r="K1109" s="1"/>
      <c r="L1109" s="1"/>
      <c r="M1109" s="1"/>
      <c r="P1109" s="2"/>
    </row>
    <row r="1110" spans="3:16" x14ac:dyDescent="0.2">
      <c r="C1110" s="1"/>
      <c r="D1110" s="1"/>
      <c r="E1110" s="1"/>
      <c r="F1110" s="1"/>
      <c r="G1110" s="1"/>
      <c r="H1110" s="1"/>
      <c r="I1110" s="1"/>
      <c r="J1110" s="1"/>
      <c r="K1110" s="1"/>
      <c r="L1110" s="1"/>
      <c r="M1110" s="1"/>
      <c r="P1110" s="2"/>
    </row>
    <row r="1111" spans="3:16" x14ac:dyDescent="0.2">
      <c r="C1111" s="1"/>
      <c r="D1111" s="1"/>
      <c r="E1111" s="1"/>
      <c r="F1111" s="1"/>
      <c r="G1111" s="1"/>
      <c r="H1111" s="1"/>
      <c r="I1111" s="1"/>
      <c r="J1111" s="1"/>
      <c r="K1111" s="1"/>
      <c r="L1111" s="1"/>
      <c r="M1111" s="1"/>
      <c r="P1111" s="2"/>
    </row>
    <row r="1112" spans="3:16" x14ac:dyDescent="0.2">
      <c r="C1112" s="1"/>
      <c r="D1112" s="1"/>
      <c r="E1112" s="1"/>
      <c r="F1112" s="1"/>
      <c r="G1112" s="1"/>
      <c r="H1112" s="1"/>
      <c r="I1112" s="1"/>
      <c r="J1112" s="1"/>
      <c r="K1112" s="1"/>
      <c r="L1112" s="1"/>
      <c r="M1112" s="1"/>
      <c r="P1112" s="2"/>
    </row>
    <row r="1113" spans="3:16" x14ac:dyDescent="0.2">
      <c r="C1113" s="1"/>
      <c r="D1113" s="1"/>
      <c r="E1113" s="1"/>
      <c r="F1113" s="1"/>
      <c r="G1113" s="1"/>
      <c r="H1113" s="1"/>
      <c r="I1113" s="1"/>
      <c r="J1113" s="1"/>
      <c r="K1113" s="1"/>
      <c r="L1113" s="1"/>
      <c r="M1113" s="1"/>
      <c r="P1113" s="2"/>
    </row>
    <row r="1114" spans="3:16" x14ac:dyDescent="0.2">
      <c r="C1114" s="1"/>
      <c r="D1114" s="1"/>
      <c r="E1114" s="1"/>
      <c r="F1114" s="1"/>
      <c r="G1114" s="1"/>
      <c r="H1114" s="1"/>
      <c r="I1114" s="1"/>
      <c r="J1114" s="1"/>
      <c r="K1114" s="1"/>
      <c r="L1114" s="1"/>
      <c r="M1114" s="1"/>
      <c r="P1114" s="2"/>
    </row>
    <row r="1115" spans="3:16" x14ac:dyDescent="0.2">
      <c r="C1115" s="1"/>
      <c r="D1115" s="1"/>
      <c r="E1115" s="1"/>
      <c r="F1115" s="1"/>
      <c r="G1115" s="1"/>
      <c r="H1115" s="1"/>
      <c r="I1115" s="1"/>
      <c r="J1115" s="1"/>
      <c r="K1115" s="1"/>
      <c r="L1115" s="1"/>
      <c r="M1115" s="1"/>
      <c r="P1115" s="2"/>
    </row>
    <row r="1116" spans="3:16" x14ac:dyDescent="0.2">
      <c r="C1116" s="1"/>
      <c r="D1116" s="1"/>
      <c r="E1116" s="1"/>
      <c r="F1116" s="1"/>
      <c r="G1116" s="1"/>
      <c r="H1116" s="1"/>
      <c r="I1116" s="1"/>
      <c r="J1116" s="1"/>
      <c r="K1116" s="1"/>
      <c r="L1116" s="1"/>
      <c r="M1116" s="1"/>
      <c r="P1116" s="2"/>
    </row>
    <row r="1117" spans="3:16" x14ac:dyDescent="0.2">
      <c r="C1117" s="1"/>
      <c r="D1117" s="1"/>
      <c r="E1117" s="1"/>
      <c r="F1117" s="1"/>
      <c r="G1117" s="1"/>
      <c r="H1117" s="1"/>
      <c r="I1117" s="1"/>
      <c r="J1117" s="1"/>
      <c r="K1117" s="1"/>
      <c r="L1117" s="1"/>
      <c r="M1117" s="1"/>
      <c r="P1117" s="2"/>
    </row>
    <row r="1118" spans="3:16" x14ac:dyDescent="0.2">
      <c r="C1118" s="1"/>
      <c r="D1118" s="1"/>
      <c r="E1118" s="1"/>
      <c r="F1118" s="1"/>
      <c r="G1118" s="1"/>
      <c r="H1118" s="1"/>
      <c r="I1118" s="1"/>
      <c r="J1118" s="1"/>
      <c r="K1118" s="1"/>
      <c r="L1118" s="1"/>
      <c r="M1118" s="1"/>
      <c r="P1118" s="2"/>
    </row>
    <row r="1119" spans="3:16" x14ac:dyDescent="0.2">
      <c r="C1119" s="1"/>
      <c r="D1119" s="1"/>
      <c r="E1119" s="1"/>
      <c r="F1119" s="1"/>
      <c r="G1119" s="1"/>
      <c r="H1119" s="1"/>
      <c r="I1119" s="1"/>
      <c r="J1119" s="1"/>
      <c r="K1119" s="1"/>
      <c r="L1119" s="1"/>
      <c r="M1119" s="1"/>
      <c r="P1119" s="2"/>
    </row>
    <row r="1120" spans="3:16" x14ac:dyDescent="0.2">
      <c r="C1120" s="1"/>
      <c r="D1120" s="1"/>
      <c r="E1120" s="1"/>
      <c r="F1120" s="1"/>
      <c r="G1120" s="1"/>
      <c r="H1120" s="1"/>
      <c r="I1120" s="1"/>
      <c r="J1120" s="1"/>
      <c r="K1120" s="1"/>
      <c r="L1120" s="1"/>
      <c r="M1120" s="1"/>
      <c r="P1120" s="2"/>
    </row>
    <row r="1121" spans="3:16" x14ac:dyDescent="0.2">
      <c r="C1121" s="1"/>
      <c r="D1121" s="1"/>
      <c r="E1121" s="1"/>
      <c r="F1121" s="1"/>
      <c r="G1121" s="1"/>
      <c r="H1121" s="1"/>
      <c r="I1121" s="1"/>
      <c r="J1121" s="1"/>
      <c r="K1121" s="1"/>
      <c r="L1121" s="1"/>
      <c r="M1121" s="1"/>
      <c r="P1121" s="2"/>
    </row>
    <row r="1122" spans="3:16" x14ac:dyDescent="0.2">
      <c r="C1122" s="1"/>
      <c r="D1122" s="1"/>
      <c r="E1122" s="1"/>
      <c r="F1122" s="1"/>
      <c r="G1122" s="1"/>
      <c r="H1122" s="1"/>
      <c r="I1122" s="1"/>
      <c r="J1122" s="1"/>
      <c r="K1122" s="1"/>
      <c r="L1122" s="1"/>
      <c r="M1122" s="1"/>
      <c r="P1122" s="2"/>
    </row>
    <row r="1123" spans="3:16" x14ac:dyDescent="0.2">
      <c r="C1123" s="1"/>
      <c r="D1123" s="1"/>
      <c r="E1123" s="1"/>
      <c r="F1123" s="1"/>
      <c r="G1123" s="1"/>
      <c r="H1123" s="1"/>
      <c r="I1123" s="1"/>
      <c r="J1123" s="1"/>
      <c r="K1123" s="1"/>
      <c r="L1123" s="1"/>
      <c r="M1123" s="1"/>
      <c r="P1123" s="2"/>
    </row>
    <row r="1124" spans="3:16" x14ac:dyDescent="0.2">
      <c r="C1124" s="1"/>
      <c r="D1124" s="1"/>
      <c r="E1124" s="1"/>
      <c r="F1124" s="1"/>
      <c r="G1124" s="1"/>
      <c r="H1124" s="1"/>
      <c r="I1124" s="1"/>
      <c r="J1124" s="1"/>
      <c r="K1124" s="1"/>
      <c r="L1124" s="1"/>
      <c r="M1124" s="1"/>
      <c r="P1124" s="2"/>
    </row>
    <row r="1125" spans="3:16" x14ac:dyDescent="0.2">
      <c r="C1125" s="1"/>
      <c r="D1125" s="1"/>
      <c r="E1125" s="1"/>
      <c r="F1125" s="1"/>
      <c r="G1125" s="1"/>
      <c r="H1125" s="1"/>
      <c r="I1125" s="1"/>
      <c r="J1125" s="1"/>
      <c r="K1125" s="1"/>
      <c r="L1125" s="1"/>
      <c r="M1125" s="1"/>
      <c r="P1125" s="2"/>
    </row>
    <row r="1126" spans="3:16" x14ac:dyDescent="0.2">
      <c r="C1126" s="1"/>
      <c r="D1126" s="1"/>
      <c r="E1126" s="1"/>
      <c r="F1126" s="1"/>
      <c r="G1126" s="1"/>
      <c r="H1126" s="1"/>
      <c r="I1126" s="1"/>
      <c r="J1126" s="1"/>
      <c r="K1126" s="1"/>
      <c r="L1126" s="1"/>
      <c r="M1126" s="1"/>
      <c r="P1126" s="2"/>
    </row>
    <row r="1127" spans="3:16" x14ac:dyDescent="0.2">
      <c r="C1127" s="1"/>
      <c r="D1127" s="1"/>
      <c r="E1127" s="1"/>
      <c r="F1127" s="1"/>
      <c r="G1127" s="1"/>
      <c r="H1127" s="1"/>
      <c r="I1127" s="1"/>
      <c r="J1127" s="1"/>
      <c r="K1127" s="1"/>
      <c r="L1127" s="1"/>
      <c r="M1127" s="1"/>
      <c r="P1127" s="2"/>
    </row>
    <row r="1128" spans="3:16" x14ac:dyDescent="0.2">
      <c r="C1128" s="1"/>
      <c r="D1128" s="1"/>
      <c r="E1128" s="1"/>
      <c r="F1128" s="1"/>
      <c r="G1128" s="1"/>
      <c r="H1128" s="1"/>
      <c r="I1128" s="1"/>
      <c r="J1128" s="1"/>
      <c r="K1128" s="1"/>
      <c r="L1128" s="1"/>
      <c r="M1128" s="1"/>
      <c r="P1128" s="2"/>
    </row>
    <row r="1129" spans="3:16" x14ac:dyDescent="0.2">
      <c r="C1129" s="1"/>
      <c r="D1129" s="1"/>
      <c r="E1129" s="1"/>
      <c r="F1129" s="1"/>
      <c r="G1129" s="1"/>
      <c r="H1129" s="1"/>
      <c r="I1129" s="1"/>
      <c r="J1129" s="1"/>
      <c r="K1129" s="1"/>
      <c r="L1129" s="1"/>
      <c r="M1129" s="1"/>
      <c r="P1129" s="2"/>
    </row>
    <row r="1130" spans="3:16" x14ac:dyDescent="0.2">
      <c r="C1130" s="1"/>
      <c r="D1130" s="1"/>
      <c r="E1130" s="1"/>
      <c r="F1130" s="1"/>
      <c r="G1130" s="1"/>
      <c r="H1130" s="1"/>
      <c r="I1130" s="1"/>
      <c r="J1130" s="1"/>
      <c r="K1130" s="1"/>
      <c r="L1130" s="1"/>
      <c r="M1130" s="1"/>
      <c r="P1130" s="2"/>
    </row>
    <row r="1131" spans="3:16" x14ac:dyDescent="0.2">
      <c r="C1131" s="1"/>
      <c r="D1131" s="1"/>
      <c r="E1131" s="1"/>
      <c r="F1131" s="1"/>
      <c r="G1131" s="1"/>
      <c r="H1131" s="1"/>
      <c r="I1131" s="1"/>
      <c r="J1131" s="1"/>
      <c r="K1131" s="1"/>
      <c r="L1131" s="1"/>
      <c r="M1131" s="1"/>
      <c r="P1131" s="2"/>
    </row>
    <row r="1132" spans="3:16" x14ac:dyDescent="0.2">
      <c r="C1132" s="1"/>
      <c r="D1132" s="1"/>
      <c r="E1132" s="1"/>
      <c r="F1132" s="1"/>
      <c r="G1132" s="1"/>
      <c r="H1132" s="1"/>
      <c r="I1132" s="1"/>
      <c r="J1132" s="1"/>
      <c r="K1132" s="1"/>
      <c r="L1132" s="1"/>
      <c r="M1132" s="1"/>
      <c r="P1132" s="2"/>
    </row>
    <row r="1133" spans="3:16" x14ac:dyDescent="0.2">
      <c r="C1133" s="1"/>
      <c r="D1133" s="1"/>
      <c r="E1133" s="1"/>
      <c r="F1133" s="1"/>
      <c r="G1133" s="1"/>
      <c r="H1133" s="1"/>
      <c r="I1133" s="1"/>
      <c r="J1133" s="1"/>
      <c r="K1133" s="1"/>
      <c r="L1133" s="1"/>
      <c r="M1133" s="1"/>
      <c r="P1133" s="2"/>
    </row>
    <row r="1134" spans="3:16" x14ac:dyDescent="0.2">
      <c r="C1134" s="1"/>
      <c r="D1134" s="1"/>
      <c r="E1134" s="1"/>
      <c r="F1134" s="1"/>
      <c r="G1134" s="1"/>
      <c r="H1134" s="1"/>
      <c r="I1134" s="1"/>
      <c r="J1134" s="1"/>
      <c r="K1134" s="1"/>
      <c r="L1134" s="1"/>
      <c r="M1134" s="1"/>
      <c r="P1134" s="2"/>
    </row>
    <row r="1135" spans="3:16" x14ac:dyDescent="0.2">
      <c r="C1135" s="1"/>
      <c r="D1135" s="1"/>
      <c r="E1135" s="1"/>
      <c r="F1135" s="1"/>
      <c r="G1135" s="1"/>
      <c r="H1135" s="1"/>
      <c r="I1135" s="1"/>
      <c r="J1135" s="1"/>
      <c r="K1135" s="1"/>
      <c r="L1135" s="1"/>
      <c r="M1135" s="1"/>
      <c r="P1135" s="2"/>
    </row>
    <row r="1136" spans="3:16" x14ac:dyDescent="0.2">
      <c r="C1136" s="1"/>
      <c r="D1136" s="1"/>
      <c r="E1136" s="1"/>
      <c r="F1136" s="1"/>
      <c r="G1136" s="1"/>
      <c r="H1136" s="1"/>
      <c r="I1136" s="1"/>
      <c r="J1136" s="1"/>
      <c r="K1136" s="1"/>
      <c r="L1136" s="1"/>
      <c r="M1136" s="1"/>
      <c r="P1136" s="2"/>
    </row>
    <row r="1137" spans="3:16" x14ac:dyDescent="0.2">
      <c r="C1137" s="1"/>
      <c r="D1137" s="1"/>
      <c r="E1137" s="1"/>
      <c r="F1137" s="1"/>
      <c r="G1137" s="1"/>
      <c r="H1137" s="1"/>
      <c r="I1137" s="1"/>
      <c r="J1137" s="1"/>
      <c r="K1137" s="1"/>
      <c r="L1137" s="1"/>
      <c r="M1137" s="1"/>
      <c r="P1137" s="2"/>
    </row>
    <row r="1138" spans="3:16" x14ac:dyDescent="0.2">
      <c r="C1138" s="1"/>
      <c r="D1138" s="1"/>
      <c r="E1138" s="1"/>
      <c r="F1138" s="1"/>
      <c r="G1138" s="1"/>
      <c r="H1138" s="1"/>
      <c r="I1138" s="1"/>
      <c r="J1138" s="1"/>
      <c r="K1138" s="1"/>
      <c r="L1138" s="1"/>
      <c r="M1138" s="1"/>
      <c r="P1138" s="2"/>
    </row>
    <row r="1139" spans="3:16" x14ac:dyDescent="0.2">
      <c r="C1139" s="1"/>
      <c r="D1139" s="1"/>
      <c r="E1139" s="1"/>
      <c r="F1139" s="1"/>
      <c r="G1139" s="1"/>
      <c r="H1139" s="1"/>
      <c r="I1139" s="1"/>
      <c r="J1139" s="1"/>
      <c r="K1139" s="1"/>
      <c r="L1139" s="1"/>
      <c r="M1139" s="1"/>
      <c r="P1139" s="2"/>
    </row>
    <row r="1140" spans="3:16" x14ac:dyDescent="0.2">
      <c r="C1140" s="1"/>
      <c r="D1140" s="1"/>
      <c r="E1140" s="1"/>
      <c r="F1140" s="1"/>
      <c r="G1140" s="1"/>
      <c r="H1140" s="1"/>
      <c r="I1140" s="1"/>
      <c r="J1140" s="1"/>
      <c r="K1140" s="1"/>
      <c r="L1140" s="1"/>
      <c r="M1140" s="1"/>
      <c r="P1140" s="2"/>
    </row>
    <row r="1141" spans="3:16" x14ac:dyDescent="0.2">
      <c r="C1141" s="1"/>
      <c r="D1141" s="1"/>
      <c r="E1141" s="1"/>
      <c r="F1141" s="1"/>
      <c r="G1141" s="1"/>
      <c r="H1141" s="1"/>
      <c r="I1141" s="1"/>
      <c r="J1141" s="1"/>
      <c r="K1141" s="1"/>
      <c r="L1141" s="1"/>
      <c r="M1141" s="1"/>
      <c r="P1141" s="2"/>
    </row>
    <row r="1142" spans="3:16" x14ac:dyDescent="0.2">
      <c r="C1142" s="1"/>
      <c r="D1142" s="1"/>
      <c r="E1142" s="1"/>
      <c r="F1142" s="1"/>
      <c r="G1142" s="1"/>
      <c r="H1142" s="1"/>
      <c r="I1142" s="1"/>
      <c r="J1142" s="1"/>
      <c r="K1142" s="1"/>
      <c r="L1142" s="1"/>
      <c r="M1142" s="1"/>
      <c r="P1142" s="2"/>
    </row>
    <row r="1143" spans="3:16" x14ac:dyDescent="0.2">
      <c r="C1143" s="1"/>
      <c r="D1143" s="1"/>
      <c r="E1143" s="1"/>
      <c r="F1143" s="1"/>
      <c r="G1143" s="1"/>
      <c r="H1143" s="1"/>
      <c r="I1143" s="1"/>
      <c r="J1143" s="1"/>
      <c r="K1143" s="1"/>
      <c r="L1143" s="1"/>
      <c r="M1143" s="1"/>
      <c r="P1143" s="2"/>
    </row>
    <row r="1144" spans="3:16" x14ac:dyDescent="0.2">
      <c r="C1144" s="1"/>
      <c r="D1144" s="1"/>
      <c r="E1144" s="1"/>
      <c r="F1144" s="1"/>
      <c r="G1144" s="1"/>
      <c r="H1144" s="1"/>
      <c r="I1144" s="1"/>
      <c r="J1144" s="1"/>
      <c r="K1144" s="1"/>
      <c r="L1144" s="1"/>
      <c r="M1144" s="1"/>
      <c r="P1144" s="2"/>
    </row>
    <row r="1145" spans="3:16" x14ac:dyDescent="0.2">
      <c r="C1145" s="1"/>
      <c r="D1145" s="1"/>
      <c r="E1145" s="1"/>
      <c r="F1145" s="1"/>
      <c r="G1145" s="1"/>
      <c r="H1145" s="1"/>
      <c r="I1145" s="1"/>
      <c r="J1145" s="1"/>
      <c r="K1145" s="1"/>
      <c r="L1145" s="1"/>
      <c r="M1145" s="1"/>
      <c r="P1145" s="2"/>
    </row>
    <row r="1146" spans="3:16" x14ac:dyDescent="0.2">
      <c r="C1146" s="1"/>
      <c r="D1146" s="1"/>
      <c r="E1146" s="1"/>
      <c r="F1146" s="1"/>
      <c r="G1146" s="1"/>
      <c r="H1146" s="1"/>
      <c r="I1146" s="1"/>
      <c r="J1146" s="1"/>
      <c r="K1146" s="1"/>
      <c r="L1146" s="1"/>
      <c r="M1146" s="1"/>
      <c r="P1146" s="2"/>
    </row>
    <row r="1147" spans="3:16" x14ac:dyDescent="0.2">
      <c r="C1147" s="1"/>
      <c r="D1147" s="1"/>
      <c r="E1147" s="1"/>
      <c r="F1147" s="1"/>
      <c r="G1147" s="1"/>
      <c r="H1147" s="1"/>
      <c r="I1147" s="1"/>
      <c r="J1147" s="1"/>
      <c r="K1147" s="1"/>
      <c r="L1147" s="1"/>
      <c r="M1147" s="1"/>
      <c r="P1147" s="2"/>
    </row>
    <row r="1148" spans="3:16" x14ac:dyDescent="0.2">
      <c r="C1148" s="1"/>
      <c r="D1148" s="1"/>
      <c r="E1148" s="1"/>
      <c r="F1148" s="1"/>
      <c r="G1148" s="1"/>
      <c r="H1148" s="1"/>
      <c r="I1148" s="1"/>
      <c r="J1148" s="1"/>
      <c r="K1148" s="1"/>
      <c r="L1148" s="1"/>
      <c r="M1148" s="1"/>
      <c r="P1148" s="2"/>
    </row>
    <row r="1149" spans="3:16" x14ac:dyDescent="0.2">
      <c r="C1149" s="1"/>
      <c r="D1149" s="1"/>
      <c r="E1149" s="1"/>
      <c r="F1149" s="1"/>
      <c r="G1149" s="1"/>
      <c r="H1149" s="1"/>
      <c r="I1149" s="1"/>
      <c r="J1149" s="1"/>
      <c r="K1149" s="1"/>
      <c r="L1149" s="1"/>
      <c r="M1149" s="1"/>
      <c r="P1149" s="2"/>
    </row>
    <row r="1150" spans="3:16" x14ac:dyDescent="0.2">
      <c r="C1150" s="1"/>
      <c r="D1150" s="1"/>
      <c r="E1150" s="1"/>
      <c r="F1150" s="1"/>
      <c r="G1150" s="1"/>
      <c r="H1150" s="1"/>
      <c r="I1150" s="1"/>
      <c r="J1150" s="1"/>
      <c r="K1150" s="1"/>
      <c r="L1150" s="1"/>
      <c r="M1150" s="1"/>
      <c r="P1150" s="2"/>
    </row>
    <row r="1151" spans="3:16" x14ac:dyDescent="0.2">
      <c r="C1151" s="1"/>
      <c r="D1151" s="1"/>
      <c r="E1151" s="1"/>
      <c r="F1151" s="1"/>
      <c r="G1151" s="1"/>
      <c r="H1151" s="1"/>
      <c r="I1151" s="1"/>
      <c r="J1151" s="1"/>
      <c r="K1151" s="1"/>
      <c r="L1151" s="1"/>
      <c r="M1151" s="1"/>
      <c r="P1151" s="2"/>
    </row>
    <row r="1152" spans="3:16" x14ac:dyDescent="0.2">
      <c r="C1152" s="1"/>
      <c r="D1152" s="1"/>
      <c r="E1152" s="1"/>
      <c r="F1152" s="1"/>
      <c r="G1152" s="1"/>
      <c r="H1152" s="1"/>
      <c r="I1152" s="1"/>
      <c r="J1152" s="1"/>
      <c r="K1152" s="1"/>
      <c r="L1152" s="1"/>
      <c r="M1152" s="1"/>
      <c r="P1152" s="2"/>
    </row>
    <row r="1153" spans="3:16" x14ac:dyDescent="0.2">
      <c r="C1153" s="1"/>
      <c r="D1153" s="1"/>
      <c r="E1153" s="1"/>
      <c r="F1153" s="1"/>
      <c r="G1153" s="1"/>
      <c r="H1153" s="1"/>
      <c r="I1153" s="1"/>
      <c r="J1153" s="1"/>
      <c r="K1153" s="1"/>
      <c r="L1153" s="1"/>
      <c r="M1153" s="1"/>
      <c r="P1153" s="2"/>
    </row>
    <row r="1154" spans="3:16" x14ac:dyDescent="0.2">
      <c r="C1154" s="1"/>
      <c r="D1154" s="1"/>
      <c r="E1154" s="1"/>
      <c r="F1154" s="1"/>
      <c r="G1154" s="1"/>
      <c r="H1154" s="1"/>
      <c r="I1154" s="1"/>
      <c r="J1154" s="1"/>
      <c r="K1154" s="1"/>
      <c r="L1154" s="1"/>
      <c r="M1154" s="1"/>
      <c r="P1154" s="2"/>
    </row>
    <row r="1155" spans="3:16" x14ac:dyDescent="0.2">
      <c r="C1155" s="1"/>
      <c r="D1155" s="1"/>
      <c r="E1155" s="1"/>
      <c r="F1155" s="1"/>
      <c r="G1155" s="1"/>
      <c r="H1155" s="1"/>
      <c r="I1155" s="1"/>
      <c r="J1155" s="1"/>
      <c r="K1155" s="1"/>
      <c r="L1155" s="1"/>
      <c r="M1155" s="1"/>
      <c r="P1155" s="2"/>
    </row>
    <row r="1156" spans="3:16" x14ac:dyDescent="0.2">
      <c r="C1156" s="1"/>
      <c r="D1156" s="1"/>
      <c r="E1156" s="1"/>
      <c r="F1156" s="1"/>
      <c r="G1156" s="1"/>
      <c r="H1156" s="1"/>
      <c r="I1156" s="1"/>
      <c r="J1156" s="1"/>
      <c r="K1156" s="1"/>
      <c r="L1156" s="1"/>
      <c r="M1156" s="1"/>
      <c r="P1156" s="2"/>
    </row>
    <row r="1157" spans="3:16" x14ac:dyDescent="0.2">
      <c r="C1157" s="1"/>
      <c r="D1157" s="1"/>
      <c r="E1157" s="1"/>
      <c r="F1157" s="1"/>
      <c r="G1157" s="1"/>
      <c r="H1157" s="1"/>
      <c r="I1157" s="1"/>
      <c r="J1157" s="1"/>
      <c r="K1157" s="1"/>
      <c r="L1157" s="1"/>
      <c r="M1157" s="1"/>
      <c r="P1157" s="2"/>
    </row>
    <row r="1158" spans="3:16" x14ac:dyDescent="0.2">
      <c r="C1158" s="1"/>
      <c r="D1158" s="1"/>
      <c r="E1158" s="1"/>
      <c r="F1158" s="1"/>
      <c r="G1158" s="1"/>
      <c r="H1158" s="1"/>
      <c r="I1158" s="1"/>
      <c r="J1158" s="1"/>
      <c r="K1158" s="1"/>
      <c r="L1158" s="1"/>
      <c r="M1158" s="1"/>
      <c r="P1158" s="2"/>
    </row>
    <row r="1159" spans="3:16" x14ac:dyDescent="0.2">
      <c r="C1159" s="1"/>
      <c r="D1159" s="1"/>
      <c r="E1159" s="1"/>
      <c r="F1159" s="1"/>
      <c r="G1159" s="1"/>
      <c r="H1159" s="1"/>
      <c r="I1159" s="1"/>
      <c r="J1159" s="1"/>
      <c r="K1159" s="1"/>
      <c r="L1159" s="1"/>
      <c r="M1159" s="1"/>
      <c r="P1159" s="2"/>
    </row>
    <row r="1160" spans="3:16" x14ac:dyDescent="0.2">
      <c r="C1160" s="1"/>
      <c r="D1160" s="1"/>
      <c r="E1160" s="1"/>
      <c r="F1160" s="1"/>
      <c r="G1160" s="1"/>
      <c r="H1160" s="1"/>
      <c r="I1160" s="1"/>
      <c r="J1160" s="1"/>
      <c r="K1160" s="1"/>
      <c r="L1160" s="1"/>
      <c r="M1160" s="1"/>
      <c r="P1160" s="2"/>
    </row>
    <row r="1161" spans="3:16" x14ac:dyDescent="0.2">
      <c r="C1161" s="1"/>
      <c r="D1161" s="1"/>
      <c r="E1161" s="1"/>
      <c r="F1161" s="1"/>
      <c r="G1161" s="1"/>
      <c r="H1161" s="1"/>
      <c r="I1161" s="1"/>
      <c r="J1161" s="1"/>
      <c r="K1161" s="1"/>
      <c r="L1161" s="1"/>
      <c r="M1161" s="1"/>
      <c r="P1161" s="2"/>
    </row>
    <row r="1162" spans="3:16" x14ac:dyDescent="0.2">
      <c r="C1162" s="1"/>
      <c r="D1162" s="1"/>
      <c r="E1162" s="1"/>
      <c r="F1162" s="1"/>
      <c r="G1162" s="1"/>
      <c r="H1162" s="1"/>
      <c r="I1162" s="1"/>
      <c r="J1162" s="1"/>
      <c r="K1162" s="1"/>
      <c r="L1162" s="1"/>
      <c r="M1162" s="1"/>
      <c r="P1162" s="2"/>
    </row>
    <row r="1163" spans="3:16" x14ac:dyDescent="0.2">
      <c r="C1163" s="1"/>
      <c r="D1163" s="1"/>
      <c r="E1163" s="1"/>
      <c r="F1163" s="1"/>
      <c r="G1163" s="1"/>
      <c r="H1163" s="1"/>
      <c r="I1163" s="1"/>
      <c r="J1163" s="1"/>
      <c r="K1163" s="1"/>
      <c r="L1163" s="1"/>
      <c r="M1163" s="1"/>
      <c r="P1163" s="2"/>
    </row>
    <row r="1164" spans="3:16" x14ac:dyDescent="0.2">
      <c r="C1164" s="1"/>
      <c r="D1164" s="1"/>
      <c r="E1164" s="1"/>
      <c r="F1164" s="1"/>
      <c r="G1164" s="1"/>
      <c r="H1164" s="1"/>
      <c r="I1164" s="1"/>
      <c r="J1164" s="1"/>
      <c r="K1164" s="1"/>
      <c r="L1164" s="1"/>
      <c r="M1164" s="1"/>
      <c r="P1164" s="2"/>
    </row>
    <row r="1165" spans="3:16" x14ac:dyDescent="0.2">
      <c r="C1165" s="1"/>
      <c r="D1165" s="1"/>
      <c r="E1165" s="1"/>
      <c r="F1165" s="1"/>
      <c r="G1165" s="1"/>
      <c r="H1165" s="1"/>
      <c r="I1165" s="1"/>
      <c r="J1165" s="1"/>
      <c r="K1165" s="1"/>
      <c r="L1165" s="1"/>
      <c r="M1165" s="1"/>
      <c r="P1165" s="2"/>
    </row>
    <row r="1166" spans="3:16" x14ac:dyDescent="0.2">
      <c r="C1166" s="1"/>
      <c r="D1166" s="1"/>
      <c r="E1166" s="1"/>
      <c r="F1166" s="1"/>
      <c r="G1166" s="1"/>
      <c r="H1166" s="1"/>
      <c r="I1166" s="1"/>
      <c r="J1166" s="1"/>
      <c r="K1166" s="1"/>
      <c r="L1166" s="1"/>
      <c r="M1166" s="1"/>
      <c r="P1166" s="2"/>
    </row>
    <row r="1167" spans="3:16" x14ac:dyDescent="0.2">
      <c r="C1167" s="1"/>
      <c r="D1167" s="1"/>
      <c r="E1167" s="1"/>
      <c r="F1167" s="1"/>
      <c r="G1167" s="1"/>
      <c r="H1167" s="1"/>
      <c r="I1167" s="1"/>
      <c r="J1167" s="1"/>
      <c r="K1167" s="1"/>
      <c r="L1167" s="1"/>
      <c r="M1167" s="1"/>
      <c r="P1167" s="2"/>
    </row>
    <row r="1168" spans="3:16" x14ac:dyDescent="0.2">
      <c r="C1168" s="1"/>
      <c r="D1168" s="1"/>
      <c r="E1168" s="1"/>
      <c r="F1168" s="1"/>
      <c r="G1168" s="1"/>
      <c r="H1168" s="1"/>
      <c r="I1168" s="1"/>
      <c r="J1168" s="1"/>
      <c r="K1168" s="1"/>
      <c r="L1168" s="1"/>
      <c r="M1168" s="1"/>
      <c r="P1168" s="2"/>
    </row>
    <row r="1169" spans="3:16" x14ac:dyDescent="0.2">
      <c r="C1169" s="1"/>
      <c r="D1169" s="1"/>
      <c r="E1169" s="1"/>
      <c r="F1169" s="1"/>
      <c r="G1169" s="1"/>
      <c r="H1169" s="1"/>
      <c r="I1169" s="1"/>
      <c r="J1169" s="1"/>
      <c r="K1169" s="1"/>
      <c r="L1169" s="1"/>
      <c r="M1169" s="1"/>
      <c r="P1169" s="2"/>
    </row>
    <row r="1170" spans="3:16" x14ac:dyDescent="0.2">
      <c r="C1170" s="1"/>
      <c r="D1170" s="1"/>
      <c r="E1170" s="1"/>
      <c r="F1170" s="1"/>
      <c r="G1170" s="1"/>
      <c r="H1170" s="1"/>
      <c r="I1170" s="1"/>
      <c r="J1170" s="1"/>
      <c r="K1170" s="1"/>
      <c r="L1170" s="1"/>
      <c r="M1170" s="1"/>
      <c r="P1170" s="2"/>
    </row>
    <row r="1171" spans="3:16" x14ac:dyDescent="0.2">
      <c r="C1171" s="1"/>
      <c r="D1171" s="1"/>
      <c r="E1171" s="1"/>
      <c r="F1171" s="1"/>
      <c r="G1171" s="1"/>
      <c r="H1171" s="1"/>
      <c r="I1171" s="1"/>
      <c r="J1171" s="1"/>
      <c r="K1171" s="1"/>
      <c r="L1171" s="1"/>
      <c r="M1171" s="1"/>
      <c r="P1171" s="2"/>
    </row>
    <row r="1172" spans="3:16" x14ac:dyDescent="0.2">
      <c r="C1172" s="1"/>
      <c r="D1172" s="1"/>
      <c r="E1172" s="1"/>
      <c r="F1172" s="1"/>
      <c r="G1172" s="1"/>
      <c r="H1172" s="1"/>
      <c r="I1172" s="1"/>
      <c r="J1172" s="1"/>
      <c r="K1172" s="1"/>
      <c r="L1172" s="1"/>
      <c r="M1172" s="1"/>
      <c r="P1172" s="2"/>
    </row>
    <row r="1173" spans="3:16" x14ac:dyDescent="0.2">
      <c r="C1173" s="1"/>
      <c r="D1173" s="1"/>
      <c r="E1173" s="1"/>
      <c r="F1173" s="1"/>
      <c r="G1173" s="1"/>
      <c r="H1173" s="1"/>
      <c r="I1173" s="1"/>
      <c r="J1173" s="1"/>
      <c r="K1173" s="1"/>
      <c r="L1173" s="1"/>
      <c r="M1173" s="1"/>
      <c r="P1173" s="2"/>
    </row>
    <row r="1174" spans="3:16" x14ac:dyDescent="0.2">
      <c r="C1174" s="1"/>
      <c r="D1174" s="1"/>
      <c r="E1174" s="1"/>
      <c r="F1174" s="1"/>
      <c r="G1174" s="1"/>
      <c r="H1174" s="1"/>
      <c r="I1174" s="1"/>
      <c r="J1174" s="1"/>
      <c r="K1174" s="1"/>
      <c r="L1174" s="1"/>
      <c r="M1174" s="1"/>
      <c r="P1174" s="2"/>
    </row>
    <row r="1175" spans="3:16" x14ac:dyDescent="0.2">
      <c r="C1175" s="1"/>
      <c r="D1175" s="1"/>
      <c r="E1175" s="1"/>
      <c r="F1175" s="1"/>
      <c r="G1175" s="1"/>
      <c r="H1175" s="1"/>
      <c r="I1175" s="1"/>
      <c r="J1175" s="1"/>
      <c r="K1175" s="1"/>
      <c r="L1175" s="1"/>
      <c r="M1175" s="1"/>
      <c r="P1175" s="2"/>
    </row>
    <row r="1176" spans="3:16" x14ac:dyDescent="0.2">
      <c r="C1176" s="1"/>
      <c r="D1176" s="1"/>
      <c r="E1176" s="1"/>
      <c r="F1176" s="1"/>
      <c r="G1176" s="1"/>
      <c r="H1176" s="1"/>
      <c r="I1176" s="1"/>
      <c r="J1176" s="1"/>
      <c r="K1176" s="1"/>
      <c r="L1176" s="1"/>
      <c r="M1176" s="1"/>
      <c r="P1176" s="2"/>
    </row>
    <row r="1177" spans="3:16" x14ac:dyDescent="0.2">
      <c r="C1177" s="1"/>
      <c r="D1177" s="1"/>
      <c r="E1177" s="1"/>
      <c r="F1177" s="1"/>
      <c r="G1177" s="1"/>
      <c r="H1177" s="1"/>
      <c r="I1177" s="1"/>
      <c r="J1177" s="1"/>
      <c r="K1177" s="1"/>
      <c r="L1177" s="1"/>
      <c r="M1177" s="1"/>
      <c r="P1177" s="2"/>
    </row>
    <row r="1178" spans="3:16" x14ac:dyDescent="0.2">
      <c r="C1178" s="1"/>
      <c r="D1178" s="1"/>
      <c r="E1178" s="1"/>
      <c r="F1178" s="1"/>
      <c r="G1178" s="1"/>
      <c r="H1178" s="1"/>
      <c r="I1178" s="1"/>
      <c r="J1178" s="1"/>
      <c r="K1178" s="1"/>
      <c r="L1178" s="1"/>
      <c r="M1178" s="1"/>
      <c r="P1178" s="2"/>
    </row>
    <row r="1179" spans="3:16" x14ac:dyDescent="0.2">
      <c r="C1179" s="1"/>
      <c r="D1179" s="1"/>
      <c r="E1179" s="1"/>
      <c r="F1179" s="1"/>
      <c r="G1179" s="1"/>
      <c r="H1179" s="1"/>
      <c r="I1179" s="1"/>
      <c r="J1179" s="1"/>
      <c r="K1179" s="1"/>
      <c r="L1179" s="1"/>
      <c r="M1179" s="1"/>
      <c r="P1179" s="2"/>
    </row>
    <row r="1180" spans="3:16" x14ac:dyDescent="0.2">
      <c r="C1180" s="1"/>
      <c r="D1180" s="1"/>
      <c r="E1180" s="1"/>
      <c r="F1180" s="1"/>
      <c r="G1180" s="1"/>
      <c r="H1180" s="1"/>
      <c r="I1180" s="1"/>
      <c r="J1180" s="1"/>
      <c r="K1180" s="1"/>
      <c r="L1180" s="1"/>
      <c r="M1180" s="1"/>
      <c r="P1180" s="2"/>
    </row>
    <row r="1181" spans="3:16" x14ac:dyDescent="0.2">
      <c r="C1181" s="1"/>
      <c r="D1181" s="1"/>
      <c r="E1181" s="1"/>
      <c r="F1181" s="1"/>
      <c r="G1181" s="1"/>
      <c r="H1181" s="1"/>
      <c r="I1181" s="1"/>
      <c r="J1181" s="1"/>
      <c r="K1181" s="1"/>
      <c r="L1181" s="1"/>
      <c r="M1181" s="1"/>
      <c r="P1181" s="2"/>
    </row>
    <row r="1182" spans="3:16" x14ac:dyDescent="0.2">
      <c r="C1182" s="1"/>
      <c r="D1182" s="1"/>
      <c r="E1182" s="1"/>
      <c r="F1182" s="1"/>
      <c r="G1182" s="1"/>
      <c r="H1182" s="1"/>
      <c r="I1182" s="1"/>
      <c r="J1182" s="1"/>
      <c r="K1182" s="1"/>
      <c r="L1182" s="1"/>
      <c r="M1182" s="1"/>
      <c r="P1182" s="2"/>
    </row>
    <row r="1183" spans="3:16" x14ac:dyDescent="0.2">
      <c r="C1183" s="1"/>
      <c r="D1183" s="1"/>
      <c r="E1183" s="1"/>
      <c r="F1183" s="1"/>
      <c r="G1183" s="1"/>
      <c r="H1183" s="1"/>
      <c r="I1183" s="1"/>
      <c r="J1183" s="1"/>
      <c r="K1183" s="1"/>
      <c r="L1183" s="1"/>
      <c r="M1183" s="1"/>
      <c r="P1183" s="2"/>
    </row>
    <row r="1184" spans="3:16" x14ac:dyDescent="0.2">
      <c r="C1184" s="1"/>
      <c r="D1184" s="1"/>
      <c r="E1184" s="1"/>
      <c r="F1184" s="1"/>
      <c r="G1184" s="1"/>
      <c r="H1184" s="1"/>
      <c r="I1184" s="1"/>
      <c r="J1184" s="1"/>
      <c r="K1184" s="1"/>
      <c r="L1184" s="1"/>
      <c r="M1184" s="1"/>
      <c r="P1184" s="2"/>
    </row>
    <row r="1185" spans="3:16" x14ac:dyDescent="0.2">
      <c r="C1185" s="1"/>
      <c r="D1185" s="1"/>
      <c r="E1185" s="1"/>
      <c r="F1185" s="1"/>
      <c r="G1185" s="1"/>
      <c r="H1185" s="1"/>
      <c r="I1185" s="1"/>
      <c r="J1185" s="1"/>
      <c r="K1185" s="1"/>
      <c r="L1185" s="1"/>
      <c r="M1185" s="1"/>
      <c r="P1185" s="2"/>
    </row>
    <row r="1186" spans="3:16" x14ac:dyDescent="0.2">
      <c r="C1186" s="1"/>
      <c r="D1186" s="1"/>
      <c r="E1186" s="1"/>
      <c r="F1186" s="1"/>
      <c r="G1186" s="1"/>
      <c r="H1186" s="1"/>
      <c r="I1186" s="1"/>
      <c r="J1186" s="1"/>
      <c r="K1186" s="1"/>
      <c r="L1186" s="1"/>
      <c r="M1186" s="1"/>
      <c r="P1186" s="2"/>
    </row>
    <row r="1187" spans="3:16" x14ac:dyDescent="0.2">
      <c r="C1187" s="1"/>
      <c r="D1187" s="1"/>
      <c r="E1187" s="1"/>
      <c r="F1187" s="1"/>
      <c r="G1187" s="1"/>
      <c r="H1187" s="1"/>
      <c r="I1187" s="1"/>
      <c r="J1187" s="1"/>
      <c r="K1187" s="1"/>
      <c r="L1187" s="1"/>
      <c r="M1187" s="1"/>
      <c r="P1187" s="2"/>
    </row>
    <row r="1188" spans="3:16" x14ac:dyDescent="0.2">
      <c r="C1188" s="1"/>
      <c r="D1188" s="1"/>
      <c r="E1188" s="1"/>
      <c r="F1188" s="1"/>
      <c r="G1188" s="1"/>
      <c r="H1188" s="1"/>
      <c r="I1188" s="1"/>
      <c r="J1188" s="1"/>
      <c r="K1188" s="1"/>
      <c r="L1188" s="1"/>
      <c r="M1188" s="1"/>
      <c r="P1188" s="2"/>
    </row>
    <row r="1189" spans="3:16" x14ac:dyDescent="0.2">
      <c r="C1189" s="1"/>
      <c r="D1189" s="1"/>
      <c r="E1189" s="1"/>
      <c r="F1189" s="1"/>
      <c r="G1189" s="1"/>
      <c r="H1189" s="1"/>
      <c r="I1189" s="1"/>
      <c r="J1189" s="1"/>
      <c r="K1189" s="1"/>
      <c r="L1189" s="1"/>
      <c r="M1189" s="1"/>
      <c r="P1189" s="2"/>
    </row>
    <row r="1190" spans="3:16" x14ac:dyDescent="0.2">
      <c r="C1190" s="1"/>
      <c r="D1190" s="1"/>
      <c r="E1190" s="1"/>
      <c r="F1190" s="1"/>
      <c r="G1190" s="1"/>
      <c r="H1190" s="1"/>
      <c r="I1190" s="1"/>
      <c r="J1190" s="1"/>
      <c r="K1190" s="1"/>
      <c r="L1190" s="1"/>
      <c r="M1190" s="1"/>
      <c r="P1190" s="2"/>
    </row>
    <row r="1191" spans="3:16" x14ac:dyDescent="0.2">
      <c r="C1191" s="1"/>
      <c r="D1191" s="1"/>
      <c r="E1191" s="1"/>
      <c r="F1191" s="1"/>
      <c r="G1191" s="1"/>
      <c r="H1191" s="1"/>
      <c r="I1191" s="1"/>
      <c r="J1191" s="1"/>
      <c r="K1191" s="1"/>
      <c r="L1191" s="1"/>
      <c r="M1191" s="1"/>
      <c r="P1191" s="2"/>
    </row>
    <row r="1192" spans="3:16" x14ac:dyDescent="0.2">
      <c r="C1192" s="1"/>
      <c r="D1192" s="1"/>
      <c r="E1192" s="1"/>
      <c r="F1192" s="1"/>
      <c r="G1192" s="1"/>
      <c r="H1192" s="1"/>
      <c r="I1192" s="1"/>
      <c r="J1192" s="1"/>
      <c r="K1192" s="1"/>
      <c r="L1192" s="1"/>
      <c r="M1192" s="1"/>
      <c r="P1192" s="2"/>
    </row>
    <row r="1193" spans="3:16" x14ac:dyDescent="0.2">
      <c r="C1193" s="1"/>
      <c r="D1193" s="1"/>
      <c r="E1193" s="1"/>
      <c r="F1193" s="1"/>
      <c r="G1193" s="1"/>
      <c r="H1193" s="1"/>
      <c r="I1193" s="1"/>
      <c r="J1193" s="1"/>
      <c r="K1193" s="1"/>
      <c r="L1193" s="1"/>
      <c r="M1193" s="1"/>
      <c r="P1193" s="2"/>
    </row>
    <row r="1194" spans="3:16" x14ac:dyDescent="0.2">
      <c r="C1194" s="1"/>
      <c r="D1194" s="1"/>
      <c r="E1194" s="1"/>
      <c r="F1194" s="1"/>
      <c r="G1194" s="1"/>
      <c r="H1194" s="1"/>
      <c r="I1194" s="1"/>
      <c r="J1194" s="1"/>
      <c r="K1194" s="1"/>
      <c r="L1194" s="1"/>
      <c r="M1194" s="1"/>
      <c r="P1194" s="2"/>
    </row>
    <row r="1195" spans="3:16" x14ac:dyDescent="0.2">
      <c r="C1195" s="1"/>
      <c r="D1195" s="1"/>
      <c r="E1195" s="1"/>
      <c r="F1195" s="1"/>
      <c r="G1195" s="1"/>
      <c r="H1195" s="1"/>
      <c r="I1195" s="1"/>
      <c r="J1195" s="1"/>
      <c r="K1195" s="1"/>
      <c r="L1195" s="1"/>
      <c r="M1195" s="1"/>
      <c r="P1195" s="2"/>
    </row>
    <row r="1196" spans="3:16" x14ac:dyDescent="0.2">
      <c r="C1196" s="1"/>
      <c r="D1196" s="1"/>
      <c r="E1196" s="1"/>
      <c r="F1196" s="1"/>
      <c r="G1196" s="1"/>
      <c r="H1196" s="1"/>
      <c r="I1196" s="1"/>
      <c r="J1196" s="1"/>
      <c r="K1196" s="1"/>
      <c r="L1196" s="1"/>
      <c r="M1196" s="1"/>
      <c r="P1196" s="2"/>
    </row>
    <row r="1197" spans="3:16" x14ac:dyDescent="0.2">
      <c r="C1197" s="1"/>
      <c r="D1197" s="1"/>
      <c r="E1197" s="1"/>
      <c r="F1197" s="1"/>
      <c r="G1197" s="1"/>
      <c r="H1197" s="1"/>
      <c r="I1197" s="1"/>
      <c r="J1197" s="1"/>
      <c r="K1197" s="1"/>
      <c r="L1197" s="1"/>
      <c r="M1197" s="1"/>
      <c r="P1197" s="2"/>
    </row>
    <row r="1198" spans="3:16" x14ac:dyDescent="0.2">
      <c r="C1198" s="1"/>
      <c r="D1198" s="1"/>
      <c r="E1198" s="1"/>
      <c r="F1198" s="1"/>
      <c r="G1198" s="1"/>
      <c r="H1198" s="1"/>
      <c r="I1198" s="1"/>
      <c r="J1198" s="1"/>
      <c r="K1198" s="1"/>
      <c r="L1198" s="1"/>
      <c r="M1198" s="1"/>
      <c r="P1198" s="2"/>
    </row>
    <row r="1199" spans="3:16" x14ac:dyDescent="0.2">
      <c r="C1199" s="1"/>
      <c r="D1199" s="1"/>
      <c r="E1199" s="1"/>
      <c r="F1199" s="1"/>
      <c r="G1199" s="1"/>
      <c r="H1199" s="1"/>
      <c r="I1199" s="1"/>
      <c r="J1199" s="1"/>
      <c r="K1199" s="1"/>
      <c r="L1199" s="1"/>
      <c r="M1199" s="1"/>
      <c r="P1199" s="2"/>
    </row>
    <row r="1200" spans="3:16" x14ac:dyDescent="0.2">
      <c r="C1200" s="1"/>
      <c r="D1200" s="1"/>
      <c r="E1200" s="1"/>
      <c r="F1200" s="1"/>
      <c r="G1200" s="1"/>
      <c r="H1200" s="1"/>
      <c r="I1200" s="1"/>
      <c r="J1200" s="1"/>
      <c r="K1200" s="1"/>
      <c r="L1200" s="1"/>
      <c r="M1200" s="1"/>
      <c r="P1200" s="2"/>
    </row>
    <row r="1201" spans="3:16" x14ac:dyDescent="0.2">
      <c r="C1201" s="1"/>
      <c r="D1201" s="1"/>
      <c r="E1201" s="1"/>
      <c r="F1201" s="1"/>
      <c r="G1201" s="1"/>
      <c r="H1201" s="1"/>
      <c r="I1201" s="1"/>
      <c r="J1201" s="1"/>
      <c r="K1201" s="1"/>
      <c r="L1201" s="1"/>
      <c r="M1201" s="1"/>
      <c r="P1201" s="2"/>
    </row>
    <row r="1202" spans="3:16" x14ac:dyDescent="0.2">
      <c r="C1202" s="1"/>
      <c r="D1202" s="1"/>
      <c r="E1202" s="1"/>
      <c r="F1202" s="1"/>
      <c r="G1202" s="1"/>
      <c r="H1202" s="1"/>
      <c r="I1202" s="1"/>
      <c r="J1202" s="1"/>
      <c r="K1202" s="1"/>
      <c r="L1202" s="1"/>
      <c r="M1202" s="1"/>
      <c r="P1202" s="2"/>
    </row>
    <row r="1203" spans="3:16" x14ac:dyDescent="0.2">
      <c r="C1203" s="1"/>
      <c r="D1203" s="1"/>
      <c r="E1203" s="1"/>
      <c r="F1203" s="1"/>
      <c r="G1203" s="1"/>
      <c r="H1203" s="1"/>
      <c r="I1203" s="1"/>
      <c r="J1203" s="1"/>
      <c r="K1203" s="1"/>
      <c r="L1203" s="1"/>
      <c r="M1203" s="1"/>
      <c r="P1203" s="2"/>
    </row>
    <row r="1204" spans="3:16" x14ac:dyDescent="0.2">
      <c r="C1204" s="1"/>
      <c r="D1204" s="1"/>
      <c r="E1204" s="1"/>
      <c r="F1204" s="1"/>
      <c r="G1204" s="1"/>
      <c r="H1204" s="1"/>
      <c r="I1204" s="1"/>
      <c r="J1204" s="1"/>
      <c r="K1204" s="1"/>
      <c r="L1204" s="1"/>
      <c r="M1204" s="1"/>
      <c r="P1204" s="2"/>
    </row>
    <row r="1205" spans="3:16" x14ac:dyDescent="0.2">
      <c r="C1205" s="1"/>
      <c r="D1205" s="1"/>
      <c r="E1205" s="1"/>
      <c r="F1205" s="1"/>
      <c r="G1205" s="1"/>
      <c r="H1205" s="1"/>
      <c r="I1205" s="1"/>
      <c r="J1205" s="1"/>
      <c r="K1205" s="1"/>
      <c r="L1205" s="1"/>
      <c r="M1205" s="1"/>
      <c r="P1205" s="2"/>
    </row>
    <row r="1206" spans="3:16" x14ac:dyDescent="0.2">
      <c r="C1206" s="1"/>
      <c r="D1206" s="1"/>
      <c r="E1206" s="1"/>
      <c r="F1206" s="1"/>
      <c r="G1206" s="1"/>
      <c r="H1206" s="1"/>
      <c r="I1206" s="1"/>
      <c r="J1206" s="1"/>
      <c r="K1206" s="1"/>
      <c r="L1206" s="1"/>
      <c r="M1206" s="1"/>
      <c r="P1206" s="2"/>
    </row>
    <row r="1207" spans="3:16" x14ac:dyDescent="0.2">
      <c r="C1207" s="1"/>
      <c r="D1207" s="1"/>
      <c r="E1207" s="1"/>
      <c r="F1207" s="1"/>
      <c r="G1207" s="1"/>
      <c r="H1207" s="1"/>
      <c r="I1207" s="1"/>
      <c r="J1207" s="1"/>
      <c r="K1207" s="1"/>
      <c r="L1207" s="1"/>
      <c r="M1207" s="1"/>
      <c r="P1207" s="2"/>
    </row>
    <row r="1208" spans="3:16" x14ac:dyDescent="0.2">
      <c r="C1208" s="1"/>
      <c r="D1208" s="1"/>
      <c r="E1208" s="1"/>
      <c r="F1208" s="1"/>
      <c r="G1208" s="1"/>
      <c r="H1208" s="1"/>
      <c r="I1208" s="1"/>
      <c r="J1208" s="1"/>
      <c r="K1208" s="1"/>
      <c r="L1208" s="1"/>
      <c r="M1208" s="1"/>
      <c r="P1208" s="2"/>
    </row>
    <row r="1209" spans="3:16" x14ac:dyDescent="0.2">
      <c r="C1209" s="1"/>
      <c r="D1209" s="1"/>
      <c r="E1209" s="1"/>
      <c r="F1209" s="1"/>
      <c r="G1209" s="1"/>
      <c r="H1209" s="1"/>
      <c r="I1209" s="1"/>
      <c r="J1209" s="1"/>
      <c r="K1209" s="1"/>
      <c r="L1209" s="1"/>
      <c r="M1209" s="1"/>
      <c r="P1209" s="2"/>
    </row>
    <row r="1210" spans="3:16" x14ac:dyDescent="0.2">
      <c r="C1210" s="1"/>
      <c r="D1210" s="1"/>
      <c r="E1210" s="1"/>
      <c r="F1210" s="1"/>
      <c r="G1210" s="1"/>
      <c r="H1210" s="1"/>
      <c r="I1210" s="1"/>
      <c r="J1210" s="1"/>
      <c r="K1210" s="1"/>
      <c r="L1210" s="1"/>
      <c r="M1210" s="1"/>
      <c r="P1210" s="2"/>
    </row>
    <row r="1211" spans="3:16" x14ac:dyDescent="0.2">
      <c r="C1211" s="1"/>
      <c r="D1211" s="1"/>
      <c r="E1211" s="1"/>
      <c r="F1211" s="1"/>
      <c r="G1211" s="1"/>
      <c r="H1211" s="1"/>
      <c r="I1211" s="1"/>
      <c r="J1211" s="1"/>
      <c r="K1211" s="1"/>
      <c r="L1211" s="1"/>
      <c r="M1211" s="1"/>
      <c r="P1211" s="2"/>
    </row>
    <row r="1212" spans="3:16" x14ac:dyDescent="0.2">
      <c r="C1212" s="1"/>
      <c r="D1212" s="1"/>
      <c r="E1212" s="1"/>
      <c r="F1212" s="1"/>
      <c r="G1212" s="1"/>
      <c r="H1212" s="1"/>
      <c r="I1212" s="1"/>
      <c r="J1212" s="1"/>
      <c r="K1212" s="1"/>
      <c r="L1212" s="1"/>
      <c r="M1212" s="1"/>
      <c r="P1212" s="2"/>
    </row>
    <row r="1213" spans="3:16" x14ac:dyDescent="0.2">
      <c r="C1213" s="1"/>
      <c r="D1213" s="1"/>
      <c r="E1213" s="1"/>
      <c r="F1213" s="1"/>
      <c r="G1213" s="1"/>
      <c r="H1213" s="1"/>
      <c r="I1213" s="1"/>
      <c r="J1213" s="1"/>
      <c r="K1213" s="1"/>
      <c r="L1213" s="1"/>
      <c r="M1213" s="1"/>
      <c r="P1213" s="2"/>
    </row>
    <row r="1214" spans="3:16" x14ac:dyDescent="0.2">
      <c r="C1214" s="1"/>
      <c r="D1214" s="1"/>
      <c r="E1214" s="1"/>
      <c r="F1214" s="1"/>
      <c r="G1214" s="1"/>
      <c r="H1214" s="1"/>
      <c r="I1214" s="1"/>
      <c r="J1214" s="1"/>
      <c r="K1214" s="1"/>
      <c r="L1214" s="1"/>
      <c r="M1214" s="1"/>
      <c r="P1214" s="2"/>
    </row>
    <row r="1215" spans="3:16" x14ac:dyDescent="0.2">
      <c r="C1215" s="1"/>
      <c r="D1215" s="1"/>
      <c r="E1215" s="1"/>
      <c r="F1215" s="1"/>
      <c r="G1215" s="1"/>
      <c r="H1215" s="1"/>
      <c r="I1215" s="1"/>
      <c r="J1215" s="1"/>
      <c r="K1215" s="1"/>
      <c r="L1215" s="1"/>
      <c r="M1215" s="1"/>
      <c r="P1215" s="2"/>
    </row>
    <row r="1216" spans="3:16" x14ac:dyDescent="0.2">
      <c r="C1216" s="1"/>
      <c r="D1216" s="1"/>
      <c r="E1216" s="1"/>
      <c r="F1216" s="1"/>
      <c r="G1216" s="1"/>
      <c r="H1216" s="1"/>
      <c r="I1216" s="1"/>
      <c r="J1216" s="1"/>
      <c r="K1216" s="1"/>
      <c r="L1216" s="1"/>
      <c r="M1216" s="1"/>
      <c r="P1216" s="2"/>
    </row>
    <row r="1217" spans="3:16" x14ac:dyDescent="0.2">
      <c r="C1217" s="1"/>
      <c r="D1217" s="1"/>
      <c r="E1217" s="1"/>
      <c r="F1217" s="1"/>
      <c r="G1217" s="1"/>
      <c r="H1217" s="1"/>
      <c r="I1217" s="1"/>
      <c r="J1217" s="1"/>
      <c r="K1217" s="1"/>
      <c r="L1217" s="1"/>
      <c r="M1217" s="1"/>
      <c r="P1217" s="2"/>
    </row>
    <row r="1218" spans="3:16" x14ac:dyDescent="0.2">
      <c r="C1218" s="1"/>
      <c r="D1218" s="1"/>
      <c r="E1218" s="1"/>
      <c r="F1218" s="1"/>
      <c r="G1218" s="1"/>
      <c r="H1218" s="1"/>
      <c r="I1218" s="1"/>
      <c r="J1218" s="1"/>
      <c r="K1218" s="1"/>
      <c r="L1218" s="1"/>
      <c r="M1218" s="1"/>
      <c r="P1218" s="2"/>
    </row>
    <row r="1219" spans="3:16" x14ac:dyDescent="0.2">
      <c r="C1219" s="1"/>
      <c r="D1219" s="1"/>
      <c r="E1219" s="1"/>
      <c r="F1219" s="1"/>
      <c r="G1219" s="1"/>
      <c r="H1219" s="1"/>
      <c r="I1219" s="1"/>
      <c r="J1219" s="1"/>
      <c r="K1219" s="1"/>
      <c r="L1219" s="1"/>
      <c r="M1219" s="1"/>
      <c r="P1219" s="2"/>
    </row>
    <row r="1220" spans="3:16" x14ac:dyDescent="0.2">
      <c r="C1220" s="1"/>
      <c r="D1220" s="1"/>
      <c r="E1220" s="1"/>
      <c r="F1220" s="1"/>
      <c r="G1220" s="1"/>
      <c r="H1220" s="1"/>
      <c r="I1220" s="1"/>
      <c r="J1220" s="1"/>
      <c r="K1220" s="1"/>
      <c r="L1220" s="1"/>
      <c r="M1220" s="1"/>
      <c r="P1220" s="2"/>
    </row>
    <row r="1221" spans="3:16" x14ac:dyDescent="0.2">
      <c r="C1221" s="1"/>
      <c r="D1221" s="1"/>
      <c r="E1221" s="1"/>
      <c r="F1221" s="1"/>
      <c r="G1221" s="1"/>
      <c r="H1221" s="1"/>
      <c r="I1221" s="1"/>
      <c r="J1221" s="1"/>
      <c r="K1221" s="1"/>
      <c r="L1221" s="1"/>
      <c r="M1221" s="1"/>
      <c r="P1221" s="2"/>
    </row>
    <row r="1222" spans="3:16" x14ac:dyDescent="0.2">
      <c r="C1222" s="1"/>
      <c r="D1222" s="1"/>
      <c r="E1222" s="1"/>
      <c r="F1222" s="1"/>
      <c r="G1222" s="1"/>
      <c r="H1222" s="1"/>
      <c r="I1222" s="1"/>
      <c r="J1222" s="1"/>
      <c r="K1222" s="1"/>
      <c r="L1222" s="1"/>
      <c r="M1222" s="1"/>
      <c r="P1222" s="2"/>
    </row>
    <row r="1223" spans="3:16" x14ac:dyDescent="0.2">
      <c r="C1223" s="1"/>
      <c r="D1223" s="1"/>
      <c r="E1223" s="1"/>
      <c r="F1223" s="1"/>
      <c r="G1223" s="1"/>
      <c r="H1223" s="1"/>
      <c r="I1223" s="1"/>
      <c r="J1223" s="1"/>
      <c r="K1223" s="1"/>
      <c r="L1223" s="1"/>
      <c r="M1223" s="1"/>
      <c r="P1223" s="2"/>
    </row>
    <row r="1224" spans="3:16" x14ac:dyDescent="0.2">
      <c r="C1224" s="1"/>
      <c r="D1224" s="1"/>
      <c r="E1224" s="1"/>
      <c r="F1224" s="1"/>
      <c r="G1224" s="1"/>
      <c r="H1224" s="1"/>
      <c r="I1224" s="1"/>
      <c r="J1224" s="1"/>
      <c r="K1224" s="1"/>
      <c r="L1224" s="1"/>
      <c r="M1224" s="1"/>
      <c r="P1224" s="2"/>
    </row>
    <row r="1225" spans="3:16" x14ac:dyDescent="0.2">
      <c r="C1225" s="1"/>
      <c r="D1225" s="1"/>
      <c r="E1225" s="1"/>
      <c r="F1225" s="1"/>
      <c r="G1225" s="1"/>
      <c r="H1225" s="1"/>
      <c r="I1225" s="1"/>
      <c r="J1225" s="1"/>
      <c r="K1225" s="1"/>
      <c r="L1225" s="1"/>
      <c r="M1225" s="1"/>
      <c r="P1225" s="2"/>
    </row>
    <row r="1226" spans="3:16" x14ac:dyDescent="0.2">
      <c r="C1226" s="1"/>
      <c r="D1226" s="1"/>
      <c r="E1226" s="1"/>
      <c r="F1226" s="1"/>
      <c r="G1226" s="1"/>
      <c r="H1226" s="1"/>
      <c r="I1226" s="1"/>
      <c r="J1226" s="1"/>
      <c r="K1226" s="1"/>
      <c r="L1226" s="1"/>
      <c r="M1226" s="1"/>
      <c r="P1226" s="2"/>
    </row>
    <row r="1227" spans="3:16" x14ac:dyDescent="0.2">
      <c r="C1227" s="1"/>
      <c r="D1227" s="1"/>
      <c r="E1227" s="1"/>
      <c r="F1227" s="1"/>
      <c r="G1227" s="1"/>
      <c r="H1227" s="1"/>
      <c r="I1227" s="1"/>
      <c r="J1227" s="1"/>
      <c r="K1227" s="1"/>
      <c r="L1227" s="1"/>
      <c r="M1227" s="1"/>
      <c r="P1227" s="2"/>
    </row>
    <row r="1228" spans="3:16" x14ac:dyDescent="0.2">
      <c r="C1228" s="1"/>
      <c r="D1228" s="1"/>
      <c r="E1228" s="1"/>
      <c r="F1228" s="1"/>
      <c r="G1228" s="1"/>
      <c r="H1228" s="1"/>
      <c r="I1228" s="1"/>
      <c r="J1228" s="1"/>
      <c r="K1228" s="1"/>
      <c r="L1228" s="1"/>
      <c r="M1228" s="1"/>
      <c r="P1228" s="2"/>
    </row>
    <row r="1229" spans="3:16" x14ac:dyDescent="0.2">
      <c r="C1229" s="1"/>
      <c r="D1229" s="1"/>
      <c r="E1229" s="1"/>
      <c r="F1229" s="1"/>
      <c r="G1229" s="1"/>
      <c r="H1229" s="1"/>
      <c r="I1229" s="1"/>
      <c r="J1229" s="1"/>
      <c r="K1229" s="1"/>
      <c r="L1229" s="1"/>
      <c r="M1229" s="1"/>
      <c r="P1229" s="2"/>
    </row>
    <row r="1230" spans="3:16" x14ac:dyDescent="0.2">
      <c r="C1230" s="1"/>
      <c r="D1230" s="1"/>
      <c r="E1230" s="1"/>
      <c r="F1230" s="1"/>
      <c r="G1230" s="1"/>
      <c r="H1230" s="1"/>
      <c r="I1230" s="1"/>
      <c r="J1230" s="1"/>
      <c r="K1230" s="1"/>
      <c r="L1230" s="1"/>
      <c r="M1230" s="1"/>
      <c r="P1230" s="2"/>
    </row>
    <row r="1231" spans="3:16" x14ac:dyDescent="0.2">
      <c r="C1231" s="1"/>
      <c r="D1231" s="1"/>
      <c r="E1231" s="1"/>
      <c r="F1231" s="1"/>
      <c r="G1231" s="1"/>
      <c r="H1231" s="1"/>
      <c r="I1231" s="1"/>
      <c r="J1231" s="1"/>
      <c r="K1231" s="1"/>
      <c r="L1231" s="1"/>
      <c r="M1231" s="1"/>
      <c r="P1231" s="2"/>
    </row>
    <row r="1232" spans="3:16" x14ac:dyDescent="0.2">
      <c r="C1232" s="1"/>
      <c r="D1232" s="1"/>
      <c r="E1232" s="1"/>
      <c r="F1232" s="1"/>
      <c r="G1232" s="1"/>
      <c r="H1232" s="1"/>
      <c r="I1232" s="1"/>
      <c r="J1232" s="1"/>
      <c r="K1232" s="1"/>
      <c r="L1232" s="1"/>
      <c r="M1232" s="1"/>
      <c r="P1232" s="2"/>
    </row>
    <row r="1233" spans="3:16" x14ac:dyDescent="0.2">
      <c r="C1233" s="1"/>
      <c r="D1233" s="1"/>
      <c r="E1233" s="1"/>
      <c r="F1233" s="1"/>
      <c r="G1233" s="1"/>
      <c r="H1233" s="1"/>
      <c r="I1233" s="1"/>
      <c r="J1233" s="1"/>
      <c r="K1233" s="1"/>
      <c r="L1233" s="1"/>
      <c r="M1233" s="1"/>
      <c r="P1233" s="2"/>
    </row>
    <row r="1234" spans="3:16" x14ac:dyDescent="0.2">
      <c r="C1234" s="1"/>
      <c r="D1234" s="1"/>
      <c r="E1234" s="1"/>
      <c r="F1234" s="1"/>
      <c r="G1234" s="1"/>
      <c r="H1234" s="1"/>
      <c r="I1234" s="1"/>
      <c r="J1234" s="1"/>
      <c r="K1234" s="1"/>
      <c r="L1234" s="1"/>
      <c r="M1234" s="1"/>
      <c r="P1234" s="2"/>
    </row>
    <row r="1235" spans="3:16" x14ac:dyDescent="0.2">
      <c r="C1235" s="1"/>
      <c r="D1235" s="1"/>
      <c r="E1235" s="1"/>
      <c r="F1235" s="1"/>
      <c r="G1235" s="1"/>
      <c r="H1235" s="1"/>
      <c r="I1235" s="1"/>
      <c r="J1235" s="1"/>
      <c r="K1235" s="1"/>
      <c r="L1235" s="1"/>
      <c r="M1235" s="1"/>
      <c r="P1235" s="2"/>
    </row>
    <row r="1236" spans="3:16" x14ac:dyDescent="0.2">
      <c r="C1236" s="1"/>
      <c r="D1236" s="1"/>
      <c r="E1236" s="1"/>
      <c r="F1236" s="1"/>
      <c r="G1236" s="1"/>
      <c r="H1236" s="1"/>
      <c r="I1236" s="1"/>
      <c r="J1236" s="1"/>
      <c r="K1236" s="1"/>
      <c r="L1236" s="1"/>
      <c r="M1236" s="1"/>
      <c r="P1236" s="2"/>
    </row>
    <row r="1237" spans="3:16" x14ac:dyDescent="0.2">
      <c r="C1237" s="1"/>
      <c r="D1237" s="1"/>
      <c r="E1237" s="1"/>
      <c r="F1237" s="1"/>
      <c r="G1237" s="1"/>
      <c r="H1237" s="1"/>
      <c r="I1237" s="1"/>
      <c r="J1237" s="1"/>
      <c r="K1237" s="1"/>
      <c r="L1237" s="1"/>
      <c r="M1237" s="1"/>
      <c r="P1237" s="2"/>
    </row>
    <row r="1238" spans="3:16" x14ac:dyDescent="0.2">
      <c r="C1238" s="1"/>
      <c r="D1238" s="1"/>
      <c r="E1238" s="1"/>
      <c r="F1238" s="1"/>
      <c r="G1238" s="1"/>
      <c r="H1238" s="1"/>
      <c r="I1238" s="1"/>
      <c r="J1238" s="1"/>
      <c r="K1238" s="1"/>
      <c r="L1238" s="1"/>
      <c r="M1238" s="1"/>
      <c r="P1238" s="2"/>
    </row>
    <row r="1239" spans="3:16" x14ac:dyDescent="0.2">
      <c r="C1239" s="1"/>
      <c r="D1239" s="1"/>
      <c r="E1239" s="1"/>
      <c r="F1239" s="1"/>
      <c r="G1239" s="1"/>
      <c r="H1239" s="1"/>
      <c r="I1239" s="1"/>
      <c r="J1239" s="1"/>
      <c r="K1239" s="1"/>
      <c r="L1239" s="1"/>
      <c r="M1239" s="1"/>
      <c r="P1239" s="2"/>
    </row>
    <row r="1240" spans="3:16" x14ac:dyDescent="0.2">
      <c r="C1240" s="1"/>
      <c r="D1240" s="1"/>
      <c r="E1240" s="1"/>
      <c r="F1240" s="1"/>
      <c r="G1240" s="1"/>
      <c r="H1240" s="1"/>
      <c r="I1240" s="1"/>
      <c r="J1240" s="1"/>
      <c r="K1240" s="1"/>
      <c r="L1240" s="1"/>
      <c r="M1240" s="1"/>
      <c r="P1240" s="2"/>
    </row>
    <row r="1241" spans="3:16" x14ac:dyDescent="0.2">
      <c r="C1241" s="1"/>
      <c r="D1241" s="1"/>
      <c r="E1241" s="1"/>
      <c r="F1241" s="1"/>
      <c r="G1241" s="1"/>
      <c r="H1241" s="1"/>
      <c r="I1241" s="1"/>
      <c r="J1241" s="1"/>
      <c r="K1241" s="1"/>
      <c r="L1241" s="1"/>
      <c r="M1241" s="1"/>
      <c r="P1241" s="2"/>
    </row>
    <row r="1242" spans="3:16" x14ac:dyDescent="0.2">
      <c r="C1242" s="1"/>
      <c r="D1242" s="1"/>
      <c r="E1242" s="1"/>
      <c r="F1242" s="1"/>
      <c r="G1242" s="1"/>
      <c r="H1242" s="1"/>
      <c r="I1242" s="1"/>
      <c r="J1242" s="1"/>
      <c r="K1242" s="1"/>
      <c r="L1242" s="1"/>
      <c r="M1242" s="1"/>
      <c r="P1242" s="2"/>
    </row>
    <row r="1243" spans="3:16" x14ac:dyDescent="0.2">
      <c r="C1243" s="1"/>
      <c r="D1243" s="1"/>
      <c r="E1243" s="1"/>
      <c r="F1243" s="1"/>
      <c r="G1243" s="1"/>
      <c r="H1243" s="1"/>
      <c r="I1243" s="1"/>
      <c r="J1243" s="1"/>
      <c r="K1243" s="1"/>
      <c r="L1243" s="1"/>
      <c r="M1243" s="1"/>
      <c r="P1243" s="2"/>
    </row>
    <row r="1244" spans="3:16" x14ac:dyDescent="0.2">
      <c r="C1244" s="1"/>
      <c r="D1244" s="1"/>
      <c r="E1244" s="1"/>
      <c r="F1244" s="1"/>
      <c r="G1244" s="1"/>
      <c r="H1244" s="1"/>
      <c r="I1244" s="1"/>
      <c r="J1244" s="1"/>
      <c r="K1244" s="1"/>
      <c r="L1244" s="1"/>
      <c r="M1244" s="1"/>
      <c r="P1244" s="2"/>
    </row>
    <row r="1245" spans="3:16" x14ac:dyDescent="0.2">
      <c r="C1245" s="1"/>
      <c r="D1245" s="1"/>
      <c r="E1245" s="1"/>
      <c r="F1245" s="1"/>
      <c r="G1245" s="1"/>
      <c r="H1245" s="1"/>
      <c r="I1245" s="1"/>
      <c r="J1245" s="1"/>
      <c r="K1245" s="1"/>
      <c r="L1245" s="1"/>
      <c r="M1245" s="1"/>
      <c r="P1245" s="2"/>
    </row>
    <row r="1246" spans="3:16" x14ac:dyDescent="0.2">
      <c r="C1246" s="1"/>
      <c r="D1246" s="1"/>
      <c r="E1246" s="1"/>
      <c r="F1246" s="1"/>
      <c r="G1246" s="1"/>
      <c r="H1246" s="1"/>
      <c r="I1246" s="1"/>
      <c r="J1246" s="1"/>
      <c r="K1246" s="1"/>
      <c r="L1246" s="1"/>
      <c r="M1246" s="1"/>
      <c r="P1246" s="2"/>
    </row>
    <row r="1247" spans="3:16" x14ac:dyDescent="0.2">
      <c r="C1247" s="1"/>
      <c r="D1247" s="1"/>
      <c r="E1247" s="1"/>
      <c r="F1247" s="1"/>
      <c r="G1247" s="1"/>
      <c r="H1247" s="1"/>
      <c r="I1247" s="1"/>
      <c r="J1247" s="1"/>
      <c r="K1247" s="1"/>
      <c r="L1247" s="1"/>
      <c r="M1247" s="1"/>
      <c r="P1247" s="2"/>
    </row>
    <row r="1248" spans="3:16" x14ac:dyDescent="0.2">
      <c r="C1248" s="1"/>
      <c r="D1248" s="1"/>
      <c r="E1248" s="1"/>
      <c r="F1248" s="1"/>
      <c r="G1248" s="1"/>
      <c r="H1248" s="1"/>
      <c r="I1248" s="1"/>
      <c r="J1248" s="1"/>
      <c r="K1248" s="1"/>
      <c r="L1248" s="1"/>
      <c r="M1248" s="1"/>
      <c r="P1248" s="2"/>
    </row>
    <row r="1249" spans="3:16" x14ac:dyDescent="0.2">
      <c r="C1249" s="1"/>
      <c r="D1249" s="1"/>
      <c r="E1249" s="1"/>
      <c r="F1249" s="1"/>
      <c r="G1249" s="1"/>
      <c r="H1249" s="1"/>
      <c r="I1249" s="1"/>
      <c r="J1249" s="1"/>
      <c r="K1249" s="1"/>
      <c r="L1249" s="1"/>
      <c r="M1249" s="1"/>
      <c r="P1249" s="2"/>
    </row>
    <row r="1250" spans="3:16" x14ac:dyDescent="0.2">
      <c r="C1250" s="1"/>
      <c r="D1250" s="1"/>
      <c r="E1250" s="1"/>
      <c r="F1250" s="1"/>
      <c r="G1250" s="1"/>
      <c r="H1250" s="1"/>
      <c r="I1250" s="1"/>
      <c r="J1250" s="1"/>
      <c r="K1250" s="1"/>
      <c r="L1250" s="1"/>
      <c r="M1250" s="1"/>
      <c r="P1250" s="2"/>
    </row>
    <row r="1251" spans="3:16" x14ac:dyDescent="0.2">
      <c r="C1251" s="1"/>
      <c r="D1251" s="1"/>
      <c r="E1251" s="1"/>
      <c r="F1251" s="1"/>
      <c r="G1251" s="1"/>
      <c r="H1251" s="1"/>
      <c r="I1251" s="1"/>
      <c r="J1251" s="1"/>
      <c r="K1251" s="1"/>
      <c r="L1251" s="1"/>
      <c r="M1251" s="1"/>
      <c r="P1251" s="2"/>
    </row>
    <row r="1252" spans="3:16" x14ac:dyDescent="0.2">
      <c r="C1252" s="1"/>
      <c r="D1252" s="1"/>
      <c r="E1252" s="1"/>
      <c r="F1252" s="1"/>
      <c r="G1252" s="1"/>
      <c r="H1252" s="1"/>
      <c r="I1252" s="1"/>
      <c r="J1252" s="1"/>
      <c r="K1252" s="1"/>
      <c r="L1252" s="1"/>
      <c r="M1252" s="1"/>
      <c r="P1252" s="2"/>
    </row>
    <row r="1253" spans="3:16" x14ac:dyDescent="0.2">
      <c r="C1253" s="1"/>
      <c r="D1253" s="1"/>
      <c r="E1253" s="1"/>
      <c r="F1253" s="1"/>
      <c r="G1253" s="1"/>
      <c r="H1253" s="1"/>
      <c r="I1253" s="1"/>
      <c r="J1253" s="1"/>
      <c r="K1253" s="1"/>
      <c r="L1253" s="1"/>
      <c r="M1253" s="1"/>
      <c r="P1253" s="2"/>
    </row>
    <row r="1254" spans="3:16" x14ac:dyDescent="0.2">
      <c r="C1254" s="1"/>
      <c r="D1254" s="1"/>
      <c r="E1254" s="1"/>
      <c r="F1254" s="1"/>
      <c r="G1254" s="1"/>
      <c r="H1254" s="1"/>
      <c r="I1254" s="1"/>
      <c r="J1254" s="1"/>
      <c r="K1254" s="1"/>
      <c r="L1254" s="1"/>
      <c r="M1254" s="1"/>
      <c r="P1254" s="2"/>
    </row>
    <row r="1255" spans="3:16" x14ac:dyDescent="0.2">
      <c r="C1255" s="1"/>
      <c r="D1255" s="1"/>
      <c r="E1255" s="1"/>
      <c r="F1255" s="1"/>
      <c r="G1255" s="1"/>
      <c r="H1255" s="1"/>
      <c r="I1255" s="1"/>
      <c r="J1255" s="1"/>
      <c r="K1255" s="1"/>
      <c r="L1255" s="1"/>
      <c r="M1255" s="1"/>
      <c r="P1255" s="2"/>
    </row>
    <row r="1256" spans="3:16" x14ac:dyDescent="0.2">
      <c r="C1256" s="1"/>
      <c r="D1256" s="1"/>
      <c r="E1256" s="1"/>
      <c r="F1256" s="1"/>
      <c r="G1256" s="1"/>
      <c r="H1256" s="1"/>
      <c r="I1256" s="1"/>
      <c r="J1256" s="1"/>
      <c r="K1256" s="1"/>
      <c r="L1256" s="1"/>
      <c r="M1256" s="1"/>
      <c r="P1256" s="2"/>
    </row>
    <row r="1257" spans="3:16" x14ac:dyDescent="0.2">
      <c r="C1257" s="1"/>
      <c r="D1257" s="1"/>
      <c r="E1257" s="1"/>
      <c r="F1257" s="1"/>
      <c r="G1257" s="1"/>
      <c r="H1257" s="1"/>
      <c r="I1257" s="1"/>
      <c r="J1257" s="1"/>
      <c r="K1257" s="1"/>
      <c r="L1257" s="1"/>
      <c r="M1257" s="1"/>
      <c r="P1257" s="2"/>
    </row>
    <row r="1258" spans="3:16" x14ac:dyDescent="0.2">
      <c r="C1258" s="1"/>
      <c r="D1258" s="1"/>
      <c r="E1258" s="1"/>
      <c r="F1258" s="1"/>
      <c r="G1258" s="1"/>
      <c r="H1258" s="1"/>
      <c r="I1258" s="1"/>
      <c r="J1258" s="1"/>
      <c r="K1258" s="1"/>
      <c r="L1258" s="1"/>
      <c r="M1258" s="1"/>
      <c r="P1258" s="2"/>
    </row>
    <row r="1259" spans="3:16" x14ac:dyDescent="0.2">
      <c r="C1259" s="1"/>
      <c r="D1259" s="1"/>
      <c r="E1259" s="1"/>
      <c r="F1259" s="1"/>
      <c r="G1259" s="1"/>
      <c r="H1259" s="1"/>
      <c r="I1259" s="1"/>
      <c r="J1259" s="1"/>
      <c r="K1259" s="1"/>
      <c r="L1259" s="1"/>
      <c r="M1259" s="1"/>
      <c r="P1259" s="2"/>
    </row>
    <row r="1260" spans="3:16" x14ac:dyDescent="0.2">
      <c r="C1260" s="1"/>
      <c r="D1260" s="1"/>
      <c r="E1260" s="1"/>
      <c r="F1260" s="1"/>
      <c r="G1260" s="1"/>
      <c r="H1260" s="1"/>
      <c r="I1260" s="1"/>
      <c r="J1260" s="1"/>
      <c r="K1260" s="1"/>
      <c r="L1260" s="1"/>
      <c r="M1260" s="1"/>
      <c r="P1260" s="2"/>
    </row>
    <row r="1261" spans="3:16" x14ac:dyDescent="0.2">
      <c r="C1261" s="1"/>
      <c r="D1261" s="1"/>
      <c r="E1261" s="1"/>
      <c r="F1261" s="1"/>
      <c r="G1261" s="1"/>
      <c r="H1261" s="1"/>
      <c r="I1261" s="1"/>
      <c r="J1261" s="1"/>
      <c r="K1261" s="1"/>
      <c r="L1261" s="1"/>
      <c r="M1261" s="1"/>
      <c r="P1261" s="2"/>
    </row>
    <row r="1262" spans="3:16" x14ac:dyDescent="0.2">
      <c r="C1262" s="1"/>
      <c r="D1262" s="1"/>
      <c r="E1262" s="1"/>
      <c r="F1262" s="1"/>
      <c r="G1262" s="1"/>
      <c r="H1262" s="1"/>
      <c r="I1262" s="1"/>
      <c r="J1262" s="1"/>
      <c r="K1262" s="1"/>
      <c r="L1262" s="1"/>
      <c r="M1262" s="1"/>
      <c r="P1262" s="2"/>
    </row>
    <row r="1263" spans="3:16" x14ac:dyDescent="0.2">
      <c r="C1263" s="1"/>
      <c r="D1263" s="1"/>
      <c r="E1263" s="1"/>
      <c r="F1263" s="1"/>
      <c r="G1263" s="1"/>
      <c r="H1263" s="1"/>
      <c r="I1263" s="1"/>
      <c r="J1263" s="1"/>
      <c r="K1263" s="1"/>
      <c r="L1263" s="1"/>
      <c r="M1263" s="1"/>
      <c r="P1263" s="2"/>
    </row>
    <row r="1264" spans="3:16" x14ac:dyDescent="0.2">
      <c r="C1264" s="1"/>
      <c r="D1264" s="1"/>
      <c r="E1264" s="1"/>
      <c r="F1264" s="1"/>
      <c r="G1264" s="1"/>
      <c r="H1264" s="1"/>
      <c r="I1264" s="1"/>
      <c r="J1264" s="1"/>
      <c r="K1264" s="1"/>
      <c r="L1264" s="1"/>
      <c r="M1264" s="1"/>
      <c r="P1264" s="2"/>
    </row>
    <row r="1265" spans="3:16" x14ac:dyDescent="0.2">
      <c r="C1265" s="1"/>
      <c r="D1265" s="1"/>
      <c r="E1265" s="1"/>
      <c r="F1265" s="1"/>
      <c r="G1265" s="1"/>
      <c r="H1265" s="1"/>
      <c r="I1265" s="1"/>
      <c r="J1265" s="1"/>
      <c r="K1265" s="1"/>
      <c r="L1265" s="1"/>
      <c r="M1265" s="1"/>
      <c r="P1265" s="2"/>
    </row>
    <row r="1266" spans="3:16" x14ac:dyDescent="0.2">
      <c r="C1266" s="1"/>
      <c r="D1266" s="1"/>
      <c r="E1266" s="1"/>
      <c r="F1266" s="1"/>
      <c r="G1266" s="1"/>
      <c r="H1266" s="1"/>
      <c r="I1266" s="1"/>
      <c r="J1266" s="1"/>
      <c r="K1266" s="1"/>
      <c r="L1266" s="1"/>
      <c r="M1266" s="1"/>
      <c r="P1266" s="2"/>
    </row>
    <row r="1267" spans="3:16" x14ac:dyDescent="0.2">
      <c r="C1267" s="1"/>
      <c r="D1267" s="1"/>
      <c r="E1267" s="1"/>
      <c r="F1267" s="1"/>
      <c r="G1267" s="1"/>
      <c r="H1267" s="1"/>
      <c r="I1267" s="1"/>
      <c r="J1267" s="1"/>
      <c r="K1267" s="1"/>
      <c r="L1267" s="1"/>
      <c r="M1267" s="1"/>
      <c r="P1267" s="2"/>
    </row>
    <row r="1268" spans="3:16" x14ac:dyDescent="0.2">
      <c r="C1268" s="1"/>
      <c r="D1268" s="1"/>
      <c r="E1268" s="1"/>
      <c r="F1268" s="1"/>
      <c r="G1268" s="1"/>
      <c r="H1268" s="1"/>
      <c r="I1268" s="1"/>
      <c r="J1268" s="1"/>
      <c r="K1268" s="1"/>
      <c r="L1268" s="1"/>
      <c r="M1268" s="1"/>
      <c r="P1268" s="2"/>
    </row>
    <row r="1269" spans="3:16" x14ac:dyDescent="0.2">
      <c r="C1269" s="1"/>
      <c r="D1269" s="1"/>
      <c r="E1269" s="1"/>
      <c r="F1269" s="1"/>
      <c r="G1269" s="1"/>
      <c r="H1269" s="1"/>
      <c r="I1269" s="1"/>
      <c r="J1269" s="1"/>
      <c r="K1269" s="1"/>
      <c r="L1269" s="1"/>
      <c r="M1269" s="1"/>
      <c r="P1269" s="2"/>
    </row>
    <row r="1270" spans="3:16" x14ac:dyDescent="0.2">
      <c r="C1270" s="1"/>
      <c r="D1270" s="1"/>
      <c r="E1270" s="1"/>
      <c r="F1270" s="1"/>
      <c r="G1270" s="1"/>
      <c r="H1270" s="1"/>
      <c r="I1270" s="1"/>
      <c r="J1270" s="1"/>
      <c r="K1270" s="1"/>
      <c r="L1270" s="1"/>
      <c r="M1270" s="1"/>
      <c r="P1270" s="2"/>
    </row>
    <row r="1271" spans="3:16" x14ac:dyDescent="0.2">
      <c r="C1271" s="1"/>
      <c r="D1271" s="1"/>
      <c r="E1271" s="1"/>
      <c r="F1271" s="1"/>
      <c r="G1271" s="1"/>
      <c r="H1271" s="1"/>
      <c r="I1271" s="1"/>
      <c r="J1271" s="1"/>
      <c r="K1271" s="1"/>
      <c r="L1271" s="1"/>
      <c r="M1271" s="1"/>
      <c r="P1271" s="2"/>
    </row>
    <row r="1272" spans="3:16" x14ac:dyDescent="0.2">
      <c r="C1272" s="1"/>
      <c r="D1272" s="1"/>
      <c r="E1272" s="1"/>
      <c r="F1272" s="1"/>
      <c r="G1272" s="1"/>
      <c r="H1272" s="1"/>
      <c r="I1272" s="1"/>
      <c r="J1272" s="1"/>
      <c r="K1272" s="1"/>
      <c r="L1272" s="1"/>
      <c r="M1272" s="1"/>
      <c r="P1272" s="2"/>
    </row>
    <row r="1273" spans="3:16" x14ac:dyDescent="0.2">
      <c r="C1273" s="1"/>
      <c r="D1273" s="1"/>
      <c r="E1273" s="1"/>
      <c r="F1273" s="1"/>
      <c r="G1273" s="1"/>
      <c r="H1273" s="1"/>
      <c r="I1273" s="1"/>
      <c r="J1273" s="1"/>
      <c r="K1273" s="1"/>
      <c r="L1273" s="1"/>
      <c r="M1273" s="1"/>
      <c r="P1273" s="2"/>
    </row>
    <row r="1274" spans="3:16" x14ac:dyDescent="0.2">
      <c r="C1274" s="1"/>
      <c r="D1274" s="1"/>
      <c r="E1274" s="1"/>
      <c r="F1274" s="1"/>
      <c r="G1274" s="1"/>
      <c r="H1274" s="1"/>
      <c r="I1274" s="1"/>
      <c r="J1274" s="1"/>
      <c r="K1274" s="1"/>
      <c r="L1274" s="1"/>
      <c r="M1274" s="1"/>
      <c r="P1274" s="2"/>
    </row>
    <row r="1275" spans="3:16" x14ac:dyDescent="0.2">
      <c r="C1275" s="1"/>
      <c r="D1275" s="1"/>
      <c r="E1275" s="1"/>
      <c r="F1275" s="1"/>
      <c r="G1275" s="1"/>
      <c r="H1275" s="1"/>
      <c r="I1275" s="1"/>
      <c r="J1275" s="1"/>
      <c r="K1275" s="1"/>
      <c r="L1275" s="1"/>
      <c r="M1275" s="1"/>
      <c r="P1275" s="2"/>
    </row>
    <row r="1276" spans="3:16" x14ac:dyDescent="0.2">
      <c r="C1276" s="1"/>
      <c r="D1276" s="1"/>
      <c r="E1276" s="1"/>
      <c r="F1276" s="1"/>
      <c r="G1276" s="1"/>
      <c r="H1276" s="1"/>
      <c r="I1276" s="1"/>
      <c r="J1276" s="1"/>
      <c r="K1276" s="1"/>
      <c r="L1276" s="1"/>
      <c r="M1276" s="1"/>
      <c r="P1276" s="2"/>
    </row>
    <row r="1277" spans="3:16" x14ac:dyDescent="0.2">
      <c r="C1277" s="1"/>
      <c r="D1277" s="1"/>
      <c r="E1277" s="1"/>
      <c r="F1277" s="1"/>
      <c r="G1277" s="1"/>
      <c r="H1277" s="1"/>
      <c r="I1277" s="1"/>
      <c r="J1277" s="1"/>
      <c r="K1277" s="1"/>
      <c r="L1277" s="1"/>
      <c r="M1277" s="1"/>
      <c r="P1277" s="2"/>
    </row>
    <row r="1278" spans="3:16" x14ac:dyDescent="0.2">
      <c r="C1278" s="1"/>
      <c r="D1278" s="1"/>
      <c r="E1278" s="1"/>
      <c r="F1278" s="1"/>
      <c r="G1278" s="1"/>
      <c r="H1278" s="1"/>
      <c r="I1278" s="1"/>
      <c r="J1278" s="1"/>
      <c r="K1278" s="1"/>
      <c r="L1278" s="1"/>
      <c r="M1278" s="1"/>
      <c r="P1278" s="2"/>
    </row>
    <row r="1279" spans="3:16" x14ac:dyDescent="0.2">
      <c r="C1279" s="1"/>
      <c r="D1279" s="1"/>
      <c r="E1279" s="1"/>
      <c r="F1279" s="1"/>
      <c r="G1279" s="1"/>
      <c r="H1279" s="1"/>
      <c r="I1279" s="1"/>
      <c r="J1279" s="1"/>
      <c r="K1279" s="1"/>
      <c r="L1279" s="1"/>
      <c r="M1279" s="1"/>
      <c r="P1279" s="2"/>
    </row>
    <row r="1280" spans="3:16" x14ac:dyDescent="0.2">
      <c r="C1280" s="1"/>
      <c r="D1280" s="1"/>
      <c r="E1280" s="1"/>
      <c r="F1280" s="1"/>
      <c r="G1280" s="1"/>
      <c r="H1280" s="1"/>
      <c r="I1280" s="1"/>
      <c r="J1280" s="1"/>
      <c r="K1280" s="1"/>
      <c r="L1280" s="1"/>
      <c r="M1280" s="1"/>
      <c r="P1280" s="2"/>
    </row>
    <row r="1281" spans="3:16" x14ac:dyDescent="0.2">
      <c r="C1281" s="1"/>
      <c r="D1281" s="1"/>
      <c r="E1281" s="1"/>
      <c r="F1281" s="1"/>
      <c r="G1281" s="1"/>
      <c r="H1281" s="1"/>
      <c r="I1281" s="1"/>
      <c r="J1281" s="1"/>
      <c r="K1281" s="1"/>
      <c r="L1281" s="1"/>
      <c r="M1281" s="1"/>
      <c r="P1281" s="2"/>
    </row>
    <row r="1282" spans="3:16" x14ac:dyDescent="0.2">
      <c r="C1282" s="1"/>
      <c r="D1282" s="1"/>
      <c r="E1282" s="1"/>
      <c r="F1282" s="1"/>
      <c r="G1282" s="1"/>
      <c r="H1282" s="1"/>
      <c r="I1282" s="1"/>
      <c r="J1282" s="1"/>
      <c r="K1282" s="1"/>
      <c r="L1282" s="1"/>
      <c r="M1282" s="1"/>
      <c r="P1282" s="2"/>
    </row>
    <row r="1283" spans="3:16" x14ac:dyDescent="0.2">
      <c r="C1283" s="1"/>
      <c r="D1283" s="1"/>
      <c r="E1283" s="1"/>
      <c r="F1283" s="1"/>
      <c r="G1283" s="1"/>
      <c r="H1283" s="1"/>
      <c r="I1283" s="1"/>
      <c r="J1283" s="1"/>
      <c r="K1283" s="1"/>
      <c r="L1283" s="1"/>
      <c r="M1283" s="1"/>
      <c r="P1283" s="2"/>
    </row>
    <row r="1284" spans="3:16" x14ac:dyDescent="0.2">
      <c r="C1284" s="1"/>
      <c r="D1284" s="1"/>
      <c r="E1284" s="1"/>
      <c r="F1284" s="1"/>
      <c r="G1284" s="1"/>
      <c r="H1284" s="1"/>
      <c r="I1284" s="1"/>
      <c r="J1284" s="1"/>
      <c r="K1284" s="1"/>
      <c r="L1284" s="1"/>
      <c r="M1284" s="1"/>
      <c r="P1284" s="2"/>
    </row>
    <row r="1285" spans="3:16" x14ac:dyDescent="0.2">
      <c r="C1285" s="1"/>
      <c r="D1285" s="1"/>
      <c r="E1285" s="1"/>
      <c r="F1285" s="1"/>
      <c r="G1285" s="1"/>
      <c r="H1285" s="1"/>
      <c r="I1285" s="1"/>
      <c r="J1285" s="1"/>
      <c r="K1285" s="1"/>
      <c r="L1285" s="1"/>
      <c r="M1285" s="1"/>
      <c r="P1285" s="2"/>
    </row>
    <row r="1286" spans="3:16" x14ac:dyDescent="0.2">
      <c r="C1286" s="1"/>
      <c r="D1286" s="1"/>
      <c r="E1286" s="1"/>
      <c r="F1286" s="1"/>
      <c r="G1286" s="1"/>
      <c r="H1286" s="1"/>
      <c r="I1286" s="1"/>
      <c r="J1286" s="1"/>
      <c r="K1286" s="1"/>
      <c r="L1286" s="1"/>
      <c r="M1286" s="1"/>
      <c r="P1286" s="2"/>
    </row>
    <row r="1287" spans="3:16" x14ac:dyDescent="0.2">
      <c r="C1287" s="1"/>
      <c r="D1287" s="1"/>
      <c r="E1287" s="1"/>
      <c r="F1287" s="1"/>
      <c r="G1287" s="1"/>
      <c r="H1287" s="1"/>
      <c r="I1287" s="1"/>
      <c r="J1287" s="1"/>
      <c r="K1287" s="1"/>
      <c r="L1287" s="1"/>
      <c r="M1287" s="1"/>
      <c r="P1287" s="2"/>
    </row>
    <row r="1288" spans="3:16" x14ac:dyDescent="0.2">
      <c r="C1288" s="1"/>
      <c r="D1288" s="1"/>
      <c r="E1288" s="1"/>
      <c r="F1288" s="1"/>
      <c r="G1288" s="1"/>
      <c r="H1288" s="1"/>
      <c r="I1288" s="1"/>
      <c r="J1288" s="1"/>
      <c r="K1288" s="1"/>
      <c r="L1288" s="1"/>
      <c r="M1288" s="1"/>
      <c r="P1288" s="2"/>
    </row>
    <row r="1289" spans="3:16" x14ac:dyDescent="0.2">
      <c r="C1289" s="1"/>
      <c r="D1289" s="1"/>
      <c r="E1289" s="1"/>
      <c r="F1289" s="1"/>
      <c r="G1289" s="1"/>
      <c r="H1289" s="1"/>
      <c r="I1289" s="1"/>
      <c r="J1289" s="1"/>
      <c r="K1289" s="1"/>
      <c r="L1289" s="1"/>
      <c r="M1289" s="1"/>
      <c r="P1289" s="2"/>
    </row>
    <row r="1290" spans="3:16" x14ac:dyDescent="0.2">
      <c r="C1290" s="1"/>
      <c r="D1290" s="1"/>
      <c r="E1290" s="1"/>
      <c r="F1290" s="1"/>
      <c r="G1290" s="1"/>
      <c r="H1290" s="1"/>
      <c r="I1290" s="1"/>
      <c r="J1290" s="1"/>
      <c r="K1290" s="1"/>
      <c r="L1290" s="1"/>
      <c r="M1290" s="1"/>
      <c r="P1290" s="2"/>
    </row>
    <row r="1291" spans="3:16" x14ac:dyDescent="0.2">
      <c r="C1291" s="1"/>
      <c r="D1291" s="1"/>
      <c r="E1291" s="1"/>
      <c r="F1291" s="1"/>
      <c r="G1291" s="1"/>
      <c r="H1291" s="1"/>
      <c r="I1291" s="1"/>
      <c r="J1291" s="1"/>
      <c r="K1291" s="1"/>
      <c r="L1291" s="1"/>
      <c r="M1291" s="1"/>
      <c r="P1291" s="2"/>
    </row>
    <row r="1292" spans="3:16" x14ac:dyDescent="0.2">
      <c r="C1292" s="1"/>
      <c r="D1292" s="1"/>
      <c r="E1292" s="1"/>
      <c r="F1292" s="1"/>
      <c r="G1292" s="1"/>
      <c r="H1292" s="1"/>
      <c r="I1292" s="1"/>
      <c r="J1292" s="1"/>
      <c r="K1292" s="1"/>
      <c r="L1292" s="1"/>
      <c r="M1292" s="1"/>
      <c r="P1292" s="2"/>
    </row>
    <row r="1293" spans="3:16" x14ac:dyDescent="0.2">
      <c r="C1293" s="1"/>
      <c r="D1293" s="1"/>
      <c r="E1293" s="1"/>
      <c r="F1293" s="1"/>
      <c r="G1293" s="1"/>
      <c r="H1293" s="1"/>
      <c r="I1293" s="1"/>
      <c r="J1293" s="1"/>
      <c r="K1293" s="1"/>
      <c r="L1293" s="1"/>
      <c r="M1293" s="1"/>
      <c r="P1293" s="2"/>
    </row>
    <row r="1294" spans="3:16" x14ac:dyDescent="0.2">
      <c r="C1294" s="1"/>
      <c r="D1294" s="1"/>
      <c r="E1294" s="1"/>
      <c r="F1294" s="1"/>
      <c r="G1294" s="1"/>
      <c r="H1294" s="1"/>
      <c r="I1294" s="1"/>
      <c r="J1294" s="1"/>
      <c r="K1294" s="1"/>
      <c r="L1294" s="1"/>
      <c r="M1294" s="1"/>
      <c r="P1294" s="2"/>
    </row>
    <row r="1295" spans="3:16" x14ac:dyDescent="0.2">
      <c r="C1295" s="1"/>
      <c r="D1295" s="1"/>
      <c r="E1295" s="1"/>
      <c r="F1295" s="1"/>
      <c r="G1295" s="1"/>
      <c r="H1295" s="1"/>
      <c r="I1295" s="1"/>
      <c r="J1295" s="1"/>
      <c r="K1295" s="1"/>
      <c r="L1295" s="1"/>
      <c r="M1295" s="1"/>
      <c r="P1295" s="2"/>
    </row>
    <row r="1296" spans="3:16" x14ac:dyDescent="0.2">
      <c r="C1296" s="1"/>
      <c r="D1296" s="1"/>
      <c r="E1296" s="1"/>
      <c r="F1296" s="1"/>
      <c r="G1296" s="1"/>
      <c r="H1296" s="1"/>
      <c r="I1296" s="1"/>
      <c r="J1296" s="1"/>
      <c r="K1296" s="1"/>
      <c r="L1296" s="1"/>
      <c r="M1296" s="1"/>
      <c r="P1296" s="2"/>
    </row>
    <row r="1297" spans="3:16" x14ac:dyDescent="0.2">
      <c r="C1297" s="1"/>
      <c r="D1297" s="1"/>
      <c r="E1297" s="1"/>
      <c r="F1297" s="1"/>
      <c r="G1297" s="1"/>
      <c r="H1297" s="1"/>
      <c r="I1297" s="1"/>
      <c r="J1297" s="1"/>
      <c r="K1297" s="1"/>
      <c r="L1297" s="1"/>
      <c r="M1297" s="1"/>
      <c r="P1297" s="2"/>
    </row>
    <row r="1298" spans="3:16" x14ac:dyDescent="0.2">
      <c r="C1298" s="1"/>
      <c r="D1298" s="1"/>
      <c r="E1298" s="1"/>
      <c r="F1298" s="1"/>
      <c r="G1298" s="1"/>
      <c r="H1298" s="1"/>
      <c r="I1298" s="1"/>
      <c r="J1298" s="1"/>
      <c r="K1298" s="1"/>
      <c r="L1298" s="1"/>
      <c r="M1298" s="1"/>
      <c r="P1298" s="2"/>
    </row>
    <row r="1299" spans="3:16" x14ac:dyDescent="0.2">
      <c r="C1299" s="1"/>
      <c r="D1299" s="1"/>
      <c r="E1299" s="1"/>
      <c r="F1299" s="1"/>
      <c r="G1299" s="1"/>
      <c r="H1299" s="1"/>
      <c r="I1299" s="1"/>
      <c r="J1299" s="1"/>
      <c r="K1299" s="1"/>
      <c r="L1299" s="1"/>
      <c r="M1299" s="1"/>
      <c r="P1299" s="2"/>
    </row>
    <row r="1300" spans="3:16" x14ac:dyDescent="0.2">
      <c r="C1300" s="1"/>
      <c r="D1300" s="1"/>
      <c r="E1300" s="1"/>
      <c r="F1300" s="1"/>
      <c r="G1300" s="1"/>
      <c r="H1300" s="1"/>
      <c r="I1300" s="1"/>
      <c r="J1300" s="1"/>
      <c r="K1300" s="1"/>
      <c r="L1300" s="1"/>
      <c r="M1300" s="1"/>
      <c r="P1300" s="2"/>
    </row>
    <row r="1301" spans="3:16" x14ac:dyDescent="0.2">
      <c r="C1301" s="1"/>
      <c r="D1301" s="1"/>
      <c r="E1301" s="1"/>
      <c r="F1301" s="1"/>
      <c r="G1301" s="1"/>
      <c r="H1301" s="1"/>
      <c r="I1301" s="1"/>
      <c r="J1301" s="1"/>
      <c r="K1301" s="1"/>
      <c r="L1301" s="1"/>
      <c r="M1301" s="1"/>
      <c r="P1301" s="2"/>
    </row>
    <row r="1302" spans="3:16" x14ac:dyDescent="0.2">
      <c r="C1302" s="1"/>
      <c r="D1302" s="1"/>
      <c r="E1302" s="1"/>
      <c r="F1302" s="1"/>
      <c r="G1302" s="1"/>
      <c r="H1302" s="1"/>
      <c r="I1302" s="1"/>
      <c r="J1302" s="1"/>
      <c r="K1302" s="1"/>
      <c r="L1302" s="1"/>
      <c r="M1302" s="1"/>
      <c r="P1302" s="2"/>
    </row>
    <row r="1303" spans="3:16" x14ac:dyDescent="0.2">
      <c r="C1303" s="1"/>
      <c r="D1303" s="1"/>
      <c r="E1303" s="1"/>
      <c r="F1303" s="1"/>
      <c r="G1303" s="1"/>
      <c r="H1303" s="1"/>
      <c r="I1303" s="1"/>
      <c r="J1303" s="1"/>
      <c r="K1303" s="1"/>
      <c r="L1303" s="1"/>
      <c r="M1303" s="1"/>
      <c r="P1303" s="2"/>
    </row>
    <row r="1304" spans="3:16" x14ac:dyDescent="0.2">
      <c r="C1304" s="1"/>
      <c r="D1304" s="1"/>
      <c r="E1304" s="1"/>
      <c r="F1304" s="1"/>
      <c r="G1304" s="1"/>
      <c r="H1304" s="1"/>
      <c r="I1304" s="1"/>
      <c r="J1304" s="1"/>
      <c r="K1304" s="1"/>
      <c r="L1304" s="1"/>
      <c r="M1304" s="1"/>
      <c r="P1304" s="2"/>
    </row>
    <row r="1305" spans="3:16" x14ac:dyDescent="0.2">
      <c r="C1305" s="1"/>
      <c r="D1305" s="1"/>
      <c r="E1305" s="1"/>
      <c r="F1305" s="1"/>
      <c r="G1305" s="1"/>
      <c r="H1305" s="1"/>
      <c r="I1305" s="1"/>
      <c r="J1305" s="1"/>
      <c r="K1305" s="1"/>
      <c r="L1305" s="1"/>
      <c r="M1305" s="1"/>
      <c r="P1305" s="2"/>
    </row>
    <row r="1306" spans="3:16" x14ac:dyDescent="0.2">
      <c r="C1306" s="1"/>
      <c r="D1306" s="1"/>
      <c r="E1306" s="1"/>
      <c r="F1306" s="1"/>
      <c r="G1306" s="1"/>
      <c r="H1306" s="1"/>
      <c r="I1306" s="1"/>
      <c r="J1306" s="1"/>
      <c r="K1306" s="1"/>
      <c r="L1306" s="1"/>
      <c r="M1306" s="1"/>
      <c r="P1306" s="2"/>
    </row>
    <row r="1307" spans="3:16" x14ac:dyDescent="0.2">
      <c r="C1307" s="1"/>
      <c r="D1307" s="1"/>
      <c r="E1307" s="1"/>
      <c r="F1307" s="1"/>
      <c r="G1307" s="1"/>
      <c r="H1307" s="1"/>
      <c r="I1307" s="1"/>
      <c r="J1307" s="1"/>
      <c r="K1307" s="1"/>
      <c r="L1307" s="1"/>
      <c r="M1307" s="1"/>
      <c r="P1307" s="2"/>
    </row>
    <row r="1308" spans="3:16" x14ac:dyDescent="0.2">
      <c r="C1308" s="1"/>
      <c r="D1308" s="1"/>
      <c r="E1308" s="1"/>
      <c r="F1308" s="1"/>
      <c r="G1308" s="1"/>
      <c r="H1308" s="1"/>
      <c r="I1308" s="1"/>
      <c r="J1308" s="1"/>
      <c r="K1308" s="1"/>
      <c r="L1308" s="1"/>
      <c r="M1308" s="1"/>
      <c r="P1308" s="2"/>
    </row>
    <row r="1309" spans="3:16" x14ac:dyDescent="0.2">
      <c r="C1309" s="1"/>
      <c r="D1309" s="1"/>
      <c r="E1309" s="1"/>
      <c r="F1309" s="1"/>
      <c r="G1309" s="1"/>
      <c r="H1309" s="1"/>
      <c r="I1309" s="1"/>
      <c r="J1309" s="1"/>
      <c r="K1309" s="1"/>
      <c r="L1309" s="1"/>
      <c r="M1309" s="1"/>
      <c r="P1309" s="2"/>
    </row>
    <row r="1310" spans="3:16" x14ac:dyDescent="0.2">
      <c r="C1310" s="1"/>
      <c r="D1310" s="1"/>
      <c r="E1310" s="1"/>
      <c r="F1310" s="1"/>
      <c r="G1310" s="1"/>
      <c r="H1310" s="1"/>
      <c r="I1310" s="1"/>
      <c r="J1310" s="1"/>
      <c r="K1310" s="1"/>
      <c r="L1310" s="1"/>
      <c r="M1310" s="1"/>
      <c r="P1310" s="2"/>
    </row>
    <row r="1311" spans="3:16" x14ac:dyDescent="0.2">
      <c r="C1311" s="1"/>
      <c r="D1311" s="1"/>
      <c r="E1311" s="1"/>
      <c r="F1311" s="1"/>
      <c r="G1311" s="1"/>
      <c r="H1311" s="1"/>
      <c r="I1311" s="1"/>
      <c r="J1311" s="1"/>
      <c r="K1311" s="1"/>
      <c r="L1311" s="1"/>
      <c r="M1311" s="1"/>
      <c r="P1311" s="2"/>
    </row>
    <row r="1312" spans="3:16" x14ac:dyDescent="0.2">
      <c r="C1312" s="1"/>
      <c r="D1312" s="1"/>
      <c r="E1312" s="1"/>
      <c r="F1312" s="1"/>
      <c r="G1312" s="1"/>
      <c r="H1312" s="1"/>
      <c r="I1312" s="1"/>
      <c r="J1312" s="1"/>
      <c r="K1312" s="1"/>
      <c r="L1312" s="1"/>
      <c r="M1312" s="1"/>
      <c r="P1312" s="2"/>
    </row>
    <row r="1313" spans="3:16" x14ac:dyDescent="0.2">
      <c r="C1313" s="1"/>
      <c r="D1313" s="1"/>
      <c r="E1313" s="1"/>
      <c r="F1313" s="1"/>
      <c r="G1313" s="1"/>
      <c r="H1313" s="1"/>
      <c r="I1313" s="1"/>
      <c r="J1313" s="1"/>
      <c r="K1313" s="1"/>
      <c r="L1313" s="1"/>
      <c r="M1313" s="1"/>
      <c r="P1313" s="2"/>
    </row>
    <row r="1314" spans="3:16" x14ac:dyDescent="0.2">
      <c r="C1314" s="1"/>
      <c r="D1314" s="1"/>
      <c r="E1314" s="1"/>
      <c r="F1314" s="1"/>
      <c r="G1314" s="1"/>
      <c r="H1314" s="1"/>
      <c r="I1314" s="1"/>
      <c r="J1314" s="1"/>
      <c r="K1314" s="1"/>
      <c r="L1314" s="1"/>
      <c r="M1314" s="1"/>
      <c r="P1314" s="2"/>
    </row>
    <row r="1315" spans="3:16" x14ac:dyDescent="0.2">
      <c r="C1315" s="1"/>
      <c r="D1315" s="1"/>
      <c r="E1315" s="1"/>
      <c r="F1315" s="1"/>
      <c r="G1315" s="1"/>
      <c r="H1315" s="1"/>
      <c r="I1315" s="1"/>
      <c r="J1315" s="1"/>
      <c r="K1315" s="1"/>
      <c r="L1315" s="1"/>
      <c r="M1315" s="1"/>
      <c r="P1315" s="2"/>
    </row>
    <row r="1316" spans="3:16" x14ac:dyDescent="0.2">
      <c r="C1316" s="1"/>
      <c r="D1316" s="1"/>
      <c r="E1316" s="1"/>
      <c r="F1316" s="1"/>
      <c r="G1316" s="1"/>
      <c r="H1316" s="1"/>
      <c r="I1316" s="1"/>
      <c r="J1316" s="1"/>
      <c r="K1316" s="1"/>
      <c r="L1316" s="1"/>
      <c r="M1316" s="1"/>
      <c r="P1316" s="2"/>
    </row>
    <row r="1317" spans="3:16" x14ac:dyDescent="0.2">
      <c r="C1317" s="1"/>
      <c r="D1317" s="1"/>
      <c r="E1317" s="1"/>
      <c r="F1317" s="1"/>
      <c r="G1317" s="1"/>
      <c r="H1317" s="1"/>
      <c r="I1317" s="1"/>
      <c r="J1317" s="1"/>
      <c r="K1317" s="1"/>
      <c r="L1317" s="1"/>
      <c r="M1317" s="1"/>
      <c r="P1317" s="2"/>
    </row>
    <row r="1318" spans="3:16" x14ac:dyDescent="0.2">
      <c r="C1318" s="1"/>
      <c r="D1318" s="1"/>
      <c r="E1318" s="1"/>
      <c r="F1318" s="1"/>
      <c r="G1318" s="1"/>
      <c r="H1318" s="1"/>
      <c r="I1318" s="1"/>
      <c r="J1318" s="1"/>
      <c r="K1318" s="1"/>
      <c r="L1318" s="1"/>
      <c r="M1318" s="1"/>
      <c r="P1318" s="2"/>
    </row>
    <row r="1319" spans="3:16" x14ac:dyDescent="0.2">
      <c r="C1319" s="1"/>
      <c r="D1319" s="1"/>
      <c r="E1319" s="1"/>
      <c r="F1319" s="1"/>
      <c r="G1319" s="1"/>
      <c r="H1319" s="1"/>
      <c r="I1319" s="1"/>
      <c r="J1319" s="1"/>
      <c r="K1319" s="1"/>
      <c r="L1319" s="1"/>
      <c r="M1319" s="1"/>
      <c r="P1319" s="2"/>
    </row>
    <row r="1320" spans="3:16" x14ac:dyDescent="0.2">
      <c r="C1320" s="1"/>
      <c r="D1320" s="1"/>
      <c r="E1320" s="1"/>
      <c r="F1320" s="1"/>
      <c r="G1320" s="1"/>
      <c r="H1320" s="1"/>
      <c r="I1320" s="1"/>
      <c r="J1320" s="1"/>
      <c r="K1320" s="1"/>
      <c r="L1320" s="1"/>
      <c r="M1320" s="1"/>
      <c r="P1320" s="2"/>
    </row>
    <row r="1321" spans="3:16" x14ac:dyDescent="0.2">
      <c r="C1321" s="1"/>
      <c r="D1321" s="1"/>
      <c r="E1321" s="1"/>
      <c r="F1321" s="1"/>
      <c r="G1321" s="1"/>
      <c r="H1321" s="1"/>
      <c r="I1321" s="1"/>
      <c r="J1321" s="1"/>
      <c r="K1321" s="1"/>
      <c r="L1321" s="1"/>
      <c r="M1321" s="1"/>
      <c r="P1321" s="2"/>
    </row>
    <row r="1322" spans="3:16" x14ac:dyDescent="0.2">
      <c r="C1322" s="1"/>
      <c r="D1322" s="1"/>
      <c r="E1322" s="1"/>
      <c r="F1322" s="1"/>
      <c r="G1322" s="1"/>
      <c r="H1322" s="1"/>
      <c r="I1322" s="1"/>
      <c r="J1322" s="1"/>
      <c r="K1322" s="1"/>
      <c r="L1322" s="1"/>
      <c r="M1322" s="1"/>
      <c r="P1322" s="2"/>
    </row>
    <row r="1323" spans="3:16" x14ac:dyDescent="0.2">
      <c r="C1323" s="1"/>
      <c r="D1323" s="1"/>
      <c r="E1323" s="1"/>
      <c r="F1323" s="1"/>
      <c r="G1323" s="1"/>
      <c r="H1323" s="1"/>
      <c r="I1323" s="1"/>
      <c r="J1323" s="1"/>
      <c r="K1323" s="1"/>
      <c r="L1323" s="1"/>
      <c r="M1323" s="1"/>
      <c r="P1323" s="2"/>
    </row>
    <row r="1324" spans="3:16" x14ac:dyDescent="0.2">
      <c r="C1324" s="1"/>
      <c r="D1324" s="1"/>
      <c r="E1324" s="1"/>
      <c r="F1324" s="1"/>
      <c r="G1324" s="1"/>
      <c r="H1324" s="1"/>
      <c r="I1324" s="1"/>
      <c r="J1324" s="1"/>
      <c r="K1324" s="1"/>
      <c r="L1324" s="1"/>
      <c r="M1324" s="1"/>
      <c r="P1324" s="2"/>
    </row>
    <row r="1325" spans="3:16" x14ac:dyDescent="0.2">
      <c r="C1325" s="1"/>
      <c r="D1325" s="1"/>
      <c r="E1325" s="1"/>
      <c r="F1325" s="1"/>
      <c r="G1325" s="1"/>
      <c r="H1325" s="1"/>
      <c r="I1325" s="1"/>
      <c r="J1325" s="1"/>
      <c r="K1325" s="1"/>
      <c r="L1325" s="1"/>
      <c r="M1325" s="1"/>
      <c r="P1325" s="2"/>
    </row>
    <row r="1326" spans="3:16" x14ac:dyDescent="0.2">
      <c r="C1326" s="1"/>
      <c r="D1326" s="1"/>
      <c r="E1326" s="1"/>
      <c r="F1326" s="1"/>
      <c r="G1326" s="1"/>
      <c r="H1326" s="1"/>
      <c r="I1326" s="1"/>
      <c r="J1326" s="1"/>
      <c r="K1326" s="1"/>
      <c r="L1326" s="1"/>
      <c r="M1326" s="1"/>
      <c r="P1326" s="2"/>
    </row>
    <row r="1327" spans="3:16" x14ac:dyDescent="0.2">
      <c r="C1327" s="1"/>
      <c r="D1327" s="1"/>
      <c r="E1327" s="1"/>
      <c r="F1327" s="1"/>
      <c r="G1327" s="1"/>
      <c r="H1327" s="1"/>
      <c r="I1327" s="1"/>
      <c r="J1327" s="1"/>
      <c r="K1327" s="1"/>
      <c r="L1327" s="1"/>
      <c r="M1327" s="1"/>
      <c r="P1327" s="2"/>
    </row>
    <row r="1328" spans="3:16" x14ac:dyDescent="0.2">
      <c r="C1328" s="1"/>
      <c r="D1328" s="1"/>
      <c r="E1328" s="1"/>
      <c r="F1328" s="1"/>
      <c r="G1328" s="1"/>
      <c r="H1328" s="1"/>
      <c r="I1328" s="1"/>
      <c r="J1328" s="1"/>
      <c r="K1328" s="1"/>
      <c r="L1328" s="1"/>
      <c r="M1328" s="1"/>
      <c r="P1328" s="2"/>
    </row>
    <row r="1329" spans="3:16" x14ac:dyDescent="0.2">
      <c r="C1329" s="1"/>
      <c r="D1329" s="1"/>
      <c r="E1329" s="1"/>
      <c r="F1329" s="1"/>
      <c r="G1329" s="1"/>
      <c r="H1329" s="1"/>
      <c r="I1329" s="1"/>
      <c r="J1329" s="1"/>
      <c r="K1329" s="1"/>
      <c r="L1329" s="1"/>
      <c r="M1329" s="1"/>
      <c r="P1329" s="2"/>
    </row>
    <row r="1330" spans="3:16" x14ac:dyDescent="0.2">
      <c r="C1330" s="1"/>
      <c r="D1330" s="1"/>
      <c r="E1330" s="1"/>
      <c r="F1330" s="1"/>
      <c r="G1330" s="1"/>
      <c r="H1330" s="1"/>
      <c r="I1330" s="1"/>
      <c r="J1330" s="1"/>
      <c r="K1330" s="1"/>
      <c r="L1330" s="1"/>
      <c r="M1330" s="1"/>
      <c r="P1330" s="2"/>
    </row>
    <row r="1331" spans="3:16" x14ac:dyDescent="0.2">
      <c r="C1331" s="1"/>
      <c r="D1331" s="1"/>
      <c r="E1331" s="1"/>
      <c r="F1331" s="1"/>
      <c r="G1331" s="1"/>
      <c r="H1331" s="1"/>
      <c r="I1331" s="1"/>
      <c r="J1331" s="1"/>
      <c r="K1331" s="1"/>
      <c r="L1331" s="1"/>
      <c r="M1331" s="1"/>
      <c r="P1331" s="2"/>
    </row>
    <row r="1332" spans="3:16" x14ac:dyDescent="0.2">
      <c r="C1332" s="1"/>
      <c r="D1332" s="1"/>
      <c r="E1332" s="1"/>
      <c r="F1332" s="1"/>
      <c r="G1332" s="1"/>
      <c r="H1332" s="1"/>
      <c r="I1332" s="1"/>
      <c r="J1332" s="1"/>
      <c r="K1332" s="1"/>
      <c r="L1332" s="1"/>
      <c r="M1332" s="1"/>
      <c r="P1332" s="2"/>
    </row>
    <row r="1333" spans="3:16" x14ac:dyDescent="0.2">
      <c r="C1333" s="1"/>
      <c r="D1333" s="1"/>
      <c r="E1333" s="1"/>
      <c r="F1333" s="1"/>
      <c r="G1333" s="1"/>
      <c r="H1333" s="1"/>
      <c r="I1333" s="1"/>
      <c r="J1333" s="1"/>
      <c r="K1333" s="1"/>
      <c r="L1333" s="1"/>
      <c r="M1333" s="1"/>
      <c r="P1333" s="2"/>
    </row>
    <row r="1334" spans="3:16" x14ac:dyDescent="0.2">
      <c r="C1334" s="1"/>
      <c r="D1334" s="1"/>
      <c r="E1334" s="1"/>
      <c r="F1334" s="1"/>
      <c r="G1334" s="1"/>
      <c r="H1334" s="1"/>
      <c r="I1334" s="1"/>
      <c r="J1334" s="1"/>
      <c r="K1334" s="1"/>
      <c r="L1334" s="1"/>
      <c r="M1334" s="1"/>
      <c r="P1334" s="2"/>
    </row>
    <row r="1335" spans="3:16" x14ac:dyDescent="0.2">
      <c r="C1335" s="1"/>
      <c r="D1335" s="1"/>
      <c r="E1335" s="1"/>
      <c r="F1335" s="1"/>
      <c r="G1335" s="1"/>
      <c r="H1335" s="1"/>
      <c r="I1335" s="1"/>
      <c r="J1335" s="1"/>
      <c r="K1335" s="1"/>
      <c r="L1335" s="1"/>
      <c r="M1335" s="1"/>
      <c r="P1335" s="2"/>
    </row>
    <row r="1336" spans="3:16" x14ac:dyDescent="0.2">
      <c r="C1336" s="1"/>
      <c r="D1336" s="1"/>
      <c r="E1336" s="1"/>
      <c r="F1336" s="1"/>
      <c r="G1336" s="1"/>
      <c r="H1336" s="1"/>
      <c r="I1336" s="1"/>
      <c r="J1336" s="1"/>
      <c r="K1336" s="1"/>
      <c r="L1336" s="1"/>
      <c r="M1336" s="1"/>
      <c r="P1336" s="2"/>
    </row>
    <row r="1337" spans="3:16" x14ac:dyDescent="0.2">
      <c r="C1337" s="1"/>
      <c r="D1337" s="1"/>
      <c r="E1337" s="1"/>
      <c r="F1337" s="1"/>
      <c r="G1337" s="1"/>
      <c r="H1337" s="1"/>
      <c r="I1337" s="1"/>
      <c r="J1337" s="1"/>
      <c r="K1337" s="1"/>
      <c r="L1337" s="1"/>
      <c r="M1337" s="1"/>
      <c r="P1337" s="2"/>
    </row>
    <row r="1338" spans="3:16" x14ac:dyDescent="0.2">
      <c r="C1338" s="1"/>
      <c r="D1338" s="1"/>
      <c r="E1338" s="1"/>
      <c r="F1338" s="1"/>
      <c r="G1338" s="1"/>
      <c r="H1338" s="1"/>
      <c r="I1338" s="1"/>
      <c r="J1338" s="1"/>
      <c r="K1338" s="1"/>
      <c r="L1338" s="1"/>
      <c r="M1338" s="1"/>
      <c r="P1338" s="2"/>
    </row>
    <row r="1339" spans="3:16" x14ac:dyDescent="0.2">
      <c r="C1339" s="1"/>
      <c r="D1339" s="1"/>
      <c r="E1339" s="1"/>
      <c r="F1339" s="1"/>
      <c r="G1339" s="1"/>
      <c r="H1339" s="1"/>
      <c r="I1339" s="1"/>
      <c r="J1339" s="1"/>
      <c r="K1339" s="1"/>
      <c r="L1339" s="1"/>
      <c r="M1339" s="1"/>
      <c r="P1339" s="2"/>
    </row>
    <row r="1340" spans="3:16" x14ac:dyDescent="0.2">
      <c r="C1340" s="1"/>
      <c r="D1340" s="1"/>
      <c r="E1340" s="1"/>
      <c r="F1340" s="1"/>
      <c r="G1340" s="1"/>
      <c r="H1340" s="1"/>
      <c r="I1340" s="1"/>
      <c r="J1340" s="1"/>
      <c r="K1340" s="1"/>
      <c r="L1340" s="1"/>
      <c r="M1340" s="1"/>
      <c r="P1340" s="2"/>
    </row>
    <row r="1341" spans="3:16" x14ac:dyDescent="0.2">
      <c r="C1341" s="1"/>
      <c r="D1341" s="1"/>
      <c r="E1341" s="1"/>
      <c r="F1341" s="1"/>
      <c r="G1341" s="1"/>
      <c r="H1341" s="1"/>
      <c r="I1341" s="1"/>
      <c r="J1341" s="1"/>
      <c r="K1341" s="1"/>
      <c r="L1341" s="1"/>
      <c r="M1341" s="1"/>
      <c r="P1341" s="2"/>
    </row>
    <row r="1342" spans="3:16" x14ac:dyDescent="0.2">
      <c r="C1342" s="1"/>
      <c r="D1342" s="1"/>
      <c r="E1342" s="1"/>
      <c r="F1342" s="1"/>
      <c r="G1342" s="1"/>
      <c r="H1342" s="1"/>
      <c r="I1342" s="1"/>
      <c r="J1342" s="1"/>
      <c r="K1342" s="1"/>
      <c r="L1342" s="1"/>
      <c r="M1342" s="1"/>
      <c r="P1342" s="2"/>
    </row>
    <row r="1343" spans="3:16" x14ac:dyDescent="0.2">
      <c r="C1343" s="1"/>
      <c r="D1343" s="1"/>
      <c r="E1343" s="1"/>
      <c r="F1343" s="1"/>
      <c r="G1343" s="1"/>
      <c r="H1343" s="1"/>
      <c r="I1343" s="1"/>
      <c r="J1343" s="1"/>
      <c r="K1343" s="1"/>
      <c r="L1343" s="1"/>
      <c r="M1343" s="1"/>
      <c r="P1343" s="2"/>
    </row>
    <row r="1344" spans="3:16" x14ac:dyDescent="0.2">
      <c r="C1344" s="1"/>
      <c r="D1344" s="1"/>
      <c r="E1344" s="1"/>
      <c r="F1344" s="1"/>
      <c r="G1344" s="1"/>
      <c r="H1344" s="1"/>
      <c r="I1344" s="1"/>
      <c r="J1344" s="1"/>
      <c r="K1344" s="1"/>
      <c r="L1344" s="1"/>
      <c r="M1344" s="1"/>
      <c r="P1344" s="2"/>
    </row>
    <row r="1345" spans="3:16" x14ac:dyDescent="0.2">
      <c r="C1345" s="1"/>
      <c r="D1345" s="1"/>
      <c r="E1345" s="1"/>
      <c r="F1345" s="1"/>
      <c r="G1345" s="1"/>
      <c r="H1345" s="1"/>
      <c r="I1345" s="1"/>
      <c r="J1345" s="1"/>
      <c r="K1345" s="1"/>
      <c r="L1345" s="1"/>
      <c r="M1345" s="1"/>
      <c r="P1345" s="2"/>
    </row>
    <row r="1346" spans="3:16" x14ac:dyDescent="0.2">
      <c r="C1346" s="1"/>
      <c r="D1346" s="1"/>
      <c r="E1346" s="1"/>
      <c r="F1346" s="1"/>
      <c r="G1346" s="1"/>
      <c r="H1346" s="1"/>
      <c r="I1346" s="1"/>
      <c r="J1346" s="1"/>
      <c r="K1346" s="1"/>
      <c r="L1346" s="1"/>
      <c r="M1346" s="1"/>
      <c r="P1346" s="2"/>
    </row>
    <row r="1347" spans="3:16" x14ac:dyDescent="0.2">
      <c r="C1347" s="1"/>
      <c r="D1347" s="1"/>
      <c r="E1347" s="1"/>
      <c r="F1347" s="1"/>
      <c r="G1347" s="1"/>
      <c r="H1347" s="1"/>
      <c r="I1347" s="1"/>
      <c r="J1347" s="1"/>
      <c r="K1347" s="1"/>
      <c r="L1347" s="1"/>
      <c r="M1347" s="1"/>
      <c r="P1347" s="2"/>
    </row>
    <row r="1348" spans="3:16" x14ac:dyDescent="0.2">
      <c r="C1348" s="1"/>
      <c r="D1348" s="1"/>
      <c r="E1348" s="1"/>
      <c r="F1348" s="1"/>
      <c r="G1348" s="1"/>
      <c r="H1348" s="1"/>
      <c r="I1348" s="1"/>
      <c r="J1348" s="1"/>
      <c r="K1348" s="1"/>
      <c r="L1348" s="1"/>
      <c r="M1348" s="1"/>
      <c r="P1348" s="2"/>
    </row>
    <row r="1349" spans="3:16" x14ac:dyDescent="0.2">
      <c r="C1349" s="1"/>
      <c r="D1349" s="1"/>
      <c r="E1349" s="1"/>
      <c r="F1349" s="1"/>
      <c r="G1349" s="1"/>
      <c r="H1349" s="1"/>
      <c r="I1349" s="1"/>
      <c r="J1349" s="1"/>
      <c r="K1349" s="1"/>
      <c r="L1349" s="1"/>
      <c r="M1349" s="1"/>
      <c r="P1349" s="2"/>
    </row>
    <row r="1350" spans="3:16" x14ac:dyDescent="0.2">
      <c r="C1350" s="1"/>
      <c r="D1350" s="1"/>
      <c r="E1350" s="1"/>
      <c r="F1350" s="1"/>
      <c r="G1350" s="1"/>
      <c r="H1350" s="1"/>
      <c r="I1350" s="1"/>
      <c r="J1350" s="1"/>
      <c r="K1350" s="1"/>
      <c r="L1350" s="1"/>
      <c r="M1350" s="1"/>
      <c r="P1350" s="2"/>
    </row>
    <row r="1351" spans="3:16" x14ac:dyDescent="0.2">
      <c r="C1351" s="1"/>
      <c r="D1351" s="1"/>
      <c r="E1351" s="1"/>
      <c r="F1351" s="1"/>
      <c r="G1351" s="1"/>
      <c r="H1351" s="1"/>
      <c r="I1351" s="1"/>
      <c r="J1351" s="1"/>
      <c r="K1351" s="1"/>
      <c r="L1351" s="1"/>
      <c r="M1351" s="1"/>
      <c r="P1351" s="2"/>
    </row>
    <row r="1352" spans="3:16" x14ac:dyDescent="0.2">
      <c r="C1352" s="1"/>
      <c r="D1352" s="1"/>
      <c r="E1352" s="1"/>
      <c r="F1352" s="1"/>
      <c r="G1352" s="1"/>
      <c r="H1352" s="1"/>
      <c r="I1352" s="1"/>
      <c r="J1352" s="1"/>
      <c r="K1352" s="1"/>
      <c r="L1352" s="1"/>
      <c r="M1352" s="1"/>
      <c r="P1352" s="2"/>
    </row>
    <row r="1353" spans="3:16" x14ac:dyDescent="0.2">
      <c r="C1353" s="1"/>
      <c r="D1353" s="1"/>
      <c r="E1353" s="1"/>
      <c r="F1353" s="1"/>
      <c r="G1353" s="1"/>
      <c r="H1353" s="1"/>
      <c r="I1353" s="1"/>
      <c r="J1353" s="1"/>
      <c r="K1353" s="1"/>
      <c r="L1353" s="1"/>
      <c r="M1353" s="1"/>
      <c r="P1353" s="2"/>
    </row>
    <row r="1354" spans="3:16" x14ac:dyDescent="0.2">
      <c r="C1354" s="1"/>
      <c r="D1354" s="1"/>
      <c r="E1354" s="1"/>
      <c r="F1354" s="1"/>
      <c r="G1354" s="1"/>
      <c r="H1354" s="1"/>
      <c r="I1354" s="1"/>
      <c r="J1354" s="1"/>
      <c r="K1354" s="1"/>
      <c r="L1354" s="1"/>
      <c r="M1354" s="1"/>
      <c r="P1354" s="2"/>
    </row>
    <row r="1355" spans="3:16" x14ac:dyDescent="0.2">
      <c r="C1355" s="1"/>
      <c r="D1355" s="1"/>
      <c r="E1355" s="1"/>
      <c r="F1355" s="1"/>
      <c r="G1355" s="1"/>
      <c r="H1355" s="1"/>
      <c r="I1355" s="1"/>
      <c r="J1355" s="1"/>
      <c r="K1355" s="1"/>
      <c r="L1355" s="1"/>
      <c r="M1355" s="1"/>
      <c r="P1355" s="2"/>
    </row>
    <row r="1356" spans="3:16" x14ac:dyDescent="0.2">
      <c r="C1356" s="1"/>
      <c r="D1356" s="1"/>
      <c r="E1356" s="1"/>
      <c r="F1356" s="1"/>
      <c r="G1356" s="1"/>
      <c r="H1356" s="1"/>
      <c r="I1356" s="1"/>
      <c r="J1356" s="1"/>
      <c r="K1356" s="1"/>
      <c r="L1356" s="1"/>
      <c r="M1356" s="1"/>
      <c r="P1356" s="2"/>
    </row>
    <row r="1357" spans="3:16" x14ac:dyDescent="0.2">
      <c r="C1357" s="1"/>
      <c r="D1357" s="1"/>
      <c r="E1357" s="1"/>
      <c r="F1357" s="1"/>
      <c r="G1357" s="1"/>
      <c r="H1357" s="1"/>
      <c r="I1357" s="1"/>
      <c r="J1357" s="1"/>
      <c r="K1357" s="1"/>
      <c r="L1357" s="1"/>
      <c r="M1357" s="1"/>
      <c r="P1357" s="2"/>
    </row>
    <row r="1358" spans="3:16" x14ac:dyDescent="0.2">
      <c r="C1358" s="1"/>
      <c r="D1358" s="1"/>
      <c r="E1358" s="1"/>
      <c r="F1358" s="1"/>
      <c r="G1358" s="1"/>
      <c r="H1358" s="1"/>
      <c r="I1358" s="1"/>
      <c r="J1358" s="1"/>
      <c r="K1358" s="1"/>
      <c r="L1358" s="1"/>
      <c r="M1358" s="1"/>
      <c r="P1358" s="2"/>
    </row>
    <row r="1359" spans="3:16" x14ac:dyDescent="0.2">
      <c r="C1359" s="1"/>
      <c r="D1359" s="1"/>
      <c r="E1359" s="1"/>
      <c r="F1359" s="1"/>
      <c r="G1359" s="1"/>
      <c r="H1359" s="1"/>
      <c r="I1359" s="1"/>
      <c r="J1359" s="1"/>
      <c r="K1359" s="1"/>
      <c r="L1359" s="1"/>
      <c r="M1359" s="1"/>
      <c r="P1359" s="2"/>
    </row>
    <row r="1360" spans="3:16" x14ac:dyDescent="0.2">
      <c r="C1360" s="1"/>
      <c r="D1360" s="1"/>
      <c r="E1360" s="1"/>
      <c r="F1360" s="1"/>
      <c r="G1360" s="1"/>
      <c r="H1360" s="1"/>
      <c r="I1360" s="1"/>
      <c r="J1360" s="1"/>
      <c r="K1360" s="1"/>
      <c r="L1360" s="1"/>
      <c r="M1360" s="1"/>
      <c r="P1360" s="2"/>
    </row>
    <row r="1361" spans="3:16" x14ac:dyDescent="0.2">
      <c r="C1361" s="1"/>
      <c r="D1361" s="1"/>
      <c r="E1361" s="1"/>
      <c r="F1361" s="1"/>
      <c r="G1361" s="1"/>
      <c r="H1361" s="1"/>
      <c r="I1361" s="1"/>
      <c r="J1361" s="1"/>
      <c r="K1361" s="1"/>
      <c r="L1361" s="1"/>
      <c r="M1361" s="1"/>
      <c r="P1361" s="2"/>
    </row>
    <row r="1362" spans="3:16" x14ac:dyDescent="0.2">
      <c r="C1362" s="1"/>
      <c r="D1362" s="1"/>
      <c r="E1362" s="1"/>
      <c r="F1362" s="1"/>
      <c r="G1362" s="1"/>
      <c r="H1362" s="1"/>
      <c r="I1362" s="1"/>
      <c r="J1362" s="1"/>
      <c r="K1362" s="1"/>
      <c r="L1362" s="1"/>
      <c r="M1362" s="1"/>
      <c r="P1362" s="2"/>
    </row>
    <row r="1363" spans="3:16" x14ac:dyDescent="0.2">
      <c r="C1363" s="1"/>
      <c r="D1363" s="1"/>
      <c r="E1363" s="1"/>
      <c r="F1363" s="1"/>
      <c r="G1363" s="1"/>
      <c r="H1363" s="1"/>
      <c r="I1363" s="1"/>
      <c r="J1363" s="1"/>
      <c r="K1363" s="1"/>
      <c r="L1363" s="1"/>
      <c r="M1363" s="1"/>
      <c r="P1363" s="2"/>
    </row>
    <row r="1364" spans="3:16" x14ac:dyDescent="0.2">
      <c r="C1364" s="1"/>
      <c r="D1364" s="1"/>
      <c r="E1364" s="1"/>
      <c r="F1364" s="1"/>
      <c r="G1364" s="1"/>
      <c r="H1364" s="1"/>
      <c r="I1364" s="1"/>
      <c r="J1364" s="1"/>
      <c r="K1364" s="1"/>
      <c r="L1364" s="1"/>
      <c r="M1364" s="1"/>
      <c r="P1364" s="2"/>
    </row>
    <row r="1365" spans="3:16" x14ac:dyDescent="0.2">
      <c r="C1365" s="1"/>
      <c r="D1365" s="1"/>
      <c r="E1365" s="1"/>
      <c r="F1365" s="1"/>
      <c r="G1365" s="1"/>
      <c r="H1365" s="1"/>
      <c r="I1365" s="1"/>
      <c r="J1365" s="1"/>
      <c r="K1365" s="1"/>
      <c r="L1365" s="1"/>
      <c r="M1365" s="1"/>
      <c r="P1365" s="2"/>
    </row>
    <row r="1366" spans="3:16" x14ac:dyDescent="0.2">
      <c r="C1366" s="1"/>
      <c r="D1366" s="1"/>
      <c r="E1366" s="1"/>
      <c r="F1366" s="1"/>
      <c r="G1366" s="1"/>
      <c r="H1366" s="1"/>
      <c r="I1366" s="1"/>
      <c r="J1366" s="1"/>
      <c r="K1366" s="1"/>
      <c r="L1366" s="1"/>
      <c r="M1366" s="1"/>
      <c r="P1366" s="2"/>
    </row>
    <row r="1367" spans="3:16" x14ac:dyDescent="0.2">
      <c r="C1367" s="1"/>
      <c r="D1367" s="1"/>
      <c r="E1367" s="1"/>
      <c r="F1367" s="1"/>
      <c r="G1367" s="1"/>
      <c r="H1367" s="1"/>
      <c r="I1367" s="1"/>
      <c r="J1367" s="1"/>
      <c r="K1367" s="1"/>
      <c r="L1367" s="1"/>
      <c r="M1367" s="1"/>
      <c r="P1367" s="2"/>
    </row>
    <row r="1368" spans="3:16" x14ac:dyDescent="0.2">
      <c r="C1368" s="1"/>
      <c r="D1368" s="1"/>
      <c r="E1368" s="1"/>
      <c r="F1368" s="1"/>
      <c r="G1368" s="1"/>
      <c r="H1368" s="1"/>
      <c r="I1368" s="1"/>
      <c r="J1368" s="1"/>
      <c r="K1368" s="1"/>
      <c r="L1368" s="1"/>
      <c r="M1368" s="1"/>
      <c r="P1368" s="2"/>
    </row>
    <row r="1369" spans="3:16" x14ac:dyDescent="0.2">
      <c r="C1369" s="1"/>
      <c r="D1369" s="1"/>
      <c r="E1369" s="1"/>
      <c r="F1369" s="1"/>
      <c r="G1369" s="1"/>
      <c r="H1369" s="1"/>
      <c r="I1369" s="1"/>
      <c r="J1369" s="1"/>
      <c r="K1369" s="1"/>
      <c r="L1369" s="1"/>
      <c r="M1369" s="1"/>
      <c r="P1369" s="2"/>
    </row>
    <row r="1370" spans="3:16" x14ac:dyDescent="0.2">
      <c r="C1370" s="1"/>
      <c r="D1370" s="1"/>
      <c r="E1370" s="1"/>
      <c r="F1370" s="1"/>
      <c r="G1370" s="1"/>
      <c r="H1370" s="1"/>
      <c r="I1370" s="1"/>
      <c r="J1370" s="1"/>
      <c r="K1370" s="1"/>
      <c r="L1370" s="1"/>
      <c r="M1370" s="1"/>
      <c r="P1370" s="2"/>
    </row>
    <row r="1371" spans="3:16" x14ac:dyDescent="0.2">
      <c r="C1371" s="1"/>
      <c r="D1371" s="1"/>
      <c r="E1371" s="1"/>
      <c r="F1371" s="1"/>
      <c r="G1371" s="1"/>
      <c r="H1371" s="1"/>
      <c r="I1371" s="1"/>
      <c r="J1371" s="1"/>
      <c r="K1371" s="1"/>
      <c r="L1371" s="1"/>
      <c r="M1371" s="1"/>
      <c r="P1371" s="2"/>
    </row>
    <row r="1372" spans="3:16" x14ac:dyDescent="0.2">
      <c r="C1372" s="1"/>
      <c r="D1372" s="1"/>
      <c r="E1372" s="1"/>
      <c r="F1372" s="1"/>
      <c r="G1372" s="1"/>
      <c r="H1372" s="1"/>
      <c r="I1372" s="1"/>
      <c r="J1372" s="1"/>
      <c r="K1372" s="1"/>
      <c r="L1372" s="1"/>
      <c r="M1372" s="1"/>
      <c r="P1372" s="2"/>
    </row>
    <row r="1373" spans="3:16" x14ac:dyDescent="0.2">
      <c r="C1373" s="1"/>
      <c r="D1373" s="1"/>
      <c r="E1373" s="1"/>
      <c r="F1373" s="1"/>
      <c r="G1373" s="1"/>
      <c r="H1373" s="1"/>
      <c r="I1373" s="1"/>
      <c r="J1373" s="1"/>
      <c r="K1373" s="1"/>
      <c r="L1373" s="1"/>
      <c r="M1373" s="1"/>
      <c r="P1373" s="2"/>
    </row>
    <row r="1374" spans="3:16" x14ac:dyDescent="0.2">
      <c r="C1374" s="1"/>
      <c r="D1374" s="1"/>
      <c r="E1374" s="1"/>
      <c r="F1374" s="1"/>
      <c r="G1374" s="1"/>
      <c r="H1374" s="1"/>
      <c r="I1374" s="1"/>
      <c r="J1374" s="1"/>
      <c r="K1374" s="1"/>
      <c r="L1374" s="1"/>
      <c r="M1374" s="1"/>
      <c r="P1374" s="2"/>
    </row>
    <row r="1375" spans="3:16" x14ac:dyDescent="0.2">
      <c r="C1375" s="1"/>
      <c r="D1375" s="1"/>
      <c r="E1375" s="1"/>
      <c r="F1375" s="1"/>
      <c r="G1375" s="1"/>
      <c r="H1375" s="1"/>
      <c r="I1375" s="1"/>
      <c r="J1375" s="1"/>
      <c r="K1375" s="1"/>
      <c r="L1375" s="1"/>
      <c r="M1375" s="1"/>
      <c r="P1375" s="2"/>
    </row>
    <row r="1376" spans="3:16" x14ac:dyDescent="0.2">
      <c r="C1376" s="1"/>
      <c r="D1376" s="1"/>
      <c r="E1376" s="1"/>
      <c r="F1376" s="1"/>
      <c r="G1376" s="1"/>
      <c r="H1376" s="1"/>
      <c r="I1376" s="1"/>
      <c r="J1376" s="1"/>
      <c r="K1376" s="1"/>
      <c r="L1376" s="1"/>
      <c r="M1376" s="1"/>
      <c r="P1376" s="2"/>
    </row>
    <row r="1377" spans="3:16" x14ac:dyDescent="0.2">
      <c r="C1377" s="1"/>
      <c r="D1377" s="1"/>
      <c r="E1377" s="1"/>
      <c r="F1377" s="1"/>
      <c r="G1377" s="1"/>
      <c r="H1377" s="1"/>
      <c r="I1377" s="1"/>
      <c r="J1377" s="1"/>
      <c r="K1377" s="1"/>
      <c r="L1377" s="1"/>
      <c r="M1377" s="1"/>
      <c r="P1377" s="2"/>
    </row>
    <row r="1378" spans="3:16" x14ac:dyDescent="0.2">
      <c r="C1378" s="1"/>
      <c r="D1378" s="1"/>
      <c r="E1378" s="1"/>
      <c r="F1378" s="1"/>
      <c r="G1378" s="1"/>
      <c r="H1378" s="1"/>
      <c r="I1378" s="1"/>
      <c r="J1378" s="1"/>
      <c r="K1378" s="1"/>
      <c r="L1378" s="1"/>
      <c r="M1378" s="1"/>
      <c r="P1378" s="2"/>
    </row>
    <row r="1379" spans="3:16" x14ac:dyDescent="0.2">
      <c r="C1379" s="1"/>
      <c r="D1379" s="1"/>
      <c r="E1379" s="1"/>
      <c r="F1379" s="1"/>
      <c r="G1379" s="1"/>
      <c r="H1379" s="1"/>
      <c r="I1379" s="1"/>
      <c r="J1379" s="1"/>
      <c r="K1379" s="1"/>
      <c r="L1379" s="1"/>
      <c r="M1379" s="1"/>
      <c r="P1379" s="2"/>
    </row>
    <row r="1380" spans="3:16" x14ac:dyDescent="0.2">
      <c r="C1380" s="1"/>
      <c r="D1380" s="1"/>
      <c r="E1380" s="1"/>
      <c r="F1380" s="1"/>
      <c r="G1380" s="1"/>
      <c r="H1380" s="1"/>
      <c r="I1380" s="1"/>
      <c r="J1380" s="1"/>
      <c r="K1380" s="1"/>
      <c r="L1380" s="1"/>
      <c r="M1380" s="1"/>
      <c r="P1380" s="2"/>
    </row>
    <row r="1381" spans="3:16" x14ac:dyDescent="0.2">
      <c r="C1381" s="1"/>
      <c r="D1381" s="1"/>
      <c r="E1381" s="1"/>
      <c r="F1381" s="1"/>
      <c r="G1381" s="1"/>
      <c r="H1381" s="1"/>
      <c r="I1381" s="1"/>
      <c r="J1381" s="1"/>
      <c r="K1381" s="1"/>
      <c r="L1381" s="1"/>
      <c r="M1381" s="1"/>
      <c r="P1381" s="2"/>
    </row>
    <row r="1382" spans="3:16" x14ac:dyDescent="0.2">
      <c r="C1382" s="1"/>
      <c r="D1382" s="1"/>
      <c r="E1382" s="1"/>
      <c r="F1382" s="1"/>
      <c r="G1382" s="1"/>
      <c r="H1382" s="1"/>
      <c r="I1382" s="1"/>
      <c r="J1382" s="1"/>
      <c r="K1382" s="1"/>
      <c r="L1382" s="1"/>
      <c r="M1382" s="1"/>
      <c r="P1382" s="2"/>
    </row>
    <row r="1383" spans="3:16" x14ac:dyDescent="0.2">
      <c r="C1383" s="1"/>
      <c r="D1383" s="1"/>
      <c r="E1383" s="1"/>
      <c r="F1383" s="1"/>
      <c r="G1383" s="1"/>
      <c r="H1383" s="1"/>
      <c r="I1383" s="1"/>
      <c r="J1383" s="1"/>
      <c r="K1383" s="1"/>
      <c r="L1383" s="1"/>
      <c r="M1383" s="1"/>
      <c r="P1383" s="2"/>
    </row>
    <row r="1384" spans="3:16" x14ac:dyDescent="0.2">
      <c r="C1384" s="1"/>
      <c r="D1384" s="1"/>
      <c r="E1384" s="1"/>
      <c r="F1384" s="1"/>
      <c r="G1384" s="1"/>
      <c r="H1384" s="1"/>
      <c r="I1384" s="1"/>
      <c r="J1384" s="1"/>
      <c r="K1384" s="1"/>
      <c r="L1384" s="1"/>
      <c r="M1384" s="1"/>
      <c r="P1384" s="2"/>
    </row>
    <row r="1385" spans="3:16" x14ac:dyDescent="0.2">
      <c r="C1385" s="1"/>
      <c r="D1385" s="1"/>
      <c r="E1385" s="1"/>
      <c r="F1385" s="1"/>
      <c r="G1385" s="1"/>
      <c r="H1385" s="1"/>
      <c r="I1385" s="1"/>
      <c r="J1385" s="1"/>
      <c r="K1385" s="1"/>
      <c r="L1385" s="1"/>
      <c r="M1385" s="1"/>
      <c r="P1385" s="2"/>
    </row>
    <row r="1386" spans="3:16" x14ac:dyDescent="0.2">
      <c r="C1386" s="1"/>
      <c r="D1386" s="1"/>
      <c r="E1386" s="1"/>
      <c r="F1386" s="1"/>
      <c r="G1386" s="1"/>
      <c r="H1386" s="1"/>
      <c r="I1386" s="1"/>
      <c r="J1386" s="1"/>
      <c r="K1386" s="1"/>
      <c r="L1386" s="1"/>
      <c r="M1386" s="1"/>
      <c r="P1386" s="2"/>
    </row>
    <row r="1387" spans="3:16" x14ac:dyDescent="0.2">
      <c r="C1387" s="1"/>
      <c r="D1387" s="1"/>
      <c r="E1387" s="1"/>
      <c r="F1387" s="1"/>
      <c r="G1387" s="1"/>
      <c r="H1387" s="1"/>
      <c r="I1387" s="1"/>
      <c r="J1387" s="1"/>
      <c r="K1387" s="1"/>
      <c r="L1387" s="1"/>
      <c r="M1387" s="1"/>
      <c r="P1387" s="2"/>
    </row>
    <row r="1388" spans="3:16" x14ac:dyDescent="0.2">
      <c r="C1388" s="1"/>
      <c r="D1388" s="1"/>
      <c r="E1388" s="1"/>
      <c r="F1388" s="1"/>
      <c r="G1388" s="1"/>
      <c r="H1388" s="1"/>
      <c r="I1388" s="1"/>
      <c r="J1388" s="1"/>
      <c r="K1388" s="1"/>
      <c r="L1388" s="1"/>
      <c r="M1388" s="1"/>
      <c r="P1388" s="2"/>
    </row>
    <row r="1389" spans="3:16" x14ac:dyDescent="0.2">
      <c r="C1389" s="1"/>
      <c r="D1389" s="1"/>
      <c r="E1389" s="1"/>
      <c r="F1389" s="1"/>
      <c r="G1389" s="1"/>
      <c r="H1389" s="1"/>
      <c r="I1389" s="1"/>
      <c r="J1389" s="1"/>
      <c r="K1389" s="1"/>
      <c r="L1389" s="1"/>
      <c r="M1389" s="1"/>
      <c r="P1389" s="2"/>
    </row>
    <row r="1390" spans="3:16" x14ac:dyDescent="0.2">
      <c r="C1390" s="1"/>
      <c r="D1390" s="1"/>
      <c r="E1390" s="1"/>
      <c r="F1390" s="1"/>
      <c r="G1390" s="1"/>
      <c r="H1390" s="1"/>
      <c r="I1390" s="1"/>
      <c r="J1390" s="1"/>
      <c r="K1390" s="1"/>
      <c r="L1390" s="1"/>
      <c r="M1390" s="1"/>
      <c r="P1390" s="2"/>
    </row>
    <row r="1391" spans="3:16" x14ac:dyDescent="0.2">
      <c r="C1391" s="1"/>
      <c r="D1391" s="1"/>
      <c r="E1391" s="1"/>
      <c r="F1391" s="1"/>
      <c r="G1391" s="1"/>
      <c r="H1391" s="1"/>
      <c r="I1391" s="1"/>
      <c r="J1391" s="1"/>
      <c r="K1391" s="1"/>
      <c r="L1391" s="1"/>
      <c r="M1391" s="1"/>
      <c r="P1391" s="2"/>
    </row>
    <row r="1392" spans="3:16" x14ac:dyDescent="0.2">
      <c r="C1392" s="1"/>
      <c r="D1392" s="1"/>
      <c r="E1392" s="1"/>
      <c r="F1392" s="1"/>
      <c r="G1392" s="1"/>
      <c r="H1392" s="1"/>
      <c r="I1392" s="1"/>
      <c r="J1392" s="1"/>
      <c r="K1392" s="1"/>
      <c r="L1392" s="1"/>
      <c r="M1392" s="1"/>
      <c r="P1392" s="2"/>
    </row>
    <row r="1393" spans="3:16" x14ac:dyDescent="0.2">
      <c r="C1393" s="1"/>
      <c r="D1393" s="1"/>
      <c r="E1393" s="1"/>
      <c r="F1393" s="1"/>
      <c r="G1393" s="1"/>
      <c r="H1393" s="1"/>
      <c r="I1393" s="1"/>
      <c r="J1393" s="1"/>
      <c r="K1393" s="1"/>
      <c r="L1393" s="1"/>
      <c r="M1393" s="1"/>
      <c r="P1393" s="2"/>
    </row>
    <row r="1394" spans="3:16" x14ac:dyDescent="0.2">
      <c r="C1394" s="1"/>
      <c r="D1394" s="1"/>
      <c r="E1394" s="1"/>
      <c r="F1394" s="1"/>
      <c r="G1394" s="1"/>
      <c r="H1394" s="1"/>
      <c r="I1394" s="1"/>
      <c r="J1394" s="1"/>
      <c r="K1394" s="1"/>
      <c r="L1394" s="1"/>
      <c r="M1394" s="1"/>
      <c r="P1394" s="2"/>
    </row>
    <row r="1395" spans="3:16" x14ac:dyDescent="0.2">
      <c r="C1395" s="1"/>
      <c r="D1395" s="1"/>
      <c r="E1395" s="1"/>
      <c r="F1395" s="1"/>
      <c r="G1395" s="1"/>
      <c r="H1395" s="1"/>
      <c r="I1395" s="1"/>
      <c r="J1395" s="1"/>
      <c r="K1395" s="1"/>
      <c r="L1395" s="1"/>
      <c r="M1395" s="1"/>
      <c r="P1395" s="2"/>
    </row>
    <row r="1396" spans="3:16" x14ac:dyDescent="0.2">
      <c r="C1396" s="1"/>
      <c r="D1396" s="1"/>
      <c r="E1396" s="1"/>
      <c r="F1396" s="1"/>
      <c r="G1396" s="1"/>
      <c r="H1396" s="1"/>
      <c r="I1396" s="1"/>
      <c r="J1396" s="1"/>
      <c r="K1396" s="1"/>
      <c r="L1396" s="1"/>
      <c r="M1396" s="1"/>
      <c r="P1396" s="2"/>
    </row>
    <row r="1397" spans="3:16" x14ac:dyDescent="0.2">
      <c r="C1397" s="1"/>
      <c r="D1397" s="1"/>
      <c r="E1397" s="1"/>
      <c r="F1397" s="1"/>
      <c r="G1397" s="1"/>
      <c r="H1397" s="1"/>
      <c r="I1397" s="1"/>
      <c r="J1397" s="1"/>
      <c r="K1397" s="1"/>
      <c r="L1397" s="1"/>
      <c r="M1397" s="1"/>
      <c r="P1397" s="2"/>
    </row>
    <row r="1398" spans="3:16" x14ac:dyDescent="0.2">
      <c r="C1398" s="1"/>
      <c r="D1398" s="1"/>
      <c r="E1398" s="1"/>
      <c r="F1398" s="1"/>
      <c r="G1398" s="1"/>
      <c r="H1398" s="1"/>
      <c r="I1398" s="1"/>
      <c r="J1398" s="1"/>
      <c r="K1398" s="1"/>
      <c r="L1398" s="1"/>
      <c r="M1398" s="1"/>
      <c r="P1398" s="2"/>
    </row>
    <row r="1399" spans="3:16" x14ac:dyDescent="0.2">
      <c r="C1399" s="1"/>
      <c r="D1399" s="1"/>
      <c r="E1399" s="1"/>
      <c r="F1399" s="1"/>
      <c r="G1399" s="1"/>
      <c r="H1399" s="1"/>
      <c r="I1399" s="1"/>
      <c r="J1399" s="1"/>
      <c r="K1399" s="1"/>
      <c r="L1399" s="1"/>
      <c r="M1399" s="1"/>
      <c r="P1399" s="2"/>
    </row>
    <row r="1400" spans="3:16" x14ac:dyDescent="0.2">
      <c r="C1400" s="1"/>
      <c r="D1400" s="1"/>
      <c r="E1400" s="1"/>
      <c r="F1400" s="1"/>
      <c r="G1400" s="1"/>
      <c r="H1400" s="1"/>
      <c r="I1400" s="1"/>
      <c r="J1400" s="1"/>
      <c r="K1400" s="1"/>
      <c r="L1400" s="1"/>
      <c r="M1400" s="1"/>
      <c r="P1400" s="2"/>
    </row>
    <row r="1401" spans="3:16" x14ac:dyDescent="0.2">
      <c r="C1401" s="1"/>
      <c r="D1401" s="1"/>
      <c r="E1401" s="1"/>
      <c r="F1401" s="1"/>
      <c r="G1401" s="1"/>
      <c r="H1401" s="1"/>
      <c r="I1401" s="1"/>
      <c r="J1401" s="1"/>
      <c r="K1401" s="1"/>
      <c r="L1401" s="1"/>
      <c r="M1401" s="1"/>
      <c r="P1401" s="2"/>
    </row>
    <row r="1402" spans="3:16" x14ac:dyDescent="0.2">
      <c r="C1402" s="1"/>
      <c r="D1402" s="1"/>
      <c r="E1402" s="1"/>
      <c r="F1402" s="1"/>
      <c r="G1402" s="1"/>
      <c r="H1402" s="1"/>
      <c r="I1402" s="1"/>
      <c r="J1402" s="1"/>
      <c r="K1402" s="1"/>
      <c r="L1402" s="1"/>
      <c r="M1402" s="1"/>
      <c r="P1402" s="2"/>
    </row>
    <row r="1403" spans="3:16" x14ac:dyDescent="0.2">
      <c r="C1403" s="1"/>
      <c r="D1403" s="1"/>
      <c r="E1403" s="1"/>
      <c r="F1403" s="1"/>
      <c r="G1403" s="1"/>
      <c r="H1403" s="1"/>
      <c r="I1403" s="1"/>
      <c r="J1403" s="1"/>
      <c r="K1403" s="1"/>
      <c r="L1403" s="1"/>
      <c r="M1403" s="1"/>
      <c r="P1403" s="2"/>
    </row>
    <row r="1404" spans="3:16" x14ac:dyDescent="0.2">
      <c r="C1404" s="1"/>
      <c r="D1404" s="1"/>
      <c r="E1404" s="1"/>
      <c r="F1404" s="1"/>
      <c r="G1404" s="1"/>
      <c r="H1404" s="1"/>
      <c r="I1404" s="1"/>
      <c r="J1404" s="1"/>
      <c r="K1404" s="1"/>
      <c r="L1404" s="1"/>
      <c r="M1404" s="1"/>
      <c r="P1404" s="2"/>
    </row>
    <row r="1405" spans="3:16" x14ac:dyDescent="0.2">
      <c r="C1405" s="1"/>
      <c r="D1405" s="1"/>
      <c r="E1405" s="1"/>
      <c r="F1405" s="1"/>
      <c r="G1405" s="1"/>
      <c r="H1405" s="1"/>
      <c r="I1405" s="1"/>
      <c r="J1405" s="1"/>
      <c r="K1405" s="1"/>
      <c r="L1405" s="1"/>
      <c r="M1405" s="1"/>
      <c r="P1405" s="2"/>
    </row>
    <row r="1406" spans="3:16" x14ac:dyDescent="0.2">
      <c r="C1406" s="1"/>
      <c r="D1406" s="1"/>
      <c r="E1406" s="1"/>
      <c r="F1406" s="1"/>
      <c r="G1406" s="1"/>
      <c r="H1406" s="1"/>
      <c r="I1406" s="1"/>
      <c r="J1406" s="1"/>
      <c r="K1406" s="1"/>
      <c r="L1406" s="1"/>
      <c r="M1406" s="1"/>
      <c r="P1406" s="2"/>
    </row>
    <row r="1407" spans="3:16" x14ac:dyDescent="0.2">
      <c r="C1407" s="1"/>
      <c r="D1407" s="1"/>
      <c r="E1407" s="1"/>
      <c r="F1407" s="1"/>
      <c r="G1407" s="1"/>
      <c r="H1407" s="1"/>
      <c r="I1407" s="1"/>
      <c r="J1407" s="1"/>
      <c r="K1407" s="1"/>
      <c r="L1407" s="1"/>
      <c r="M1407" s="1"/>
      <c r="P1407" s="2"/>
    </row>
    <row r="1408" spans="3:16" x14ac:dyDescent="0.2">
      <c r="C1408" s="1"/>
      <c r="D1408" s="1"/>
      <c r="E1408" s="1"/>
      <c r="F1408" s="1"/>
      <c r="G1408" s="1"/>
      <c r="H1408" s="1"/>
      <c r="I1408" s="1"/>
      <c r="J1408" s="1"/>
      <c r="K1408" s="1"/>
      <c r="L1408" s="1"/>
      <c r="M1408" s="1"/>
      <c r="P1408" s="2"/>
    </row>
    <row r="1409" spans="3:16" x14ac:dyDescent="0.2">
      <c r="C1409" s="1"/>
      <c r="D1409" s="1"/>
      <c r="E1409" s="1"/>
      <c r="F1409" s="1"/>
      <c r="G1409" s="1"/>
      <c r="H1409" s="1"/>
      <c r="I1409" s="1"/>
      <c r="J1409" s="1"/>
      <c r="K1409" s="1"/>
      <c r="L1409" s="1"/>
      <c r="M1409" s="1"/>
      <c r="P1409" s="2"/>
    </row>
    <row r="1410" spans="3:16" x14ac:dyDescent="0.2">
      <c r="C1410" s="1"/>
      <c r="D1410" s="1"/>
      <c r="E1410" s="1"/>
      <c r="F1410" s="1"/>
      <c r="G1410" s="1"/>
      <c r="H1410" s="1"/>
      <c r="I1410" s="1"/>
      <c r="J1410" s="1"/>
      <c r="K1410" s="1"/>
      <c r="L1410" s="1"/>
      <c r="M1410" s="1"/>
      <c r="P1410" s="2"/>
    </row>
    <row r="1411" spans="3:16" x14ac:dyDescent="0.2">
      <c r="C1411" s="1"/>
      <c r="D1411" s="1"/>
      <c r="E1411" s="1"/>
      <c r="F1411" s="1"/>
      <c r="G1411" s="1"/>
      <c r="H1411" s="1"/>
      <c r="I1411" s="1"/>
      <c r="J1411" s="1"/>
      <c r="K1411" s="1"/>
      <c r="L1411" s="1"/>
      <c r="M1411" s="1"/>
      <c r="P1411" s="2"/>
    </row>
    <row r="1412" spans="3:16" x14ac:dyDescent="0.2">
      <c r="C1412" s="1"/>
      <c r="D1412" s="1"/>
      <c r="E1412" s="1"/>
      <c r="F1412" s="1"/>
      <c r="G1412" s="1"/>
      <c r="H1412" s="1"/>
      <c r="I1412" s="1"/>
      <c r="J1412" s="1"/>
      <c r="K1412" s="1"/>
      <c r="L1412" s="1"/>
      <c r="M1412" s="1"/>
      <c r="P1412" s="2"/>
    </row>
    <row r="1413" spans="3:16" x14ac:dyDescent="0.2">
      <c r="C1413" s="1"/>
      <c r="D1413" s="1"/>
      <c r="E1413" s="1"/>
      <c r="F1413" s="1"/>
      <c r="G1413" s="1"/>
      <c r="H1413" s="1"/>
      <c r="I1413" s="1"/>
      <c r="J1413" s="1"/>
      <c r="K1413" s="1"/>
      <c r="L1413" s="1"/>
      <c r="M1413" s="1"/>
      <c r="P1413" s="2"/>
    </row>
    <row r="1414" spans="3:16" x14ac:dyDescent="0.2">
      <c r="C1414" s="1"/>
      <c r="D1414" s="1"/>
      <c r="E1414" s="1"/>
      <c r="F1414" s="1"/>
      <c r="G1414" s="1"/>
      <c r="H1414" s="1"/>
      <c r="I1414" s="1"/>
      <c r="J1414" s="1"/>
      <c r="K1414" s="1"/>
      <c r="L1414" s="1"/>
      <c r="M1414" s="1"/>
      <c r="P1414" s="2"/>
    </row>
    <row r="1415" spans="3:16" x14ac:dyDescent="0.2">
      <c r="C1415" s="1"/>
      <c r="D1415" s="1"/>
      <c r="E1415" s="1"/>
      <c r="F1415" s="1"/>
      <c r="G1415" s="1"/>
      <c r="H1415" s="1"/>
      <c r="I1415" s="1"/>
      <c r="J1415" s="1"/>
      <c r="K1415" s="1"/>
      <c r="L1415" s="1"/>
      <c r="M1415" s="1"/>
      <c r="P1415" s="2"/>
    </row>
    <row r="1416" spans="3:16" x14ac:dyDescent="0.2">
      <c r="C1416" s="1"/>
      <c r="D1416" s="1"/>
      <c r="E1416" s="1"/>
      <c r="F1416" s="1"/>
      <c r="G1416" s="1"/>
      <c r="H1416" s="1"/>
      <c r="I1416" s="1"/>
      <c r="J1416" s="1"/>
      <c r="K1416" s="1"/>
      <c r="L1416" s="1"/>
      <c r="M1416" s="1"/>
      <c r="P1416" s="2"/>
    </row>
    <row r="1417" spans="3:16" x14ac:dyDescent="0.2">
      <c r="C1417" s="1"/>
      <c r="D1417" s="1"/>
      <c r="E1417" s="1"/>
      <c r="F1417" s="1"/>
      <c r="G1417" s="1"/>
      <c r="H1417" s="1"/>
      <c r="I1417" s="1"/>
      <c r="J1417" s="1"/>
      <c r="K1417" s="1"/>
      <c r="L1417" s="1"/>
      <c r="M1417" s="1"/>
      <c r="P1417" s="2"/>
    </row>
    <row r="1418" spans="3:16" x14ac:dyDescent="0.2">
      <c r="C1418" s="1"/>
      <c r="D1418" s="1"/>
      <c r="E1418" s="1"/>
      <c r="F1418" s="1"/>
      <c r="G1418" s="1"/>
      <c r="H1418" s="1"/>
      <c r="I1418" s="1"/>
      <c r="J1418" s="1"/>
      <c r="K1418" s="1"/>
      <c r="L1418" s="1"/>
      <c r="M1418" s="1"/>
      <c r="P1418" s="2"/>
    </row>
    <row r="1419" spans="3:16" x14ac:dyDescent="0.2">
      <c r="C1419" s="1"/>
      <c r="D1419" s="1"/>
      <c r="E1419" s="1"/>
      <c r="F1419" s="1"/>
      <c r="G1419" s="1"/>
      <c r="H1419" s="1"/>
      <c r="I1419" s="1"/>
      <c r="J1419" s="1"/>
      <c r="K1419" s="1"/>
      <c r="L1419" s="1"/>
      <c r="M1419" s="1"/>
      <c r="P1419" s="2"/>
    </row>
    <row r="1420" spans="3:16" x14ac:dyDescent="0.2">
      <c r="C1420" s="1"/>
      <c r="D1420" s="1"/>
      <c r="E1420" s="1"/>
      <c r="F1420" s="1"/>
      <c r="G1420" s="1"/>
      <c r="H1420" s="1"/>
      <c r="I1420" s="1"/>
      <c r="J1420" s="1"/>
      <c r="K1420" s="1"/>
      <c r="L1420" s="1"/>
      <c r="M1420" s="1"/>
      <c r="P1420" s="2"/>
    </row>
    <row r="1421" spans="3:16" x14ac:dyDescent="0.2">
      <c r="C1421" s="1"/>
      <c r="D1421" s="1"/>
      <c r="E1421" s="1"/>
      <c r="F1421" s="1"/>
      <c r="G1421" s="1"/>
      <c r="H1421" s="1"/>
      <c r="I1421" s="1"/>
      <c r="J1421" s="1"/>
      <c r="K1421" s="1"/>
      <c r="L1421" s="1"/>
      <c r="M1421" s="1"/>
      <c r="P1421" s="2"/>
    </row>
    <row r="1422" spans="3:16" x14ac:dyDescent="0.2">
      <c r="C1422" s="1"/>
      <c r="D1422" s="1"/>
      <c r="E1422" s="1"/>
      <c r="F1422" s="1"/>
      <c r="G1422" s="1"/>
      <c r="H1422" s="1"/>
      <c r="I1422" s="1"/>
      <c r="J1422" s="1"/>
      <c r="K1422" s="1"/>
      <c r="L1422" s="1"/>
      <c r="M1422" s="1"/>
      <c r="P1422" s="2"/>
    </row>
    <row r="1423" spans="3:16" x14ac:dyDescent="0.2">
      <c r="C1423" s="1"/>
      <c r="D1423" s="1"/>
      <c r="E1423" s="1"/>
      <c r="F1423" s="1"/>
      <c r="G1423" s="1"/>
      <c r="H1423" s="1"/>
      <c r="I1423" s="1"/>
      <c r="J1423" s="1"/>
      <c r="K1423" s="1"/>
      <c r="L1423" s="1"/>
      <c r="M1423" s="1"/>
      <c r="P1423" s="2"/>
    </row>
    <row r="1424" spans="3:16" x14ac:dyDescent="0.2">
      <c r="C1424" s="1"/>
      <c r="D1424" s="1"/>
      <c r="E1424" s="1"/>
      <c r="F1424" s="1"/>
      <c r="G1424" s="1"/>
      <c r="H1424" s="1"/>
      <c r="I1424" s="1"/>
      <c r="J1424" s="1"/>
      <c r="K1424" s="1"/>
      <c r="L1424" s="1"/>
      <c r="M1424" s="1"/>
      <c r="P1424" s="2"/>
    </row>
    <row r="1425" spans="3:16" x14ac:dyDescent="0.2">
      <c r="C1425" s="1"/>
      <c r="D1425" s="1"/>
      <c r="E1425" s="1"/>
      <c r="F1425" s="1"/>
      <c r="G1425" s="1"/>
      <c r="H1425" s="1"/>
      <c r="I1425" s="1"/>
      <c r="J1425" s="1"/>
      <c r="K1425" s="1"/>
      <c r="L1425" s="1"/>
      <c r="M1425" s="1"/>
      <c r="P1425" s="2"/>
    </row>
    <row r="1426" spans="3:16" x14ac:dyDescent="0.2">
      <c r="C1426" s="1"/>
      <c r="D1426" s="1"/>
      <c r="E1426" s="1"/>
      <c r="F1426" s="1"/>
      <c r="G1426" s="1"/>
      <c r="H1426" s="1"/>
      <c r="I1426" s="1"/>
      <c r="J1426" s="1"/>
      <c r="K1426" s="1"/>
      <c r="L1426" s="1"/>
      <c r="M1426" s="1"/>
      <c r="P1426" s="2"/>
    </row>
    <row r="1427" spans="3:16" x14ac:dyDescent="0.2">
      <c r="C1427" s="1"/>
      <c r="D1427" s="1"/>
      <c r="E1427" s="1"/>
      <c r="F1427" s="1"/>
      <c r="G1427" s="1"/>
      <c r="H1427" s="1"/>
      <c r="I1427" s="1"/>
      <c r="J1427" s="1"/>
      <c r="K1427" s="1"/>
      <c r="L1427" s="1"/>
      <c r="M1427" s="1"/>
      <c r="P1427" s="2"/>
    </row>
    <row r="1428" spans="3:16" x14ac:dyDescent="0.2">
      <c r="C1428" s="1"/>
      <c r="D1428" s="1"/>
      <c r="E1428" s="1"/>
      <c r="F1428" s="1"/>
      <c r="G1428" s="1"/>
      <c r="H1428" s="1"/>
      <c r="I1428" s="1"/>
      <c r="J1428" s="1"/>
      <c r="K1428" s="1"/>
      <c r="L1428" s="1"/>
      <c r="M1428" s="1"/>
      <c r="P1428" s="2"/>
    </row>
    <row r="1429" spans="3:16" x14ac:dyDescent="0.2">
      <c r="C1429" s="1"/>
      <c r="D1429" s="1"/>
      <c r="E1429" s="1"/>
      <c r="F1429" s="1"/>
      <c r="G1429" s="1"/>
      <c r="H1429" s="1"/>
      <c r="I1429" s="1"/>
      <c r="J1429" s="1"/>
      <c r="K1429" s="1"/>
      <c r="L1429" s="1"/>
      <c r="M1429" s="1"/>
      <c r="P1429" s="2"/>
    </row>
    <row r="1430" spans="3:16" x14ac:dyDescent="0.2">
      <c r="C1430" s="1"/>
      <c r="D1430" s="1"/>
      <c r="E1430" s="1"/>
      <c r="F1430" s="1"/>
      <c r="G1430" s="1"/>
      <c r="H1430" s="1"/>
      <c r="I1430" s="1"/>
      <c r="J1430" s="1"/>
      <c r="K1430" s="1"/>
      <c r="L1430" s="1"/>
      <c r="M1430" s="1"/>
      <c r="P1430" s="2"/>
    </row>
    <row r="1431" spans="3:16" x14ac:dyDescent="0.2">
      <c r="C1431" s="1"/>
      <c r="D1431" s="1"/>
      <c r="E1431" s="1"/>
      <c r="F1431" s="1"/>
      <c r="G1431" s="1"/>
      <c r="H1431" s="1"/>
      <c r="I1431" s="1"/>
      <c r="J1431" s="1"/>
      <c r="K1431" s="1"/>
      <c r="L1431" s="1"/>
      <c r="M1431" s="1"/>
      <c r="P1431" s="2"/>
    </row>
    <row r="1432" spans="3:16" x14ac:dyDescent="0.2">
      <c r="C1432" s="1"/>
      <c r="D1432" s="1"/>
      <c r="E1432" s="1"/>
      <c r="F1432" s="1"/>
      <c r="G1432" s="1"/>
      <c r="H1432" s="1"/>
      <c r="I1432" s="1"/>
      <c r="J1432" s="1"/>
      <c r="K1432" s="1"/>
      <c r="L1432" s="1"/>
      <c r="M1432" s="1"/>
      <c r="P1432" s="2"/>
    </row>
    <row r="1433" spans="3:16" x14ac:dyDescent="0.2">
      <c r="C1433" s="1"/>
      <c r="D1433" s="1"/>
      <c r="E1433" s="1"/>
      <c r="F1433" s="1"/>
      <c r="G1433" s="1"/>
      <c r="H1433" s="1"/>
      <c r="I1433" s="1"/>
      <c r="J1433" s="1"/>
      <c r="K1433" s="1"/>
      <c r="L1433" s="1"/>
      <c r="M1433" s="1"/>
      <c r="P1433" s="2"/>
    </row>
    <row r="1434" spans="3:16" x14ac:dyDescent="0.2">
      <c r="C1434" s="1"/>
      <c r="D1434" s="1"/>
      <c r="E1434" s="1"/>
      <c r="F1434" s="1"/>
      <c r="G1434" s="1"/>
      <c r="H1434" s="1"/>
      <c r="I1434" s="1"/>
      <c r="J1434" s="1"/>
      <c r="K1434" s="1"/>
      <c r="L1434" s="1"/>
      <c r="M1434" s="1"/>
      <c r="P1434" s="2"/>
    </row>
    <row r="1435" spans="3:16" x14ac:dyDescent="0.2">
      <c r="C1435" s="1"/>
      <c r="D1435" s="1"/>
      <c r="E1435" s="1"/>
      <c r="F1435" s="1"/>
      <c r="G1435" s="1"/>
      <c r="H1435" s="1"/>
      <c r="I1435" s="1"/>
      <c r="J1435" s="1"/>
      <c r="K1435" s="1"/>
      <c r="L1435" s="1"/>
      <c r="M1435" s="1"/>
      <c r="P1435" s="2"/>
    </row>
    <row r="1436" spans="3:16" x14ac:dyDescent="0.2">
      <c r="C1436" s="1"/>
      <c r="D1436" s="1"/>
      <c r="E1436" s="1"/>
      <c r="F1436" s="1"/>
      <c r="G1436" s="1"/>
      <c r="H1436" s="1"/>
      <c r="I1436" s="1"/>
      <c r="J1436" s="1"/>
      <c r="K1436" s="1"/>
      <c r="L1436" s="1"/>
      <c r="M1436" s="1"/>
      <c r="P1436" s="2"/>
    </row>
    <row r="1437" spans="3:16" x14ac:dyDescent="0.2">
      <c r="C1437" s="1"/>
      <c r="D1437" s="1"/>
      <c r="E1437" s="1"/>
      <c r="F1437" s="1"/>
      <c r="G1437" s="1"/>
      <c r="H1437" s="1"/>
      <c r="I1437" s="1"/>
      <c r="J1437" s="1"/>
      <c r="K1437" s="1"/>
      <c r="L1437" s="1"/>
      <c r="M1437" s="1"/>
      <c r="P1437" s="2"/>
    </row>
    <row r="1438" spans="3:16" x14ac:dyDescent="0.2">
      <c r="C1438" s="1"/>
      <c r="D1438" s="1"/>
      <c r="E1438" s="1"/>
      <c r="F1438" s="1"/>
      <c r="G1438" s="1"/>
      <c r="H1438" s="1"/>
      <c r="I1438" s="1"/>
      <c r="J1438" s="1"/>
      <c r="K1438" s="1"/>
      <c r="L1438" s="1"/>
      <c r="M1438" s="1"/>
      <c r="P1438" s="2"/>
    </row>
    <row r="1439" spans="3:16" x14ac:dyDescent="0.2">
      <c r="C1439" s="1"/>
      <c r="D1439" s="1"/>
      <c r="E1439" s="1"/>
      <c r="F1439" s="1"/>
      <c r="G1439" s="1"/>
      <c r="H1439" s="1"/>
      <c r="I1439" s="1"/>
      <c r="J1439" s="1"/>
      <c r="K1439" s="1"/>
      <c r="L1439" s="1"/>
      <c r="M1439" s="1"/>
      <c r="P1439" s="2"/>
    </row>
    <row r="1440" spans="3:16" x14ac:dyDescent="0.2">
      <c r="C1440" s="1"/>
      <c r="D1440" s="1"/>
      <c r="E1440" s="1"/>
      <c r="F1440" s="1"/>
      <c r="G1440" s="1"/>
      <c r="H1440" s="1"/>
      <c r="I1440" s="1"/>
      <c r="J1440" s="1"/>
      <c r="K1440" s="1"/>
      <c r="L1440" s="1"/>
      <c r="M1440" s="1"/>
      <c r="P1440" s="2"/>
    </row>
    <row r="1441" spans="3:16" x14ac:dyDescent="0.2">
      <c r="C1441" s="1"/>
      <c r="D1441" s="1"/>
      <c r="E1441" s="1"/>
      <c r="F1441" s="1"/>
      <c r="G1441" s="1"/>
      <c r="H1441" s="1"/>
      <c r="I1441" s="1"/>
      <c r="J1441" s="1"/>
      <c r="K1441" s="1"/>
      <c r="L1441" s="1"/>
      <c r="M1441" s="1"/>
      <c r="P1441" s="2"/>
    </row>
    <row r="1442" spans="3:16" x14ac:dyDescent="0.2">
      <c r="C1442" s="1"/>
      <c r="D1442" s="1"/>
      <c r="E1442" s="1"/>
      <c r="F1442" s="1"/>
      <c r="G1442" s="1"/>
      <c r="H1442" s="1"/>
      <c r="I1442" s="1"/>
      <c r="J1442" s="1"/>
      <c r="K1442" s="1"/>
      <c r="L1442" s="1"/>
      <c r="M1442" s="1"/>
      <c r="P1442" s="2"/>
    </row>
    <row r="1443" spans="3:16" x14ac:dyDescent="0.2">
      <c r="C1443" s="1"/>
      <c r="D1443" s="1"/>
      <c r="E1443" s="1"/>
      <c r="F1443" s="1"/>
      <c r="G1443" s="1"/>
      <c r="H1443" s="1"/>
      <c r="I1443" s="1"/>
      <c r="J1443" s="1"/>
      <c r="K1443" s="1"/>
      <c r="L1443" s="1"/>
      <c r="M1443" s="1"/>
      <c r="P1443" s="2"/>
    </row>
    <row r="1444" spans="3:16" x14ac:dyDescent="0.2">
      <c r="C1444" s="1"/>
      <c r="D1444" s="1"/>
      <c r="E1444" s="1"/>
      <c r="F1444" s="1"/>
      <c r="G1444" s="1"/>
      <c r="H1444" s="1"/>
      <c r="I1444" s="1"/>
      <c r="J1444" s="1"/>
      <c r="K1444" s="1"/>
      <c r="L1444" s="1"/>
      <c r="M1444" s="1"/>
      <c r="P1444" s="2"/>
    </row>
    <row r="1445" spans="3:16" x14ac:dyDescent="0.2">
      <c r="C1445" s="1"/>
      <c r="D1445" s="1"/>
      <c r="E1445" s="1"/>
      <c r="F1445" s="1"/>
      <c r="G1445" s="1"/>
      <c r="H1445" s="1"/>
      <c r="I1445" s="1"/>
      <c r="J1445" s="1"/>
      <c r="K1445" s="1"/>
      <c r="L1445" s="1"/>
      <c r="M1445" s="1"/>
      <c r="P1445" s="2"/>
    </row>
    <row r="1446" spans="3:16" x14ac:dyDescent="0.2">
      <c r="C1446" s="1"/>
      <c r="D1446" s="1"/>
      <c r="E1446" s="1"/>
      <c r="F1446" s="1"/>
      <c r="G1446" s="1"/>
      <c r="H1446" s="1"/>
      <c r="I1446" s="1"/>
      <c r="J1446" s="1"/>
      <c r="K1446" s="1"/>
      <c r="L1446" s="1"/>
      <c r="M1446" s="1"/>
      <c r="P1446" s="2"/>
    </row>
    <row r="1447" spans="3:16" x14ac:dyDescent="0.2">
      <c r="C1447" s="1"/>
      <c r="D1447" s="1"/>
      <c r="E1447" s="1"/>
      <c r="F1447" s="1"/>
      <c r="G1447" s="1"/>
      <c r="H1447" s="1"/>
      <c r="I1447" s="1"/>
      <c r="J1447" s="1"/>
      <c r="K1447" s="1"/>
      <c r="L1447" s="1"/>
      <c r="M1447" s="1"/>
      <c r="P1447" s="2"/>
    </row>
    <row r="1448" spans="3:16" x14ac:dyDescent="0.2">
      <c r="C1448" s="1"/>
      <c r="D1448" s="1"/>
      <c r="E1448" s="1"/>
      <c r="F1448" s="1"/>
      <c r="G1448" s="1"/>
      <c r="H1448" s="1"/>
      <c r="I1448" s="1"/>
      <c r="J1448" s="1"/>
      <c r="K1448" s="1"/>
      <c r="L1448" s="1"/>
      <c r="M1448" s="1"/>
      <c r="P1448" s="2"/>
    </row>
    <row r="1449" spans="3:16" x14ac:dyDescent="0.2">
      <c r="C1449" s="1"/>
      <c r="D1449" s="1"/>
      <c r="E1449" s="1"/>
      <c r="F1449" s="1"/>
      <c r="G1449" s="1"/>
      <c r="H1449" s="1"/>
      <c r="I1449" s="1"/>
      <c r="J1449" s="1"/>
      <c r="K1449" s="1"/>
      <c r="L1449" s="1"/>
      <c r="M1449" s="1"/>
      <c r="P1449" s="2"/>
    </row>
    <row r="1450" spans="3:16" x14ac:dyDescent="0.2">
      <c r="C1450" s="1"/>
      <c r="D1450" s="1"/>
      <c r="E1450" s="1"/>
      <c r="F1450" s="1"/>
      <c r="G1450" s="1"/>
      <c r="H1450" s="1"/>
      <c r="I1450" s="1"/>
      <c r="J1450" s="1"/>
      <c r="K1450" s="1"/>
      <c r="L1450" s="1"/>
      <c r="M1450" s="1"/>
      <c r="P1450" s="2"/>
    </row>
    <row r="1451" spans="3:16" x14ac:dyDescent="0.2">
      <c r="C1451" s="1"/>
      <c r="D1451" s="1"/>
      <c r="E1451" s="1"/>
      <c r="F1451" s="1"/>
      <c r="G1451" s="1"/>
      <c r="H1451" s="1"/>
      <c r="I1451" s="1"/>
      <c r="J1451" s="1"/>
      <c r="K1451" s="1"/>
      <c r="L1451" s="1"/>
      <c r="M1451" s="1"/>
      <c r="P1451" s="2"/>
    </row>
    <row r="1452" spans="3:16" x14ac:dyDescent="0.2">
      <c r="C1452" s="1"/>
      <c r="D1452" s="1"/>
      <c r="E1452" s="1"/>
      <c r="F1452" s="1"/>
      <c r="G1452" s="1"/>
      <c r="H1452" s="1"/>
      <c r="I1452" s="1"/>
      <c r="J1452" s="1"/>
      <c r="K1452" s="1"/>
      <c r="L1452" s="1"/>
      <c r="M1452" s="1"/>
      <c r="P1452" s="2"/>
    </row>
    <row r="1453" spans="3:16" x14ac:dyDescent="0.2">
      <c r="C1453" s="1"/>
      <c r="D1453" s="1"/>
      <c r="E1453" s="1"/>
      <c r="F1453" s="1"/>
      <c r="G1453" s="1"/>
      <c r="H1453" s="1"/>
      <c r="I1453" s="1"/>
      <c r="J1453" s="1"/>
      <c r="K1453" s="1"/>
      <c r="L1453" s="1"/>
      <c r="M1453" s="1"/>
      <c r="P1453" s="2"/>
    </row>
    <row r="1454" spans="3:16" x14ac:dyDescent="0.2">
      <c r="C1454" s="1"/>
      <c r="D1454" s="1"/>
      <c r="E1454" s="1"/>
      <c r="F1454" s="1"/>
      <c r="G1454" s="1"/>
      <c r="H1454" s="1"/>
      <c r="I1454" s="1"/>
      <c r="J1454" s="1"/>
      <c r="K1454" s="1"/>
      <c r="L1454" s="1"/>
      <c r="M1454" s="1"/>
      <c r="P1454" s="2"/>
    </row>
    <row r="1455" spans="3:16" x14ac:dyDescent="0.2">
      <c r="C1455" s="1"/>
      <c r="D1455" s="1"/>
      <c r="E1455" s="1"/>
      <c r="F1455" s="1"/>
      <c r="G1455" s="1"/>
      <c r="H1455" s="1"/>
      <c r="I1455" s="1"/>
      <c r="J1455" s="1"/>
      <c r="K1455" s="1"/>
      <c r="L1455" s="1"/>
      <c r="M1455" s="1"/>
      <c r="P1455" s="2"/>
    </row>
    <row r="1456" spans="3:16" x14ac:dyDescent="0.2">
      <c r="C1456" s="1"/>
      <c r="D1456" s="1"/>
      <c r="E1456" s="1"/>
      <c r="F1456" s="1"/>
      <c r="G1456" s="1"/>
      <c r="H1456" s="1"/>
      <c r="I1456" s="1"/>
      <c r="J1456" s="1"/>
      <c r="K1456" s="1"/>
      <c r="L1456" s="1"/>
      <c r="M1456" s="1"/>
      <c r="P1456" s="2"/>
    </row>
    <row r="1457" spans="3:16" x14ac:dyDescent="0.2">
      <c r="C1457" s="1"/>
      <c r="D1457" s="1"/>
      <c r="E1457" s="1"/>
      <c r="F1457" s="1"/>
      <c r="G1457" s="1"/>
      <c r="H1457" s="1"/>
      <c r="I1457" s="1"/>
      <c r="J1457" s="1"/>
      <c r="K1457" s="1"/>
      <c r="L1457" s="1"/>
      <c r="M1457" s="1"/>
      <c r="P1457" s="2"/>
    </row>
    <row r="1458" spans="3:16" x14ac:dyDescent="0.2">
      <c r="C1458" s="1"/>
      <c r="D1458" s="1"/>
      <c r="E1458" s="1"/>
      <c r="F1458" s="1"/>
      <c r="G1458" s="1"/>
      <c r="H1458" s="1"/>
      <c r="I1458" s="1"/>
      <c r="J1458" s="1"/>
      <c r="K1458" s="1"/>
      <c r="L1458" s="1"/>
      <c r="M1458" s="1"/>
      <c r="P1458" s="2"/>
    </row>
    <row r="1459" spans="3:16" x14ac:dyDescent="0.2">
      <c r="C1459" s="1"/>
      <c r="D1459" s="1"/>
      <c r="E1459" s="1"/>
      <c r="F1459" s="1"/>
      <c r="G1459" s="1"/>
      <c r="H1459" s="1"/>
      <c r="I1459" s="1"/>
      <c r="J1459" s="1"/>
      <c r="K1459" s="1"/>
      <c r="L1459" s="1"/>
      <c r="M1459" s="1"/>
      <c r="P1459" s="2"/>
    </row>
    <row r="1460" spans="3:16" x14ac:dyDescent="0.2">
      <c r="C1460" s="1"/>
      <c r="D1460" s="1"/>
      <c r="E1460" s="1"/>
      <c r="F1460" s="1"/>
      <c r="G1460" s="1"/>
      <c r="H1460" s="1"/>
      <c r="I1460" s="1"/>
      <c r="J1460" s="1"/>
      <c r="K1460" s="1"/>
      <c r="L1460" s="1"/>
      <c r="M1460" s="1"/>
      <c r="P1460" s="2"/>
    </row>
    <row r="1461" spans="3:16" x14ac:dyDescent="0.2">
      <c r="C1461" s="1"/>
      <c r="D1461" s="1"/>
      <c r="E1461" s="1"/>
      <c r="F1461" s="1"/>
      <c r="G1461" s="1"/>
      <c r="H1461" s="1"/>
      <c r="I1461" s="1"/>
      <c r="J1461" s="1"/>
      <c r="K1461" s="1"/>
      <c r="L1461" s="1"/>
      <c r="M1461" s="1"/>
      <c r="P1461" s="2"/>
    </row>
    <row r="1462" spans="3:16" x14ac:dyDescent="0.2">
      <c r="C1462" s="1"/>
      <c r="D1462" s="1"/>
      <c r="E1462" s="1"/>
      <c r="F1462" s="1"/>
      <c r="G1462" s="1"/>
      <c r="H1462" s="1"/>
      <c r="I1462" s="1"/>
      <c r="J1462" s="1"/>
      <c r="K1462" s="1"/>
      <c r="L1462" s="1"/>
      <c r="M1462" s="1"/>
      <c r="P1462" s="2"/>
    </row>
    <row r="1463" spans="3:16" x14ac:dyDescent="0.2">
      <c r="C1463" s="1"/>
      <c r="D1463" s="1"/>
      <c r="E1463" s="1"/>
      <c r="F1463" s="1"/>
      <c r="G1463" s="1"/>
      <c r="H1463" s="1"/>
      <c r="I1463" s="1"/>
      <c r="J1463" s="1"/>
      <c r="K1463" s="1"/>
      <c r="L1463" s="1"/>
      <c r="M1463" s="1"/>
      <c r="P1463" s="2"/>
    </row>
    <row r="1464" spans="3:16" x14ac:dyDescent="0.2">
      <c r="C1464" s="1"/>
      <c r="D1464" s="1"/>
      <c r="E1464" s="1"/>
      <c r="F1464" s="1"/>
      <c r="G1464" s="1"/>
      <c r="H1464" s="1"/>
      <c r="I1464" s="1"/>
      <c r="J1464" s="1"/>
      <c r="K1464" s="1"/>
      <c r="L1464" s="1"/>
      <c r="M1464" s="1"/>
      <c r="P1464" s="2"/>
    </row>
    <row r="1465" spans="3:16" x14ac:dyDescent="0.2">
      <c r="C1465" s="1"/>
      <c r="D1465" s="1"/>
      <c r="E1465" s="1"/>
      <c r="F1465" s="1"/>
      <c r="G1465" s="1"/>
      <c r="H1465" s="1"/>
      <c r="I1465" s="1"/>
      <c r="J1465" s="1"/>
      <c r="K1465" s="1"/>
      <c r="L1465" s="1"/>
      <c r="M1465" s="1"/>
      <c r="P1465" s="2"/>
    </row>
    <row r="1466" spans="3:16" x14ac:dyDescent="0.2">
      <c r="C1466" s="1"/>
      <c r="D1466" s="1"/>
      <c r="E1466" s="1"/>
      <c r="F1466" s="1"/>
      <c r="G1466" s="1"/>
      <c r="H1466" s="1"/>
      <c r="I1466" s="1"/>
      <c r="J1466" s="1"/>
      <c r="K1466" s="1"/>
      <c r="L1466" s="1"/>
      <c r="M1466" s="1"/>
      <c r="P1466" s="2"/>
    </row>
    <row r="1467" spans="3:16" x14ac:dyDescent="0.2">
      <c r="C1467" s="1"/>
      <c r="D1467" s="1"/>
      <c r="E1467" s="1"/>
      <c r="F1467" s="1"/>
      <c r="G1467" s="1"/>
      <c r="H1467" s="1"/>
      <c r="I1467" s="1"/>
      <c r="J1467" s="1"/>
      <c r="K1467" s="1"/>
      <c r="L1467" s="1"/>
      <c r="M1467" s="1"/>
      <c r="P1467" s="2"/>
    </row>
    <row r="1468" spans="3:16" x14ac:dyDescent="0.2">
      <c r="C1468" s="1"/>
      <c r="D1468" s="1"/>
      <c r="E1468" s="1"/>
      <c r="F1468" s="1"/>
      <c r="G1468" s="1"/>
      <c r="H1468" s="1"/>
      <c r="I1468" s="1"/>
      <c r="J1468" s="1"/>
      <c r="K1468" s="1"/>
      <c r="L1468" s="1"/>
      <c r="M1468" s="1"/>
      <c r="P1468" s="2"/>
    </row>
    <row r="1469" spans="3:16" x14ac:dyDescent="0.2">
      <c r="C1469" s="1"/>
      <c r="D1469" s="1"/>
      <c r="E1469" s="1"/>
      <c r="F1469" s="1"/>
      <c r="G1469" s="1"/>
      <c r="H1469" s="1"/>
      <c r="I1469" s="1"/>
      <c r="J1469" s="1"/>
      <c r="K1469" s="1"/>
      <c r="L1469" s="1"/>
      <c r="M1469" s="1"/>
      <c r="P1469" s="2"/>
    </row>
    <row r="1470" spans="3:16" x14ac:dyDescent="0.2">
      <c r="C1470" s="1"/>
      <c r="D1470" s="1"/>
      <c r="E1470" s="1"/>
      <c r="F1470" s="1"/>
      <c r="G1470" s="1"/>
      <c r="H1470" s="1"/>
      <c r="I1470" s="1"/>
      <c r="J1470" s="1"/>
      <c r="K1470" s="1"/>
      <c r="L1470" s="1"/>
      <c r="M1470" s="1"/>
      <c r="P1470" s="2"/>
    </row>
    <row r="1471" spans="3:16" x14ac:dyDescent="0.2">
      <c r="C1471" s="1"/>
      <c r="D1471" s="1"/>
      <c r="E1471" s="1"/>
      <c r="F1471" s="1"/>
      <c r="G1471" s="1"/>
      <c r="H1471" s="1"/>
      <c r="I1471" s="1"/>
      <c r="J1471" s="1"/>
      <c r="K1471" s="1"/>
      <c r="L1471" s="1"/>
      <c r="M1471" s="1"/>
      <c r="P1471" s="2"/>
    </row>
    <row r="1472" spans="3:16" x14ac:dyDescent="0.2">
      <c r="C1472" s="1"/>
      <c r="D1472" s="1"/>
      <c r="E1472" s="1"/>
      <c r="F1472" s="1"/>
      <c r="G1472" s="1"/>
      <c r="H1472" s="1"/>
      <c r="I1472" s="1"/>
      <c r="J1472" s="1"/>
      <c r="K1472" s="1"/>
      <c r="L1472" s="1"/>
      <c r="M1472" s="1"/>
      <c r="P1472" s="2"/>
    </row>
    <row r="1473" spans="3:16" x14ac:dyDescent="0.2">
      <c r="C1473" s="1"/>
      <c r="D1473" s="1"/>
      <c r="E1473" s="1"/>
      <c r="F1473" s="1"/>
      <c r="G1473" s="1"/>
      <c r="H1473" s="1"/>
      <c r="I1473" s="1"/>
      <c r="J1473" s="1"/>
      <c r="K1473" s="1"/>
      <c r="L1473" s="1"/>
      <c r="M1473" s="1"/>
      <c r="P1473" s="2"/>
    </row>
    <row r="1474" spans="3:16" x14ac:dyDescent="0.2">
      <c r="C1474" s="1"/>
      <c r="D1474" s="1"/>
      <c r="E1474" s="1"/>
      <c r="F1474" s="1"/>
      <c r="G1474" s="1"/>
      <c r="H1474" s="1"/>
      <c r="I1474" s="1"/>
      <c r="J1474" s="1"/>
      <c r="K1474" s="1"/>
      <c r="L1474" s="1"/>
      <c r="M1474" s="1"/>
      <c r="P1474" s="2"/>
    </row>
    <row r="1475" spans="3:16" x14ac:dyDescent="0.2">
      <c r="C1475" s="1"/>
      <c r="D1475" s="1"/>
      <c r="E1475" s="1"/>
      <c r="F1475" s="1"/>
      <c r="G1475" s="1"/>
      <c r="H1475" s="1"/>
      <c r="I1475" s="1"/>
      <c r="J1475" s="1"/>
      <c r="K1475" s="1"/>
      <c r="L1475" s="1"/>
      <c r="M1475" s="1"/>
      <c r="P1475" s="2"/>
    </row>
    <row r="1476" spans="3:16" x14ac:dyDescent="0.2">
      <c r="C1476" s="1"/>
      <c r="D1476" s="1"/>
      <c r="E1476" s="1"/>
      <c r="F1476" s="1"/>
      <c r="G1476" s="1"/>
      <c r="H1476" s="1"/>
      <c r="I1476" s="1"/>
      <c r="J1476" s="1"/>
      <c r="K1476" s="1"/>
      <c r="L1476" s="1"/>
      <c r="M1476" s="1"/>
      <c r="P1476" s="2"/>
    </row>
    <row r="1477" spans="3:16" x14ac:dyDescent="0.2">
      <c r="C1477" s="1"/>
      <c r="D1477" s="1"/>
      <c r="E1477" s="1"/>
      <c r="F1477" s="1"/>
      <c r="G1477" s="1"/>
      <c r="H1477" s="1"/>
      <c r="I1477" s="1"/>
      <c r="J1477" s="1"/>
      <c r="K1477" s="1"/>
      <c r="L1477" s="1"/>
      <c r="M1477" s="1"/>
      <c r="P1477" s="2"/>
    </row>
    <row r="1478" spans="3:16" x14ac:dyDescent="0.2">
      <c r="C1478" s="1"/>
      <c r="D1478" s="1"/>
      <c r="E1478" s="1"/>
      <c r="F1478" s="1"/>
      <c r="G1478" s="1"/>
      <c r="H1478" s="1"/>
      <c r="I1478" s="1"/>
      <c r="J1478" s="1"/>
      <c r="K1478" s="1"/>
      <c r="L1478" s="1"/>
      <c r="M1478" s="1"/>
      <c r="P1478" s="2"/>
    </row>
    <row r="1479" spans="3:16" x14ac:dyDescent="0.2">
      <c r="C1479" s="1"/>
      <c r="D1479" s="1"/>
      <c r="E1479" s="1"/>
      <c r="F1479" s="1"/>
      <c r="G1479" s="1"/>
      <c r="H1479" s="1"/>
      <c r="I1479" s="1"/>
      <c r="J1479" s="1"/>
      <c r="K1479" s="1"/>
      <c r="L1479" s="1"/>
      <c r="M1479" s="1"/>
      <c r="P1479" s="2"/>
    </row>
    <row r="1480" spans="3:16" x14ac:dyDescent="0.2">
      <c r="C1480" s="1"/>
      <c r="D1480" s="1"/>
      <c r="E1480" s="1"/>
      <c r="F1480" s="1"/>
      <c r="G1480" s="1"/>
      <c r="H1480" s="1"/>
      <c r="I1480" s="1"/>
      <c r="J1480" s="1"/>
      <c r="K1480" s="1"/>
      <c r="L1480" s="1"/>
      <c r="M1480" s="1"/>
      <c r="P1480" s="2"/>
    </row>
    <row r="1481" spans="3:16" x14ac:dyDescent="0.2">
      <c r="C1481" s="1"/>
      <c r="D1481" s="1"/>
      <c r="E1481" s="1"/>
      <c r="F1481" s="1"/>
      <c r="G1481" s="1"/>
      <c r="H1481" s="1"/>
      <c r="I1481" s="1"/>
      <c r="J1481" s="1"/>
      <c r="K1481" s="1"/>
      <c r="L1481" s="1"/>
      <c r="M1481" s="1"/>
      <c r="P1481" s="2"/>
    </row>
    <row r="1482" spans="3:16" x14ac:dyDescent="0.2">
      <c r="C1482" s="1"/>
      <c r="D1482" s="1"/>
      <c r="E1482" s="1"/>
      <c r="F1482" s="1"/>
      <c r="G1482" s="1"/>
      <c r="H1482" s="1"/>
      <c r="I1482" s="1"/>
      <c r="J1482" s="1"/>
      <c r="K1482" s="1"/>
      <c r="L1482" s="1"/>
      <c r="M1482" s="1"/>
      <c r="P1482" s="2"/>
    </row>
    <row r="1483" spans="3:16" x14ac:dyDescent="0.2">
      <c r="C1483" s="1"/>
      <c r="D1483" s="1"/>
      <c r="E1483" s="1"/>
      <c r="F1483" s="1"/>
      <c r="G1483" s="1"/>
      <c r="H1483" s="1"/>
      <c r="I1483" s="1"/>
      <c r="J1483" s="1"/>
      <c r="K1483" s="1"/>
      <c r="L1483" s="1"/>
      <c r="M1483" s="1"/>
      <c r="P1483" s="2"/>
    </row>
    <row r="1484" spans="3:16" x14ac:dyDescent="0.2">
      <c r="C1484" s="1"/>
      <c r="D1484" s="1"/>
      <c r="E1484" s="1"/>
      <c r="F1484" s="1"/>
      <c r="G1484" s="1"/>
      <c r="H1484" s="1"/>
      <c r="I1484" s="1"/>
      <c r="J1484" s="1"/>
      <c r="K1484" s="1"/>
      <c r="L1484" s="1"/>
      <c r="M1484" s="1"/>
      <c r="P1484" s="2"/>
    </row>
    <row r="1485" spans="3:16" x14ac:dyDescent="0.2">
      <c r="C1485" s="1"/>
      <c r="D1485" s="1"/>
      <c r="E1485" s="1"/>
      <c r="F1485" s="1"/>
      <c r="G1485" s="1"/>
      <c r="H1485" s="1"/>
      <c r="I1485" s="1"/>
      <c r="J1485" s="1"/>
      <c r="K1485" s="1"/>
      <c r="L1485" s="1"/>
      <c r="M1485" s="1"/>
      <c r="P1485" s="2"/>
    </row>
    <row r="1486" spans="3:16" x14ac:dyDescent="0.2">
      <c r="C1486" s="1"/>
      <c r="D1486" s="1"/>
      <c r="E1486" s="1"/>
      <c r="F1486" s="1"/>
      <c r="G1486" s="1"/>
      <c r="H1486" s="1"/>
      <c r="I1486" s="1"/>
      <c r="J1486" s="1"/>
      <c r="K1486" s="1"/>
      <c r="L1486" s="1"/>
      <c r="M1486" s="1"/>
      <c r="P1486" s="2"/>
    </row>
    <row r="1487" spans="3:16" x14ac:dyDescent="0.2">
      <c r="C1487" s="1"/>
      <c r="D1487" s="1"/>
      <c r="E1487" s="1"/>
      <c r="F1487" s="1"/>
      <c r="G1487" s="1"/>
      <c r="H1487" s="1"/>
      <c r="I1487" s="1"/>
      <c r="J1487" s="1"/>
      <c r="K1487" s="1"/>
      <c r="L1487" s="1"/>
      <c r="M1487" s="1"/>
      <c r="P1487" s="2"/>
    </row>
    <row r="1488" spans="3:16" x14ac:dyDescent="0.2">
      <c r="C1488" s="1"/>
      <c r="D1488" s="1"/>
      <c r="E1488" s="1"/>
      <c r="F1488" s="1"/>
      <c r="G1488" s="1"/>
      <c r="H1488" s="1"/>
      <c r="I1488" s="1"/>
      <c r="J1488" s="1"/>
      <c r="K1488" s="1"/>
      <c r="L1488" s="1"/>
      <c r="M1488" s="1"/>
      <c r="P1488" s="2"/>
    </row>
    <row r="1489" spans="3:16" x14ac:dyDescent="0.2">
      <c r="C1489" s="1"/>
      <c r="D1489" s="1"/>
      <c r="E1489" s="1"/>
      <c r="F1489" s="1"/>
      <c r="G1489" s="1"/>
      <c r="H1489" s="1"/>
      <c r="I1489" s="1"/>
      <c r="J1489" s="1"/>
      <c r="K1489" s="1"/>
      <c r="L1489" s="1"/>
      <c r="M1489" s="1"/>
      <c r="P1489" s="2"/>
    </row>
    <row r="1490" spans="3:16" x14ac:dyDescent="0.2">
      <c r="C1490" s="1"/>
      <c r="D1490" s="1"/>
      <c r="E1490" s="1"/>
      <c r="F1490" s="1"/>
      <c r="G1490" s="1"/>
      <c r="H1490" s="1"/>
      <c r="I1490" s="1"/>
      <c r="J1490" s="1"/>
      <c r="K1490" s="1"/>
      <c r="L1490" s="1"/>
      <c r="M1490" s="1"/>
      <c r="P1490" s="2"/>
    </row>
    <row r="1491" spans="3:16" x14ac:dyDescent="0.2">
      <c r="C1491" s="1"/>
      <c r="D1491" s="1"/>
      <c r="E1491" s="1"/>
      <c r="F1491" s="1"/>
      <c r="G1491" s="1"/>
      <c r="H1491" s="1"/>
      <c r="I1491" s="1"/>
      <c r="J1491" s="1"/>
      <c r="K1491" s="1"/>
      <c r="L1491" s="1"/>
      <c r="M1491" s="1"/>
      <c r="P1491" s="2"/>
    </row>
    <row r="1492" spans="3:16" x14ac:dyDescent="0.2">
      <c r="C1492" s="1"/>
      <c r="D1492" s="1"/>
      <c r="E1492" s="1"/>
      <c r="F1492" s="1"/>
      <c r="G1492" s="1"/>
      <c r="H1492" s="1"/>
      <c r="I1492" s="1"/>
      <c r="J1492" s="1"/>
      <c r="K1492" s="1"/>
      <c r="L1492" s="1"/>
      <c r="M1492" s="1"/>
      <c r="P1492" s="2"/>
    </row>
    <row r="1493" spans="3:16" x14ac:dyDescent="0.2">
      <c r="C1493" s="1"/>
      <c r="D1493" s="1"/>
      <c r="E1493" s="1"/>
      <c r="F1493" s="1"/>
      <c r="G1493" s="1"/>
      <c r="H1493" s="1"/>
      <c r="I1493" s="1"/>
      <c r="J1493" s="1"/>
      <c r="K1493" s="1"/>
      <c r="L1493" s="1"/>
      <c r="M1493" s="1"/>
      <c r="P1493" s="2"/>
    </row>
    <row r="1494" spans="3:16" x14ac:dyDescent="0.2">
      <c r="C1494" s="1"/>
      <c r="D1494" s="1"/>
      <c r="E1494" s="1"/>
      <c r="F1494" s="1"/>
      <c r="G1494" s="1"/>
      <c r="H1494" s="1"/>
      <c r="I1494" s="1"/>
      <c r="J1494" s="1"/>
      <c r="K1494" s="1"/>
      <c r="L1494" s="1"/>
      <c r="M1494" s="1"/>
      <c r="P1494" s="2"/>
    </row>
    <row r="1495" spans="3:16" x14ac:dyDescent="0.2">
      <c r="C1495" s="1"/>
      <c r="D1495" s="1"/>
      <c r="E1495" s="1"/>
      <c r="F1495" s="1"/>
      <c r="G1495" s="1"/>
      <c r="H1495" s="1"/>
      <c r="I1495" s="1"/>
      <c r="J1495" s="1"/>
      <c r="K1495" s="1"/>
      <c r="L1495" s="1"/>
      <c r="M1495" s="1"/>
      <c r="P1495" s="2"/>
    </row>
    <row r="1496" spans="3:16" x14ac:dyDescent="0.2">
      <c r="C1496" s="1"/>
      <c r="D1496" s="1"/>
      <c r="E1496" s="1"/>
      <c r="F1496" s="1"/>
      <c r="G1496" s="1"/>
      <c r="H1496" s="1"/>
      <c r="I1496" s="1"/>
      <c r="J1496" s="1"/>
      <c r="K1496" s="1"/>
      <c r="L1496" s="1"/>
      <c r="M1496" s="1"/>
      <c r="P1496" s="2"/>
    </row>
    <row r="1497" spans="3:16" x14ac:dyDescent="0.2">
      <c r="C1497" s="1"/>
      <c r="D1497" s="1"/>
      <c r="E1497" s="1"/>
      <c r="F1497" s="1"/>
      <c r="G1497" s="1"/>
      <c r="H1497" s="1"/>
      <c r="I1497" s="1"/>
      <c r="J1497" s="1"/>
      <c r="K1497" s="1"/>
      <c r="L1497" s="1"/>
      <c r="M1497" s="1"/>
      <c r="P1497" s="2"/>
    </row>
    <row r="1498" spans="3:16" x14ac:dyDescent="0.2">
      <c r="C1498" s="1"/>
      <c r="D1498" s="1"/>
      <c r="E1498" s="1"/>
      <c r="F1498" s="1"/>
      <c r="G1498" s="1"/>
      <c r="H1498" s="1"/>
      <c r="I1498" s="1"/>
      <c r="J1498" s="1"/>
      <c r="K1498" s="1"/>
      <c r="L1498" s="1"/>
      <c r="M1498" s="1"/>
      <c r="P1498" s="2"/>
    </row>
    <row r="1499" spans="3:16" x14ac:dyDescent="0.2">
      <c r="C1499" s="1"/>
      <c r="D1499" s="1"/>
      <c r="E1499" s="1"/>
      <c r="F1499" s="1"/>
      <c r="G1499" s="1"/>
      <c r="H1499" s="1"/>
      <c r="I1499" s="1"/>
      <c r="J1499" s="1"/>
      <c r="K1499" s="1"/>
      <c r="L1499" s="1"/>
      <c r="M1499" s="1"/>
      <c r="P1499" s="2"/>
    </row>
    <row r="1500" spans="3:16" x14ac:dyDescent="0.2">
      <c r="C1500" s="1"/>
      <c r="D1500" s="1"/>
      <c r="E1500" s="1"/>
      <c r="F1500" s="1"/>
      <c r="G1500" s="1"/>
      <c r="H1500" s="1"/>
      <c r="I1500" s="1"/>
      <c r="J1500" s="1"/>
      <c r="K1500" s="1"/>
      <c r="L1500" s="1"/>
      <c r="M1500" s="1"/>
      <c r="P1500" s="2"/>
    </row>
    <row r="1501" spans="3:16" x14ac:dyDescent="0.2">
      <c r="C1501" s="1"/>
      <c r="D1501" s="1"/>
      <c r="E1501" s="1"/>
      <c r="F1501" s="1"/>
      <c r="G1501" s="1"/>
      <c r="H1501" s="1"/>
      <c r="I1501" s="1"/>
      <c r="J1501" s="1"/>
      <c r="K1501" s="1"/>
      <c r="L1501" s="1"/>
      <c r="M1501" s="1"/>
      <c r="P1501" s="2"/>
    </row>
    <row r="1502" spans="3:16" x14ac:dyDescent="0.2">
      <c r="C1502" s="1"/>
      <c r="D1502" s="1"/>
      <c r="E1502" s="1"/>
      <c r="F1502" s="1"/>
      <c r="G1502" s="1"/>
      <c r="H1502" s="1"/>
      <c r="I1502" s="1"/>
      <c r="J1502" s="1"/>
      <c r="K1502" s="1"/>
      <c r="L1502" s="1"/>
      <c r="M1502" s="1"/>
      <c r="P1502" s="2"/>
    </row>
    <row r="1503" spans="3:16" x14ac:dyDescent="0.2">
      <c r="C1503" s="1"/>
      <c r="D1503" s="1"/>
      <c r="E1503" s="1"/>
      <c r="F1503" s="1"/>
      <c r="G1503" s="1"/>
      <c r="H1503" s="1"/>
      <c r="I1503" s="1"/>
      <c r="J1503" s="1"/>
      <c r="K1503" s="1"/>
      <c r="L1503" s="1"/>
      <c r="M1503" s="1"/>
      <c r="P1503" s="2"/>
    </row>
    <row r="1504" spans="3:16" x14ac:dyDescent="0.2">
      <c r="C1504" s="1"/>
      <c r="D1504" s="1"/>
      <c r="E1504" s="1"/>
      <c r="F1504" s="1"/>
      <c r="G1504" s="1"/>
      <c r="H1504" s="1"/>
      <c r="I1504" s="1"/>
      <c r="J1504" s="1"/>
      <c r="K1504" s="1"/>
      <c r="L1504" s="1"/>
      <c r="M1504" s="1"/>
      <c r="P1504" s="2"/>
    </row>
    <row r="1505" spans="3:16" x14ac:dyDescent="0.2">
      <c r="C1505" s="1"/>
      <c r="D1505" s="1"/>
      <c r="E1505" s="1"/>
      <c r="F1505" s="1"/>
      <c r="G1505" s="1"/>
      <c r="H1505" s="1"/>
      <c r="I1505" s="1"/>
      <c r="J1505" s="1"/>
      <c r="K1505" s="1"/>
      <c r="L1505" s="1"/>
      <c r="M1505" s="1"/>
      <c r="P1505" s="2"/>
    </row>
    <row r="1506" spans="3:16" x14ac:dyDescent="0.2">
      <c r="C1506" s="1"/>
      <c r="D1506" s="1"/>
      <c r="E1506" s="1"/>
      <c r="F1506" s="1"/>
      <c r="G1506" s="1"/>
      <c r="H1506" s="1"/>
      <c r="I1506" s="1"/>
      <c r="J1506" s="1"/>
      <c r="K1506" s="1"/>
      <c r="L1506" s="1"/>
      <c r="M1506" s="1"/>
      <c r="P1506" s="2"/>
    </row>
    <row r="1507" spans="3:16" x14ac:dyDescent="0.2">
      <c r="C1507" s="1"/>
      <c r="D1507" s="1"/>
      <c r="E1507" s="1"/>
      <c r="F1507" s="1"/>
      <c r="G1507" s="1"/>
      <c r="H1507" s="1"/>
      <c r="I1507" s="1"/>
      <c r="J1507" s="1"/>
      <c r="K1507" s="1"/>
      <c r="L1507" s="1"/>
      <c r="M1507" s="1"/>
      <c r="P1507" s="2"/>
    </row>
    <row r="1508" spans="3:16" x14ac:dyDescent="0.2">
      <c r="C1508" s="1"/>
      <c r="D1508" s="1"/>
      <c r="E1508" s="1"/>
      <c r="F1508" s="1"/>
      <c r="G1508" s="1"/>
      <c r="H1508" s="1"/>
      <c r="I1508" s="1"/>
      <c r="J1508" s="1"/>
      <c r="K1508" s="1"/>
      <c r="L1508" s="1"/>
      <c r="M1508" s="1"/>
      <c r="P1508" s="2"/>
    </row>
    <row r="1509" spans="3:16" x14ac:dyDescent="0.2">
      <c r="C1509" s="1"/>
      <c r="D1509" s="1"/>
      <c r="E1509" s="1"/>
      <c r="F1509" s="1"/>
      <c r="G1509" s="1"/>
      <c r="H1509" s="1"/>
      <c r="I1509" s="1"/>
      <c r="J1509" s="1"/>
      <c r="K1509" s="1"/>
      <c r="L1509" s="1"/>
      <c r="M1509" s="1"/>
      <c r="P1509" s="2"/>
    </row>
    <row r="1510" spans="3:16" x14ac:dyDescent="0.2">
      <c r="C1510" s="1"/>
      <c r="D1510" s="1"/>
      <c r="E1510" s="1"/>
      <c r="F1510" s="1"/>
      <c r="G1510" s="1"/>
      <c r="H1510" s="1"/>
      <c r="I1510" s="1"/>
      <c r="J1510" s="1"/>
      <c r="K1510" s="1"/>
      <c r="L1510" s="1"/>
      <c r="M1510" s="1"/>
      <c r="P1510" s="2"/>
    </row>
    <row r="1511" spans="3:16" x14ac:dyDescent="0.2">
      <c r="C1511" s="1"/>
      <c r="D1511" s="1"/>
      <c r="E1511" s="1"/>
      <c r="F1511" s="1"/>
      <c r="G1511" s="1"/>
      <c r="H1511" s="1"/>
      <c r="I1511" s="1"/>
      <c r="J1511" s="1"/>
      <c r="K1511" s="1"/>
      <c r="L1511" s="1"/>
      <c r="M1511" s="1"/>
      <c r="P1511" s="2"/>
    </row>
    <row r="1512" spans="3:16" x14ac:dyDescent="0.2">
      <c r="C1512" s="1"/>
      <c r="D1512" s="1"/>
      <c r="E1512" s="1"/>
      <c r="F1512" s="1"/>
      <c r="G1512" s="1"/>
      <c r="H1512" s="1"/>
      <c r="I1512" s="1"/>
      <c r="J1512" s="1"/>
      <c r="K1512" s="1"/>
      <c r="L1512" s="1"/>
      <c r="M1512" s="1"/>
      <c r="P1512" s="2"/>
    </row>
    <row r="1513" spans="3:16" x14ac:dyDescent="0.2">
      <c r="C1513" s="1"/>
      <c r="D1513" s="1"/>
      <c r="E1513" s="1"/>
      <c r="F1513" s="1"/>
      <c r="G1513" s="1"/>
      <c r="H1513" s="1"/>
      <c r="I1513" s="1"/>
      <c r="J1513" s="1"/>
      <c r="K1513" s="1"/>
      <c r="L1513" s="1"/>
      <c r="M1513" s="1"/>
      <c r="P1513" s="2"/>
    </row>
    <row r="1514" spans="3:16" x14ac:dyDescent="0.2">
      <c r="C1514" s="1"/>
      <c r="D1514" s="1"/>
      <c r="E1514" s="1"/>
      <c r="F1514" s="1"/>
      <c r="G1514" s="1"/>
      <c r="H1514" s="1"/>
      <c r="I1514" s="1"/>
      <c r="J1514" s="1"/>
      <c r="K1514" s="1"/>
      <c r="L1514" s="1"/>
      <c r="M1514" s="1"/>
      <c r="P1514" s="2"/>
    </row>
    <row r="1515" spans="3:16" x14ac:dyDescent="0.2">
      <c r="C1515" s="1"/>
      <c r="D1515" s="1"/>
      <c r="E1515" s="1"/>
      <c r="F1515" s="1"/>
      <c r="G1515" s="1"/>
      <c r="H1515" s="1"/>
      <c r="I1515" s="1"/>
      <c r="J1515" s="1"/>
      <c r="K1515" s="1"/>
      <c r="L1515" s="1"/>
      <c r="M1515" s="1"/>
      <c r="P1515" s="2"/>
    </row>
    <row r="1516" spans="3:16" x14ac:dyDescent="0.2">
      <c r="C1516" s="1"/>
      <c r="D1516" s="1"/>
      <c r="E1516" s="1"/>
      <c r="F1516" s="1"/>
      <c r="G1516" s="1"/>
      <c r="H1516" s="1"/>
      <c r="I1516" s="1"/>
      <c r="J1516" s="1"/>
      <c r="K1516" s="1"/>
      <c r="L1516" s="1"/>
      <c r="M1516" s="1"/>
      <c r="P1516" s="2"/>
    </row>
    <row r="1517" spans="3:16" x14ac:dyDescent="0.2">
      <c r="C1517" s="1"/>
      <c r="D1517" s="1"/>
      <c r="E1517" s="1"/>
      <c r="F1517" s="1"/>
      <c r="G1517" s="1"/>
      <c r="H1517" s="1"/>
      <c r="I1517" s="1"/>
      <c r="J1517" s="1"/>
      <c r="K1517" s="1"/>
      <c r="L1517" s="1"/>
      <c r="M1517" s="1"/>
      <c r="P1517" s="2"/>
    </row>
    <row r="1518" spans="3:16" x14ac:dyDescent="0.2">
      <c r="C1518" s="1"/>
      <c r="D1518" s="1"/>
      <c r="E1518" s="1"/>
      <c r="F1518" s="1"/>
      <c r="G1518" s="1"/>
      <c r="H1518" s="1"/>
      <c r="I1518" s="1"/>
      <c r="J1518" s="1"/>
      <c r="K1518" s="1"/>
      <c r="L1518" s="1"/>
      <c r="M1518" s="1"/>
      <c r="P1518" s="2"/>
    </row>
    <row r="1519" spans="3:16" x14ac:dyDescent="0.2">
      <c r="C1519" s="1"/>
      <c r="D1519" s="1"/>
      <c r="E1519" s="1"/>
      <c r="F1519" s="1"/>
      <c r="G1519" s="1"/>
      <c r="H1519" s="1"/>
      <c r="I1519" s="1"/>
      <c r="J1519" s="1"/>
      <c r="K1519" s="1"/>
      <c r="L1519" s="1"/>
      <c r="M1519" s="1"/>
      <c r="P1519" s="2"/>
    </row>
    <row r="1520" spans="3:16" x14ac:dyDescent="0.2">
      <c r="C1520" s="1"/>
      <c r="D1520" s="1"/>
      <c r="E1520" s="1"/>
      <c r="F1520" s="1"/>
      <c r="G1520" s="1"/>
      <c r="H1520" s="1"/>
      <c r="I1520" s="1"/>
      <c r="J1520" s="1"/>
      <c r="K1520" s="1"/>
      <c r="L1520" s="1"/>
      <c r="M1520" s="1"/>
      <c r="P1520" s="2"/>
    </row>
    <row r="1521" spans="3:16" x14ac:dyDescent="0.2">
      <c r="C1521" s="1"/>
      <c r="D1521" s="1"/>
      <c r="E1521" s="1"/>
      <c r="F1521" s="1"/>
      <c r="G1521" s="1"/>
      <c r="H1521" s="1"/>
      <c r="I1521" s="1"/>
      <c r="J1521" s="1"/>
      <c r="K1521" s="1"/>
      <c r="L1521" s="1"/>
      <c r="M1521" s="1"/>
      <c r="P1521" s="2"/>
    </row>
    <row r="1522" spans="3:16" x14ac:dyDescent="0.2">
      <c r="C1522" s="1"/>
      <c r="D1522" s="1"/>
      <c r="E1522" s="1"/>
      <c r="F1522" s="1"/>
      <c r="G1522" s="1"/>
      <c r="H1522" s="1"/>
      <c r="I1522" s="1"/>
      <c r="J1522" s="1"/>
      <c r="K1522" s="1"/>
      <c r="L1522" s="1"/>
      <c r="M1522" s="1"/>
      <c r="P1522" s="2"/>
    </row>
    <row r="1523" spans="3:16" x14ac:dyDescent="0.2">
      <c r="C1523" s="1"/>
      <c r="D1523" s="1"/>
      <c r="E1523" s="1"/>
      <c r="F1523" s="1"/>
      <c r="G1523" s="1"/>
      <c r="H1523" s="1"/>
      <c r="I1523" s="1"/>
      <c r="J1523" s="1"/>
      <c r="K1523" s="1"/>
      <c r="L1523" s="1"/>
      <c r="M1523" s="1"/>
      <c r="P1523" s="2"/>
    </row>
    <row r="1524" spans="3:16" x14ac:dyDescent="0.2">
      <c r="C1524" s="1"/>
      <c r="D1524" s="1"/>
      <c r="E1524" s="1"/>
      <c r="F1524" s="1"/>
      <c r="G1524" s="1"/>
      <c r="H1524" s="1"/>
      <c r="I1524" s="1"/>
      <c r="J1524" s="1"/>
      <c r="K1524" s="1"/>
      <c r="L1524" s="1"/>
      <c r="M1524" s="1"/>
      <c r="P1524" s="2"/>
    </row>
    <row r="1525" spans="3:16" x14ac:dyDescent="0.2">
      <c r="C1525" s="1"/>
      <c r="D1525" s="1"/>
      <c r="E1525" s="1"/>
      <c r="F1525" s="1"/>
      <c r="G1525" s="1"/>
      <c r="H1525" s="1"/>
      <c r="I1525" s="1"/>
      <c r="J1525" s="1"/>
      <c r="K1525" s="1"/>
      <c r="L1525" s="1"/>
      <c r="M1525" s="1"/>
      <c r="P1525" s="2"/>
    </row>
    <row r="1526" spans="3:16" x14ac:dyDescent="0.2">
      <c r="C1526" s="1"/>
      <c r="D1526" s="1"/>
      <c r="E1526" s="1"/>
      <c r="F1526" s="1"/>
      <c r="G1526" s="1"/>
      <c r="H1526" s="1"/>
      <c r="I1526" s="1"/>
      <c r="J1526" s="1"/>
      <c r="K1526" s="1"/>
      <c r="L1526" s="1"/>
      <c r="M1526" s="1"/>
      <c r="P1526" s="2"/>
    </row>
    <row r="1527" spans="3:16" x14ac:dyDescent="0.2">
      <c r="C1527" s="1"/>
      <c r="D1527" s="1"/>
      <c r="E1527" s="1"/>
      <c r="F1527" s="1"/>
      <c r="G1527" s="1"/>
      <c r="H1527" s="1"/>
      <c r="I1527" s="1"/>
      <c r="J1527" s="1"/>
      <c r="K1527" s="1"/>
      <c r="L1527" s="1"/>
      <c r="M1527" s="1"/>
      <c r="P1527" s="2"/>
    </row>
    <row r="1528" spans="3:16" x14ac:dyDescent="0.2">
      <c r="C1528" s="1"/>
      <c r="D1528" s="1"/>
      <c r="E1528" s="1"/>
      <c r="F1528" s="1"/>
      <c r="G1528" s="1"/>
      <c r="H1528" s="1"/>
      <c r="I1528" s="1"/>
      <c r="J1528" s="1"/>
      <c r="K1528" s="1"/>
      <c r="L1528" s="1"/>
      <c r="M1528" s="1"/>
      <c r="P1528" s="2"/>
    </row>
    <row r="1529" spans="3:16" x14ac:dyDescent="0.2">
      <c r="C1529" s="1"/>
      <c r="D1529" s="1"/>
      <c r="E1529" s="1"/>
      <c r="F1529" s="1"/>
      <c r="G1529" s="1"/>
      <c r="H1529" s="1"/>
      <c r="I1529" s="1"/>
      <c r="J1529" s="1"/>
      <c r="K1529" s="1"/>
      <c r="L1529" s="1"/>
      <c r="M1529" s="1"/>
      <c r="P1529" s="2"/>
    </row>
    <row r="1530" spans="3:16" x14ac:dyDescent="0.2">
      <c r="C1530" s="1"/>
      <c r="D1530" s="1"/>
      <c r="E1530" s="1"/>
      <c r="F1530" s="1"/>
      <c r="G1530" s="1"/>
      <c r="H1530" s="1"/>
      <c r="I1530" s="1"/>
      <c r="J1530" s="1"/>
      <c r="K1530" s="1"/>
      <c r="L1530" s="1"/>
      <c r="M1530" s="1"/>
      <c r="P1530" s="2"/>
    </row>
    <row r="1531" spans="3:16" x14ac:dyDescent="0.2">
      <c r="C1531" s="1"/>
      <c r="D1531" s="1"/>
      <c r="E1531" s="1"/>
      <c r="F1531" s="1"/>
      <c r="G1531" s="1"/>
      <c r="H1531" s="1"/>
      <c r="I1531" s="1"/>
      <c r="J1531" s="1"/>
      <c r="K1531" s="1"/>
      <c r="L1531" s="1"/>
      <c r="M1531" s="1"/>
      <c r="P1531" s="2"/>
    </row>
    <row r="1532" spans="3:16" x14ac:dyDescent="0.2">
      <c r="C1532" s="1"/>
      <c r="D1532" s="1"/>
      <c r="E1532" s="1"/>
      <c r="F1532" s="1"/>
      <c r="G1532" s="1"/>
      <c r="H1532" s="1"/>
      <c r="I1532" s="1"/>
      <c r="J1532" s="1"/>
      <c r="K1532" s="1"/>
      <c r="L1532" s="1"/>
      <c r="M1532" s="1"/>
      <c r="P1532" s="2"/>
    </row>
    <row r="1533" spans="3:16" x14ac:dyDescent="0.2">
      <c r="C1533" s="1"/>
      <c r="D1533" s="1"/>
      <c r="E1533" s="1"/>
      <c r="F1533" s="1"/>
      <c r="G1533" s="1"/>
      <c r="H1533" s="1"/>
      <c r="I1533" s="1"/>
      <c r="J1533" s="1"/>
      <c r="K1533" s="1"/>
      <c r="L1533" s="1"/>
      <c r="M1533" s="1"/>
      <c r="P1533" s="2"/>
    </row>
    <row r="1534" spans="3:16" x14ac:dyDescent="0.2">
      <c r="C1534" s="1"/>
      <c r="D1534" s="1"/>
      <c r="E1534" s="1"/>
      <c r="F1534" s="1"/>
      <c r="G1534" s="1"/>
      <c r="H1534" s="1"/>
      <c r="I1534" s="1"/>
      <c r="J1534" s="1"/>
      <c r="K1534" s="1"/>
      <c r="L1534" s="1"/>
      <c r="M1534" s="1"/>
      <c r="P1534" s="2"/>
    </row>
    <row r="1535" spans="3:16" x14ac:dyDescent="0.2">
      <c r="C1535" s="1"/>
      <c r="D1535" s="1"/>
      <c r="E1535" s="1"/>
      <c r="F1535" s="1"/>
      <c r="G1535" s="1"/>
      <c r="H1535" s="1"/>
      <c r="I1535" s="1"/>
      <c r="J1535" s="1"/>
      <c r="K1535" s="1"/>
      <c r="L1535" s="1"/>
      <c r="M1535" s="1"/>
      <c r="P1535" s="2"/>
    </row>
    <row r="1536" spans="3:16" x14ac:dyDescent="0.2">
      <c r="C1536" s="1"/>
      <c r="D1536" s="1"/>
      <c r="E1536" s="1"/>
      <c r="F1536" s="1"/>
      <c r="G1536" s="1"/>
      <c r="H1536" s="1"/>
      <c r="I1536" s="1"/>
      <c r="J1536" s="1"/>
      <c r="K1536" s="1"/>
      <c r="L1536" s="1"/>
      <c r="M1536" s="1"/>
      <c r="P1536" s="2"/>
    </row>
    <row r="1537" spans="3:16" x14ac:dyDescent="0.2">
      <c r="C1537" s="1"/>
      <c r="D1537" s="1"/>
      <c r="E1537" s="1"/>
      <c r="F1537" s="1"/>
      <c r="G1537" s="1"/>
      <c r="H1537" s="1"/>
      <c r="I1537" s="1"/>
      <c r="J1537" s="1"/>
      <c r="K1537" s="1"/>
      <c r="L1537" s="1"/>
      <c r="M1537" s="1"/>
      <c r="P1537" s="2"/>
    </row>
    <row r="1538" spans="3:16" x14ac:dyDescent="0.2">
      <c r="C1538" s="1"/>
      <c r="D1538" s="1"/>
      <c r="E1538" s="1"/>
      <c r="F1538" s="1"/>
      <c r="G1538" s="1"/>
      <c r="H1538" s="1"/>
      <c r="I1538" s="1"/>
      <c r="J1538" s="1"/>
      <c r="K1538" s="1"/>
      <c r="L1538" s="1"/>
      <c r="M1538" s="1"/>
      <c r="P1538" s="2"/>
    </row>
    <row r="1539" spans="3:16" x14ac:dyDescent="0.2">
      <c r="C1539" s="1"/>
      <c r="D1539" s="1"/>
      <c r="E1539" s="1"/>
      <c r="F1539" s="1"/>
      <c r="G1539" s="1"/>
      <c r="H1539" s="1"/>
      <c r="I1539" s="1"/>
      <c r="J1539" s="1"/>
      <c r="K1539" s="1"/>
      <c r="L1539" s="1"/>
      <c r="M1539" s="1"/>
      <c r="P1539" s="2"/>
    </row>
    <row r="1540" spans="3:16" x14ac:dyDescent="0.2">
      <c r="C1540" s="1"/>
      <c r="D1540" s="1"/>
      <c r="E1540" s="1"/>
      <c r="F1540" s="1"/>
      <c r="G1540" s="1"/>
      <c r="H1540" s="1"/>
      <c r="I1540" s="1"/>
      <c r="J1540" s="1"/>
      <c r="K1540" s="1"/>
      <c r="L1540" s="1"/>
      <c r="M1540" s="1"/>
      <c r="P1540" s="2"/>
    </row>
    <row r="1541" spans="3:16" x14ac:dyDescent="0.2">
      <c r="C1541" s="1"/>
      <c r="D1541" s="1"/>
      <c r="E1541" s="1"/>
      <c r="F1541" s="1"/>
      <c r="G1541" s="1"/>
      <c r="H1541" s="1"/>
      <c r="I1541" s="1"/>
      <c r="J1541" s="1"/>
      <c r="K1541" s="1"/>
      <c r="L1541" s="1"/>
      <c r="M1541" s="1"/>
      <c r="P1541" s="2"/>
    </row>
    <row r="1542" spans="3:16" x14ac:dyDescent="0.2">
      <c r="C1542" s="1"/>
      <c r="D1542" s="1"/>
      <c r="E1542" s="1"/>
      <c r="F1542" s="1"/>
      <c r="G1542" s="1"/>
      <c r="H1542" s="1"/>
      <c r="I1542" s="1"/>
      <c r="J1542" s="1"/>
      <c r="K1542" s="1"/>
      <c r="L1542" s="1"/>
      <c r="M1542" s="1"/>
      <c r="P1542" s="2"/>
    </row>
    <row r="1543" spans="3:16" x14ac:dyDescent="0.2">
      <c r="C1543" s="1"/>
      <c r="D1543" s="1"/>
      <c r="E1543" s="1"/>
      <c r="F1543" s="1"/>
      <c r="G1543" s="1"/>
      <c r="H1543" s="1"/>
      <c r="I1543" s="1"/>
      <c r="J1543" s="1"/>
      <c r="K1543" s="1"/>
      <c r="L1543" s="1"/>
      <c r="M1543" s="1"/>
      <c r="P1543" s="2"/>
    </row>
    <row r="1544" spans="3:16" x14ac:dyDescent="0.2">
      <c r="C1544" s="1"/>
      <c r="D1544" s="1"/>
      <c r="E1544" s="1"/>
      <c r="F1544" s="1"/>
      <c r="G1544" s="1"/>
      <c r="H1544" s="1"/>
      <c r="I1544" s="1"/>
      <c r="J1544" s="1"/>
      <c r="K1544" s="1"/>
      <c r="L1544" s="1"/>
      <c r="M1544" s="1"/>
      <c r="P1544" s="2"/>
    </row>
    <row r="1545" spans="3:16" x14ac:dyDescent="0.2">
      <c r="C1545" s="1"/>
      <c r="D1545" s="1"/>
      <c r="E1545" s="1"/>
      <c r="F1545" s="1"/>
      <c r="G1545" s="1"/>
      <c r="H1545" s="1"/>
      <c r="I1545" s="1"/>
      <c r="J1545" s="1"/>
      <c r="K1545" s="1"/>
      <c r="L1545" s="1"/>
      <c r="M1545" s="1"/>
      <c r="P1545" s="2"/>
    </row>
    <row r="1546" spans="3:16" x14ac:dyDescent="0.2">
      <c r="C1546" s="1"/>
      <c r="D1546" s="1"/>
      <c r="E1546" s="1"/>
      <c r="F1546" s="1"/>
      <c r="G1546" s="1"/>
      <c r="H1546" s="1"/>
      <c r="I1546" s="1"/>
      <c r="J1546" s="1"/>
      <c r="K1546" s="1"/>
      <c r="L1546" s="1"/>
      <c r="M1546" s="1"/>
      <c r="P1546" s="2"/>
    </row>
    <row r="1547" spans="3:16" x14ac:dyDescent="0.2">
      <c r="C1547" s="1"/>
      <c r="D1547" s="1"/>
      <c r="E1547" s="1"/>
      <c r="F1547" s="1"/>
      <c r="G1547" s="1"/>
      <c r="H1547" s="1"/>
      <c r="I1547" s="1"/>
      <c r="J1547" s="1"/>
      <c r="K1547" s="1"/>
      <c r="L1547" s="1"/>
      <c r="M1547" s="1"/>
      <c r="P1547" s="2"/>
    </row>
    <row r="1548" spans="3:16" x14ac:dyDescent="0.2">
      <c r="C1548" s="1"/>
      <c r="D1548" s="1"/>
      <c r="E1548" s="1"/>
      <c r="F1548" s="1"/>
      <c r="G1548" s="1"/>
      <c r="H1548" s="1"/>
      <c r="I1548" s="1"/>
      <c r="J1548" s="1"/>
      <c r="K1548" s="1"/>
      <c r="L1548" s="1"/>
      <c r="M1548" s="1"/>
      <c r="P1548" s="2"/>
    </row>
    <row r="1549" spans="3:16" x14ac:dyDescent="0.2">
      <c r="C1549" s="1"/>
      <c r="D1549" s="1"/>
      <c r="E1549" s="1"/>
      <c r="F1549" s="1"/>
      <c r="G1549" s="1"/>
      <c r="H1549" s="1"/>
      <c r="I1549" s="1"/>
      <c r="J1549" s="1"/>
      <c r="K1549" s="1"/>
      <c r="L1549" s="1"/>
      <c r="M1549" s="1"/>
      <c r="P1549" s="2"/>
    </row>
    <row r="1550" spans="3:16" x14ac:dyDescent="0.2">
      <c r="C1550" s="1"/>
      <c r="D1550" s="1"/>
      <c r="E1550" s="1"/>
      <c r="F1550" s="1"/>
      <c r="G1550" s="1"/>
      <c r="H1550" s="1"/>
      <c r="I1550" s="1"/>
      <c r="J1550" s="1"/>
      <c r="K1550" s="1"/>
      <c r="L1550" s="1"/>
      <c r="M1550" s="1"/>
      <c r="P1550" s="2"/>
    </row>
    <row r="1551" spans="3:16" x14ac:dyDescent="0.2">
      <c r="C1551" s="1"/>
      <c r="D1551" s="1"/>
      <c r="E1551" s="1"/>
      <c r="F1551" s="1"/>
      <c r="G1551" s="1"/>
      <c r="H1551" s="1"/>
      <c r="I1551" s="1"/>
      <c r="J1551" s="1"/>
      <c r="K1551" s="1"/>
      <c r="L1551" s="1"/>
      <c r="M1551" s="1"/>
      <c r="P1551" s="2"/>
    </row>
    <row r="1552" spans="3:16" x14ac:dyDescent="0.2">
      <c r="C1552" s="1"/>
      <c r="D1552" s="1"/>
      <c r="E1552" s="1"/>
      <c r="F1552" s="1"/>
      <c r="G1552" s="1"/>
      <c r="H1552" s="1"/>
      <c r="I1552" s="1"/>
      <c r="J1552" s="1"/>
      <c r="K1552" s="1"/>
      <c r="L1552" s="1"/>
      <c r="M1552" s="1"/>
      <c r="P1552" s="2"/>
    </row>
    <row r="1553" spans="3:16" x14ac:dyDescent="0.2">
      <c r="C1553" s="1"/>
      <c r="D1553" s="1"/>
      <c r="E1553" s="1"/>
      <c r="F1553" s="1"/>
      <c r="G1553" s="1"/>
      <c r="H1553" s="1"/>
      <c r="I1553" s="1"/>
      <c r="J1553" s="1"/>
      <c r="K1553" s="1"/>
      <c r="L1553" s="1"/>
      <c r="M1553" s="1"/>
      <c r="P1553" s="2"/>
    </row>
    <row r="1554" spans="3:16" x14ac:dyDescent="0.2">
      <c r="C1554" s="1"/>
      <c r="D1554" s="1"/>
      <c r="E1554" s="1"/>
      <c r="F1554" s="1"/>
      <c r="G1554" s="1"/>
      <c r="H1554" s="1"/>
      <c r="I1554" s="1"/>
      <c r="J1554" s="1"/>
      <c r="K1554" s="1"/>
      <c r="L1554" s="1"/>
      <c r="M1554" s="1"/>
      <c r="P1554" s="2"/>
    </row>
    <row r="1555" spans="3:16" x14ac:dyDescent="0.2">
      <c r="C1555" s="1"/>
      <c r="D1555" s="1"/>
      <c r="E1555" s="1"/>
      <c r="F1555" s="1"/>
      <c r="G1555" s="1"/>
      <c r="H1555" s="1"/>
      <c r="I1555" s="1"/>
      <c r="J1555" s="1"/>
      <c r="K1555" s="1"/>
      <c r="L1555" s="1"/>
      <c r="M1555" s="1"/>
      <c r="P1555" s="2"/>
    </row>
    <row r="1556" spans="3:16" x14ac:dyDescent="0.2">
      <c r="C1556" s="1"/>
      <c r="D1556" s="1"/>
      <c r="E1556" s="1"/>
      <c r="F1556" s="1"/>
      <c r="G1556" s="1"/>
      <c r="H1556" s="1"/>
      <c r="I1556" s="1"/>
      <c r="J1556" s="1"/>
      <c r="K1556" s="1"/>
      <c r="L1556" s="1"/>
      <c r="M1556" s="1"/>
      <c r="P1556" s="2"/>
    </row>
    <row r="1557" spans="3:16" x14ac:dyDescent="0.2">
      <c r="C1557" s="1"/>
      <c r="D1557" s="1"/>
      <c r="E1557" s="1"/>
      <c r="F1557" s="1"/>
      <c r="G1557" s="1"/>
      <c r="H1557" s="1"/>
      <c r="I1557" s="1"/>
      <c r="J1557" s="1"/>
      <c r="K1557" s="1"/>
      <c r="L1557" s="1"/>
      <c r="M1557" s="1"/>
      <c r="P1557" s="2"/>
    </row>
    <row r="1558" spans="3:16" x14ac:dyDescent="0.2">
      <c r="C1558" s="1"/>
      <c r="D1558" s="1"/>
      <c r="E1558" s="1"/>
      <c r="F1558" s="1"/>
      <c r="G1558" s="1"/>
      <c r="H1558" s="1"/>
      <c r="I1558" s="1"/>
      <c r="J1558" s="1"/>
      <c r="K1558" s="1"/>
      <c r="L1558" s="1"/>
      <c r="M1558" s="1"/>
      <c r="P1558" s="2"/>
    </row>
    <row r="1559" spans="3:16" x14ac:dyDescent="0.2">
      <c r="C1559" s="1"/>
      <c r="D1559" s="1"/>
      <c r="E1559" s="1"/>
      <c r="F1559" s="1"/>
      <c r="G1559" s="1"/>
      <c r="H1559" s="1"/>
      <c r="I1559" s="1"/>
      <c r="J1559" s="1"/>
      <c r="K1559" s="1"/>
      <c r="L1559" s="1"/>
      <c r="M1559" s="1"/>
      <c r="P1559" s="2"/>
    </row>
    <row r="1560" spans="3:16" x14ac:dyDescent="0.2">
      <c r="C1560" s="1"/>
      <c r="D1560" s="1"/>
      <c r="E1560" s="1"/>
      <c r="F1560" s="1"/>
      <c r="G1560" s="1"/>
      <c r="H1560" s="1"/>
      <c r="I1560" s="1"/>
      <c r="J1560" s="1"/>
      <c r="K1560" s="1"/>
      <c r="L1560" s="1"/>
      <c r="M1560" s="1"/>
      <c r="P1560" s="2"/>
    </row>
    <row r="1561" spans="3:16" x14ac:dyDescent="0.2">
      <c r="C1561" s="1"/>
      <c r="D1561" s="1"/>
      <c r="E1561" s="1"/>
      <c r="F1561" s="1"/>
      <c r="G1561" s="1"/>
      <c r="H1561" s="1"/>
      <c r="I1561" s="1"/>
      <c r="J1561" s="1"/>
      <c r="K1561" s="1"/>
      <c r="L1561" s="1"/>
      <c r="M1561" s="1"/>
      <c r="P1561" s="2"/>
    </row>
    <row r="1562" spans="3:16" x14ac:dyDescent="0.2">
      <c r="C1562" s="1"/>
      <c r="D1562" s="1"/>
      <c r="E1562" s="1"/>
      <c r="F1562" s="1"/>
      <c r="G1562" s="1"/>
      <c r="H1562" s="1"/>
      <c r="I1562" s="1"/>
      <c r="J1562" s="1"/>
      <c r="K1562" s="1"/>
      <c r="L1562" s="1"/>
      <c r="M1562" s="1"/>
      <c r="P1562" s="2"/>
    </row>
    <row r="1563" spans="3:16" x14ac:dyDescent="0.2">
      <c r="C1563" s="1"/>
      <c r="D1563" s="1"/>
      <c r="E1563" s="1"/>
      <c r="F1563" s="1"/>
      <c r="G1563" s="1"/>
      <c r="H1563" s="1"/>
      <c r="I1563" s="1"/>
      <c r="J1563" s="1"/>
      <c r="K1563" s="1"/>
      <c r="L1563" s="1"/>
      <c r="M1563" s="1"/>
      <c r="P1563" s="2"/>
    </row>
    <row r="1564" spans="3:16" x14ac:dyDescent="0.2">
      <c r="C1564" s="1"/>
      <c r="D1564" s="1"/>
      <c r="E1564" s="1"/>
      <c r="F1564" s="1"/>
      <c r="G1564" s="1"/>
      <c r="H1564" s="1"/>
      <c r="I1564" s="1"/>
      <c r="J1564" s="1"/>
      <c r="K1564" s="1"/>
      <c r="L1564" s="1"/>
      <c r="M1564" s="1"/>
      <c r="P1564" s="2"/>
    </row>
    <row r="1565" spans="3:16" x14ac:dyDescent="0.2">
      <c r="C1565" s="1"/>
      <c r="D1565" s="1"/>
      <c r="E1565" s="1"/>
      <c r="F1565" s="1"/>
      <c r="G1565" s="1"/>
      <c r="H1565" s="1"/>
      <c r="I1565" s="1"/>
      <c r="J1565" s="1"/>
      <c r="K1565" s="1"/>
      <c r="L1565" s="1"/>
      <c r="M1565" s="1"/>
      <c r="P1565" s="2"/>
    </row>
    <row r="1566" spans="3:16" x14ac:dyDescent="0.2">
      <c r="C1566" s="1"/>
      <c r="D1566" s="1"/>
      <c r="E1566" s="1"/>
      <c r="F1566" s="1"/>
      <c r="G1566" s="1"/>
      <c r="H1566" s="1"/>
      <c r="I1566" s="1"/>
      <c r="J1566" s="1"/>
      <c r="K1566" s="1"/>
      <c r="L1566" s="1"/>
      <c r="M1566" s="1"/>
      <c r="P1566" s="2"/>
    </row>
    <row r="1567" spans="3:16" x14ac:dyDescent="0.2">
      <c r="C1567" s="1"/>
      <c r="D1567" s="1"/>
      <c r="E1567" s="1"/>
      <c r="F1567" s="1"/>
      <c r="G1567" s="1"/>
      <c r="H1567" s="1"/>
      <c r="I1567" s="1"/>
      <c r="J1567" s="1"/>
      <c r="K1567" s="1"/>
      <c r="L1567" s="1"/>
      <c r="M1567" s="1"/>
      <c r="P1567" s="2"/>
    </row>
    <row r="1568" spans="3:16" x14ac:dyDescent="0.2">
      <c r="C1568" s="1"/>
      <c r="D1568" s="1"/>
      <c r="E1568" s="1"/>
      <c r="F1568" s="1"/>
      <c r="G1568" s="1"/>
      <c r="H1568" s="1"/>
      <c r="I1568" s="1"/>
      <c r="J1568" s="1"/>
      <c r="K1568" s="1"/>
      <c r="L1568" s="1"/>
      <c r="M1568" s="1"/>
      <c r="P1568" s="2"/>
    </row>
    <row r="1569" spans="3:16" x14ac:dyDescent="0.2">
      <c r="C1569" s="1"/>
      <c r="D1569" s="1"/>
      <c r="E1569" s="1"/>
      <c r="F1569" s="1"/>
      <c r="G1569" s="1"/>
      <c r="H1569" s="1"/>
      <c r="I1569" s="1"/>
      <c r="J1569" s="1"/>
      <c r="K1569" s="1"/>
      <c r="L1569" s="1"/>
      <c r="M1569" s="1"/>
      <c r="P1569" s="2"/>
    </row>
    <row r="1570" spans="3:16" x14ac:dyDescent="0.2">
      <c r="C1570" s="1"/>
      <c r="D1570" s="1"/>
      <c r="E1570" s="1"/>
      <c r="F1570" s="1"/>
      <c r="G1570" s="1"/>
      <c r="H1570" s="1"/>
      <c r="I1570" s="1"/>
      <c r="J1570" s="1"/>
      <c r="K1570" s="1"/>
      <c r="L1570" s="1"/>
      <c r="M1570" s="1"/>
      <c r="P1570" s="2"/>
    </row>
    <row r="1571" spans="3:16" x14ac:dyDescent="0.2">
      <c r="C1571" s="1"/>
      <c r="D1571" s="1"/>
      <c r="E1571" s="1"/>
      <c r="F1571" s="1"/>
      <c r="G1571" s="1"/>
      <c r="H1571" s="1"/>
      <c r="I1571" s="1"/>
      <c r="J1571" s="1"/>
      <c r="K1571" s="1"/>
      <c r="L1571" s="1"/>
      <c r="M1571" s="1"/>
      <c r="P1571" s="2"/>
    </row>
    <row r="1572" spans="3:16" x14ac:dyDescent="0.2">
      <c r="C1572" s="1"/>
      <c r="D1572" s="1"/>
      <c r="E1572" s="1"/>
      <c r="F1572" s="1"/>
      <c r="G1572" s="1"/>
      <c r="H1572" s="1"/>
      <c r="I1572" s="1"/>
      <c r="J1572" s="1"/>
      <c r="K1572" s="1"/>
      <c r="L1572" s="1"/>
      <c r="M1572" s="1"/>
      <c r="P1572" s="2"/>
    </row>
    <row r="1573" spans="3:16" x14ac:dyDescent="0.2">
      <c r="C1573" s="1"/>
      <c r="D1573" s="1"/>
      <c r="E1573" s="1"/>
      <c r="F1573" s="1"/>
      <c r="G1573" s="1"/>
      <c r="H1573" s="1"/>
      <c r="I1573" s="1"/>
      <c r="J1573" s="1"/>
      <c r="K1573" s="1"/>
      <c r="L1573" s="1"/>
      <c r="M1573" s="1"/>
      <c r="P1573" s="2"/>
    </row>
    <row r="1574" spans="3:16" x14ac:dyDescent="0.2">
      <c r="C1574" s="1"/>
      <c r="D1574" s="1"/>
      <c r="E1574" s="1"/>
      <c r="F1574" s="1"/>
      <c r="G1574" s="1"/>
      <c r="H1574" s="1"/>
      <c r="I1574" s="1"/>
      <c r="J1574" s="1"/>
      <c r="K1574" s="1"/>
      <c r="L1574" s="1"/>
      <c r="M1574" s="1"/>
      <c r="P1574" s="2"/>
    </row>
    <row r="1575" spans="3:16" x14ac:dyDescent="0.2">
      <c r="C1575" s="1"/>
      <c r="D1575" s="1"/>
      <c r="E1575" s="1"/>
      <c r="F1575" s="1"/>
      <c r="G1575" s="1"/>
      <c r="H1575" s="1"/>
      <c r="I1575" s="1"/>
      <c r="J1575" s="1"/>
      <c r="K1575" s="1"/>
      <c r="L1575" s="1"/>
      <c r="M1575" s="1"/>
      <c r="P1575" s="2"/>
    </row>
    <row r="1576" spans="3:16" x14ac:dyDescent="0.2">
      <c r="C1576" s="1"/>
      <c r="D1576" s="1"/>
      <c r="E1576" s="1"/>
      <c r="F1576" s="1"/>
      <c r="G1576" s="1"/>
      <c r="H1576" s="1"/>
      <c r="I1576" s="1"/>
      <c r="J1576" s="1"/>
      <c r="K1576" s="1"/>
      <c r="L1576" s="1"/>
      <c r="M1576" s="1"/>
      <c r="P1576" s="2"/>
    </row>
    <row r="1577" spans="3:16" x14ac:dyDescent="0.2">
      <c r="C1577" s="1"/>
      <c r="D1577" s="1"/>
      <c r="E1577" s="1"/>
      <c r="F1577" s="1"/>
      <c r="G1577" s="1"/>
      <c r="H1577" s="1"/>
      <c r="I1577" s="1"/>
      <c r="J1577" s="1"/>
      <c r="K1577" s="1"/>
      <c r="L1577" s="1"/>
      <c r="M1577" s="1"/>
      <c r="P1577" s="2"/>
    </row>
    <row r="1578" spans="3:16" x14ac:dyDescent="0.2">
      <c r="C1578" s="1"/>
      <c r="D1578" s="1"/>
      <c r="E1578" s="1"/>
      <c r="F1578" s="1"/>
      <c r="G1578" s="1"/>
      <c r="H1578" s="1"/>
      <c r="I1578" s="1"/>
      <c r="J1578" s="1"/>
      <c r="K1578" s="1"/>
      <c r="L1578" s="1"/>
      <c r="M1578" s="1"/>
      <c r="P1578" s="2"/>
    </row>
    <row r="1579" spans="3:16" x14ac:dyDescent="0.2">
      <c r="C1579" s="1"/>
      <c r="D1579" s="1"/>
      <c r="E1579" s="1"/>
      <c r="F1579" s="1"/>
      <c r="G1579" s="1"/>
      <c r="H1579" s="1"/>
      <c r="I1579" s="1"/>
      <c r="J1579" s="1"/>
      <c r="K1579" s="1"/>
      <c r="L1579" s="1"/>
      <c r="M1579" s="1"/>
      <c r="P1579" s="2"/>
    </row>
    <row r="1580" spans="3:16" x14ac:dyDescent="0.2">
      <c r="C1580" s="1"/>
      <c r="D1580" s="1"/>
      <c r="E1580" s="1"/>
      <c r="F1580" s="1"/>
      <c r="G1580" s="1"/>
      <c r="H1580" s="1"/>
      <c r="I1580" s="1"/>
      <c r="J1580" s="1"/>
      <c r="K1580" s="1"/>
      <c r="L1580" s="1"/>
      <c r="M1580" s="1"/>
      <c r="P1580" s="2"/>
    </row>
    <row r="1581" spans="3:16" x14ac:dyDescent="0.2">
      <c r="C1581" s="1"/>
      <c r="D1581" s="1"/>
      <c r="E1581" s="1"/>
      <c r="F1581" s="1"/>
      <c r="G1581" s="1"/>
      <c r="H1581" s="1"/>
      <c r="I1581" s="1"/>
      <c r="J1581" s="1"/>
      <c r="K1581" s="1"/>
      <c r="L1581" s="1"/>
      <c r="M1581" s="1"/>
      <c r="P1581" s="2"/>
    </row>
    <row r="1582" spans="3:16" x14ac:dyDescent="0.2">
      <c r="C1582" s="1"/>
      <c r="D1582" s="1"/>
      <c r="E1582" s="1"/>
      <c r="F1582" s="1"/>
      <c r="G1582" s="1"/>
      <c r="H1582" s="1"/>
      <c r="I1582" s="1"/>
      <c r="J1582" s="1"/>
      <c r="K1582" s="1"/>
      <c r="L1582" s="1"/>
      <c r="M1582" s="1"/>
      <c r="P1582" s="2"/>
    </row>
    <row r="1583" spans="3:16" x14ac:dyDescent="0.2">
      <c r="C1583" s="1"/>
      <c r="D1583" s="1"/>
      <c r="E1583" s="1"/>
      <c r="F1583" s="1"/>
      <c r="G1583" s="1"/>
      <c r="H1583" s="1"/>
      <c r="I1583" s="1"/>
      <c r="J1583" s="1"/>
      <c r="K1583" s="1"/>
      <c r="L1583" s="1"/>
      <c r="M1583" s="1"/>
      <c r="P1583" s="2"/>
    </row>
    <row r="1584" spans="3:16" x14ac:dyDescent="0.2">
      <c r="C1584" s="1"/>
      <c r="D1584" s="1"/>
      <c r="E1584" s="1"/>
      <c r="F1584" s="1"/>
      <c r="G1584" s="1"/>
      <c r="H1584" s="1"/>
      <c r="I1584" s="1"/>
      <c r="J1584" s="1"/>
      <c r="K1584" s="1"/>
      <c r="L1584" s="1"/>
      <c r="M1584" s="1"/>
      <c r="P1584" s="2"/>
    </row>
    <row r="1585" spans="3:16" x14ac:dyDescent="0.2">
      <c r="C1585" s="1"/>
      <c r="D1585" s="1"/>
      <c r="E1585" s="1"/>
      <c r="F1585" s="1"/>
      <c r="G1585" s="1"/>
      <c r="H1585" s="1"/>
      <c r="I1585" s="1"/>
      <c r="J1585" s="1"/>
      <c r="K1585" s="1"/>
      <c r="L1585" s="1"/>
      <c r="M1585" s="1"/>
      <c r="P1585" s="2"/>
    </row>
    <row r="1586" spans="3:16" x14ac:dyDescent="0.2">
      <c r="C1586" s="1"/>
      <c r="D1586" s="1"/>
      <c r="E1586" s="1"/>
      <c r="F1586" s="1"/>
      <c r="G1586" s="1"/>
      <c r="H1586" s="1"/>
      <c r="I1586" s="1"/>
      <c r="J1586" s="1"/>
      <c r="K1586" s="1"/>
      <c r="L1586" s="1"/>
      <c r="M1586" s="1"/>
      <c r="P1586" s="2"/>
    </row>
    <row r="1587" spans="3:16" x14ac:dyDescent="0.2">
      <c r="C1587" s="1"/>
      <c r="D1587" s="1"/>
      <c r="E1587" s="1"/>
      <c r="F1587" s="1"/>
      <c r="G1587" s="1"/>
      <c r="H1587" s="1"/>
      <c r="I1587" s="1"/>
      <c r="J1587" s="1"/>
      <c r="K1587" s="1"/>
      <c r="L1587" s="1"/>
      <c r="M1587" s="1"/>
      <c r="P1587" s="2"/>
    </row>
    <row r="1588" spans="3:16" x14ac:dyDescent="0.2">
      <c r="C1588" s="1"/>
      <c r="D1588" s="1"/>
      <c r="E1588" s="1"/>
      <c r="F1588" s="1"/>
      <c r="G1588" s="1"/>
      <c r="H1588" s="1"/>
      <c r="I1588" s="1"/>
      <c r="J1588" s="1"/>
      <c r="K1588" s="1"/>
      <c r="L1588" s="1"/>
      <c r="M1588" s="1"/>
      <c r="P1588" s="2"/>
    </row>
    <row r="1589" spans="3:16" x14ac:dyDescent="0.2">
      <c r="C1589" s="1"/>
      <c r="D1589" s="1"/>
      <c r="E1589" s="1"/>
      <c r="F1589" s="1"/>
      <c r="G1589" s="1"/>
      <c r="H1589" s="1"/>
      <c r="I1589" s="1"/>
      <c r="J1589" s="1"/>
      <c r="K1589" s="1"/>
      <c r="L1589" s="1"/>
      <c r="M1589" s="1"/>
      <c r="P1589" s="2"/>
    </row>
    <row r="1590" spans="3:16" x14ac:dyDescent="0.2">
      <c r="C1590" s="1"/>
      <c r="D1590" s="1"/>
      <c r="E1590" s="1"/>
      <c r="F1590" s="1"/>
      <c r="G1590" s="1"/>
      <c r="H1590" s="1"/>
      <c r="I1590" s="1"/>
      <c r="J1590" s="1"/>
      <c r="K1590" s="1"/>
      <c r="L1590" s="1"/>
      <c r="M1590" s="1"/>
      <c r="P1590" s="2"/>
    </row>
    <row r="1591" spans="3:16" x14ac:dyDescent="0.2">
      <c r="C1591" s="1"/>
      <c r="D1591" s="1"/>
      <c r="E1591" s="1"/>
      <c r="F1591" s="1"/>
      <c r="G1591" s="1"/>
      <c r="H1591" s="1"/>
      <c r="I1591" s="1"/>
      <c r="J1591" s="1"/>
      <c r="K1591" s="1"/>
      <c r="L1591" s="1"/>
      <c r="M1591" s="1"/>
      <c r="P1591" s="2"/>
    </row>
    <row r="1592" spans="3:16" x14ac:dyDescent="0.2">
      <c r="C1592" s="1"/>
      <c r="D1592" s="1"/>
      <c r="E1592" s="1"/>
      <c r="F1592" s="1"/>
      <c r="G1592" s="1"/>
      <c r="H1592" s="1"/>
      <c r="I1592" s="1"/>
      <c r="J1592" s="1"/>
      <c r="K1592" s="1"/>
      <c r="L1592" s="1"/>
      <c r="M1592" s="1"/>
      <c r="P1592" s="2"/>
    </row>
    <row r="1593" spans="3:16" x14ac:dyDescent="0.2">
      <c r="C1593" s="1"/>
      <c r="D1593" s="1"/>
      <c r="E1593" s="1"/>
      <c r="F1593" s="1"/>
      <c r="G1593" s="1"/>
      <c r="H1593" s="1"/>
      <c r="I1593" s="1"/>
      <c r="J1593" s="1"/>
      <c r="K1593" s="1"/>
      <c r="L1593" s="1"/>
      <c r="M1593" s="1"/>
      <c r="P1593" s="2"/>
    </row>
    <row r="1594" spans="3:16" x14ac:dyDescent="0.2">
      <c r="C1594" s="1"/>
      <c r="D1594" s="1"/>
      <c r="E1594" s="1"/>
      <c r="F1594" s="1"/>
      <c r="G1594" s="1"/>
      <c r="H1594" s="1"/>
      <c r="I1594" s="1"/>
      <c r="J1594" s="1"/>
      <c r="K1594" s="1"/>
      <c r="L1594" s="1"/>
      <c r="M1594" s="1"/>
      <c r="P1594" s="2"/>
    </row>
    <row r="1595" spans="3:16" x14ac:dyDescent="0.2">
      <c r="C1595" s="1"/>
      <c r="D1595" s="1"/>
      <c r="E1595" s="1"/>
      <c r="F1595" s="1"/>
      <c r="G1595" s="1"/>
      <c r="H1595" s="1"/>
      <c r="I1595" s="1"/>
      <c r="J1595" s="1"/>
      <c r="K1595" s="1"/>
      <c r="L1595" s="1"/>
      <c r="M1595" s="1"/>
      <c r="P1595" s="2"/>
    </row>
    <row r="1596" spans="3:16" x14ac:dyDescent="0.2">
      <c r="C1596" s="1"/>
      <c r="D1596" s="1"/>
      <c r="E1596" s="1"/>
      <c r="F1596" s="1"/>
      <c r="G1596" s="1"/>
      <c r="H1596" s="1"/>
      <c r="I1596" s="1"/>
      <c r="J1596" s="1"/>
      <c r="K1596" s="1"/>
      <c r="L1596" s="1"/>
      <c r="M1596" s="1"/>
      <c r="P1596" s="2"/>
    </row>
    <row r="1597" spans="3:16" x14ac:dyDescent="0.2">
      <c r="C1597" s="1"/>
      <c r="D1597" s="1"/>
      <c r="E1597" s="1"/>
      <c r="F1597" s="1"/>
      <c r="G1597" s="1"/>
      <c r="H1597" s="1"/>
      <c r="I1597" s="1"/>
      <c r="J1597" s="1"/>
      <c r="K1597" s="1"/>
      <c r="L1597" s="1"/>
      <c r="M1597" s="1"/>
      <c r="P1597" s="2"/>
    </row>
    <row r="1598" spans="3:16" x14ac:dyDescent="0.2">
      <c r="C1598" s="1"/>
      <c r="D1598" s="1"/>
      <c r="E1598" s="1"/>
      <c r="F1598" s="1"/>
      <c r="G1598" s="1"/>
      <c r="H1598" s="1"/>
      <c r="I1598" s="1"/>
      <c r="J1598" s="1"/>
      <c r="K1598" s="1"/>
      <c r="L1598" s="1"/>
      <c r="M1598" s="1"/>
      <c r="P1598" s="2"/>
    </row>
    <row r="1599" spans="3:16" x14ac:dyDescent="0.2">
      <c r="C1599" s="1"/>
      <c r="D1599" s="1"/>
      <c r="E1599" s="1"/>
      <c r="F1599" s="1"/>
      <c r="G1599" s="1"/>
      <c r="H1599" s="1"/>
      <c r="I1599" s="1"/>
      <c r="J1599" s="1"/>
      <c r="K1599" s="1"/>
      <c r="L1599" s="1"/>
      <c r="M1599" s="1"/>
      <c r="P1599" s="2"/>
    </row>
    <row r="1600" spans="3:16" x14ac:dyDescent="0.2">
      <c r="C1600" s="1"/>
      <c r="D1600" s="1"/>
      <c r="E1600" s="1"/>
      <c r="F1600" s="1"/>
      <c r="G1600" s="1"/>
      <c r="H1600" s="1"/>
      <c r="I1600" s="1"/>
      <c r="J1600" s="1"/>
      <c r="K1600" s="1"/>
      <c r="L1600" s="1"/>
      <c r="M1600" s="1"/>
      <c r="P1600" s="2"/>
    </row>
    <row r="1601" spans="3:16" x14ac:dyDescent="0.2">
      <c r="C1601" s="1"/>
      <c r="D1601" s="1"/>
      <c r="E1601" s="1"/>
      <c r="F1601" s="1"/>
      <c r="G1601" s="1"/>
      <c r="H1601" s="1"/>
      <c r="I1601" s="1"/>
      <c r="J1601" s="1"/>
      <c r="K1601" s="1"/>
      <c r="L1601" s="1"/>
      <c r="M1601" s="1"/>
      <c r="P1601" s="2"/>
    </row>
    <row r="1602" spans="3:16" x14ac:dyDescent="0.2">
      <c r="C1602" s="1"/>
      <c r="D1602" s="1"/>
      <c r="E1602" s="1"/>
      <c r="F1602" s="1"/>
      <c r="G1602" s="1"/>
      <c r="H1602" s="1"/>
      <c r="I1602" s="1"/>
      <c r="J1602" s="1"/>
      <c r="K1602" s="1"/>
      <c r="L1602" s="1"/>
      <c r="M1602" s="1"/>
      <c r="P1602" s="2"/>
    </row>
    <row r="1603" spans="3:16" x14ac:dyDescent="0.2">
      <c r="C1603" s="1"/>
      <c r="D1603" s="1"/>
      <c r="E1603" s="1"/>
      <c r="F1603" s="1"/>
      <c r="G1603" s="1"/>
      <c r="H1603" s="1"/>
      <c r="I1603" s="1"/>
      <c r="J1603" s="1"/>
      <c r="K1603" s="1"/>
      <c r="L1603" s="1"/>
      <c r="M1603" s="1"/>
      <c r="P1603" s="2"/>
    </row>
    <row r="1604" spans="3:16" x14ac:dyDescent="0.2">
      <c r="C1604" s="1"/>
      <c r="D1604" s="1"/>
      <c r="E1604" s="1"/>
      <c r="F1604" s="1"/>
      <c r="G1604" s="1"/>
      <c r="H1604" s="1"/>
      <c r="I1604" s="1"/>
      <c r="J1604" s="1"/>
      <c r="K1604" s="1"/>
      <c r="L1604" s="1"/>
      <c r="M1604" s="1"/>
      <c r="P1604" s="2"/>
    </row>
    <row r="1605" spans="3:16" x14ac:dyDescent="0.2">
      <c r="C1605" s="1"/>
      <c r="D1605" s="1"/>
      <c r="E1605" s="1"/>
      <c r="F1605" s="1"/>
      <c r="G1605" s="1"/>
      <c r="H1605" s="1"/>
      <c r="I1605" s="1"/>
      <c r="J1605" s="1"/>
      <c r="K1605" s="1"/>
      <c r="L1605" s="1"/>
      <c r="M1605" s="1"/>
      <c r="P1605" s="2"/>
    </row>
    <row r="1606" spans="3:16" x14ac:dyDescent="0.2">
      <c r="C1606" s="1"/>
      <c r="D1606" s="1"/>
      <c r="E1606" s="1"/>
      <c r="F1606" s="1"/>
      <c r="G1606" s="1"/>
      <c r="H1606" s="1"/>
      <c r="I1606" s="1"/>
      <c r="J1606" s="1"/>
      <c r="K1606" s="1"/>
      <c r="L1606" s="1"/>
      <c r="M1606" s="1"/>
      <c r="P1606" s="2"/>
    </row>
    <row r="1607" spans="3:16" x14ac:dyDescent="0.2">
      <c r="C1607" s="1"/>
      <c r="D1607" s="1"/>
      <c r="E1607" s="1"/>
      <c r="F1607" s="1"/>
      <c r="G1607" s="1"/>
      <c r="H1607" s="1"/>
      <c r="I1607" s="1"/>
      <c r="J1607" s="1"/>
      <c r="K1607" s="1"/>
      <c r="L1607" s="1"/>
      <c r="M1607" s="1"/>
      <c r="P1607" s="2"/>
    </row>
    <row r="1608" spans="3:16" x14ac:dyDescent="0.2">
      <c r="C1608" s="1"/>
      <c r="D1608" s="1"/>
      <c r="E1608" s="1"/>
      <c r="F1608" s="1"/>
      <c r="G1608" s="1"/>
      <c r="H1608" s="1"/>
      <c r="I1608" s="1"/>
      <c r="J1608" s="1"/>
      <c r="K1608" s="1"/>
      <c r="L1608" s="1"/>
      <c r="M1608" s="1"/>
      <c r="P1608" s="2"/>
    </row>
    <row r="1609" spans="3:16" x14ac:dyDescent="0.2">
      <c r="C1609" s="1"/>
      <c r="D1609" s="1"/>
      <c r="E1609" s="1"/>
      <c r="F1609" s="1"/>
      <c r="G1609" s="1"/>
      <c r="H1609" s="1"/>
      <c r="I1609" s="1"/>
      <c r="J1609" s="1"/>
      <c r="K1609" s="1"/>
      <c r="L1609" s="1"/>
      <c r="M1609" s="1"/>
      <c r="P1609" s="2"/>
    </row>
    <row r="1610" spans="3:16" x14ac:dyDescent="0.2">
      <c r="C1610" s="1"/>
      <c r="D1610" s="1"/>
      <c r="E1610" s="1"/>
      <c r="F1610" s="1"/>
      <c r="G1610" s="1"/>
      <c r="H1610" s="1"/>
      <c r="I1610" s="1"/>
      <c r="J1610" s="1"/>
      <c r="K1610" s="1"/>
      <c r="L1610" s="1"/>
      <c r="M1610" s="1"/>
      <c r="P1610" s="2"/>
    </row>
    <row r="1611" spans="3:16" x14ac:dyDescent="0.2">
      <c r="C1611" s="1"/>
      <c r="D1611" s="1"/>
      <c r="E1611" s="1"/>
      <c r="F1611" s="1"/>
      <c r="G1611" s="1"/>
      <c r="H1611" s="1"/>
      <c r="I1611" s="1"/>
      <c r="J1611" s="1"/>
      <c r="K1611" s="1"/>
      <c r="L1611" s="1"/>
      <c r="M1611" s="1"/>
      <c r="P1611" s="2"/>
    </row>
    <row r="1612" spans="3:16" x14ac:dyDescent="0.2">
      <c r="C1612" s="1"/>
      <c r="D1612" s="1"/>
      <c r="E1612" s="1"/>
      <c r="F1612" s="1"/>
      <c r="G1612" s="1"/>
      <c r="H1612" s="1"/>
      <c r="I1612" s="1"/>
      <c r="J1612" s="1"/>
      <c r="K1612" s="1"/>
      <c r="L1612" s="1"/>
      <c r="M1612" s="1"/>
      <c r="P1612" s="2"/>
    </row>
    <row r="1613" spans="3:16" x14ac:dyDescent="0.2">
      <c r="C1613" s="1"/>
      <c r="D1613" s="1"/>
      <c r="E1613" s="1"/>
      <c r="F1613" s="1"/>
      <c r="G1613" s="1"/>
      <c r="H1613" s="1"/>
      <c r="I1613" s="1"/>
      <c r="J1613" s="1"/>
      <c r="K1613" s="1"/>
      <c r="L1613" s="1"/>
      <c r="M1613" s="1"/>
      <c r="P1613" s="2"/>
    </row>
    <row r="1614" spans="3:16" x14ac:dyDescent="0.2">
      <c r="C1614" s="1"/>
      <c r="D1614" s="1"/>
      <c r="E1614" s="1"/>
      <c r="F1614" s="1"/>
      <c r="G1614" s="1"/>
      <c r="H1614" s="1"/>
      <c r="I1614" s="1"/>
      <c r="J1614" s="1"/>
      <c r="K1614" s="1"/>
      <c r="L1614" s="1"/>
      <c r="M1614" s="1"/>
      <c r="P1614" s="2"/>
    </row>
    <row r="1615" spans="3:16" x14ac:dyDescent="0.2">
      <c r="C1615" s="1"/>
      <c r="D1615" s="1"/>
      <c r="E1615" s="1"/>
      <c r="F1615" s="1"/>
      <c r="G1615" s="1"/>
      <c r="H1615" s="1"/>
      <c r="I1615" s="1"/>
      <c r="J1615" s="1"/>
      <c r="K1615" s="1"/>
      <c r="L1615" s="1"/>
      <c r="M1615" s="1"/>
      <c r="P1615" s="2"/>
    </row>
    <row r="1616" spans="3:16" x14ac:dyDescent="0.2">
      <c r="C1616" s="1"/>
      <c r="D1616" s="1"/>
      <c r="E1616" s="1"/>
      <c r="F1616" s="1"/>
      <c r="G1616" s="1"/>
      <c r="H1616" s="1"/>
      <c r="I1616" s="1"/>
      <c r="J1616" s="1"/>
      <c r="K1616" s="1"/>
      <c r="L1616" s="1"/>
      <c r="M1616" s="1"/>
      <c r="P1616" s="2"/>
    </row>
    <row r="1617" spans="3:16" x14ac:dyDescent="0.2">
      <c r="C1617" s="1"/>
      <c r="D1617" s="1"/>
      <c r="E1617" s="1"/>
      <c r="F1617" s="1"/>
      <c r="G1617" s="1"/>
      <c r="H1617" s="1"/>
      <c r="I1617" s="1"/>
      <c r="J1617" s="1"/>
      <c r="K1617" s="1"/>
      <c r="L1617" s="1"/>
      <c r="M1617" s="1"/>
      <c r="P1617" s="2"/>
    </row>
    <row r="1618" spans="3:16" x14ac:dyDescent="0.2">
      <c r="C1618" s="1"/>
      <c r="D1618" s="1"/>
      <c r="E1618" s="1"/>
      <c r="F1618" s="1"/>
      <c r="G1618" s="1"/>
      <c r="H1618" s="1"/>
      <c r="I1618" s="1"/>
      <c r="J1618" s="1"/>
      <c r="K1618" s="1"/>
      <c r="L1618" s="1"/>
      <c r="M1618" s="1"/>
      <c r="P1618" s="2"/>
    </row>
    <row r="1619" spans="3:16" x14ac:dyDescent="0.2">
      <c r="C1619" s="1"/>
      <c r="D1619" s="1"/>
      <c r="E1619" s="1"/>
      <c r="F1619" s="1"/>
      <c r="G1619" s="1"/>
      <c r="H1619" s="1"/>
      <c r="I1619" s="1"/>
      <c r="J1619" s="1"/>
      <c r="K1619" s="1"/>
      <c r="L1619" s="1"/>
      <c r="M1619" s="1"/>
      <c r="P1619" s="2"/>
    </row>
    <row r="1620" spans="3:16" x14ac:dyDescent="0.2">
      <c r="C1620" s="1"/>
      <c r="D1620" s="1"/>
      <c r="E1620" s="1"/>
      <c r="F1620" s="1"/>
      <c r="G1620" s="1"/>
      <c r="H1620" s="1"/>
      <c r="I1620" s="1"/>
      <c r="J1620" s="1"/>
      <c r="K1620" s="1"/>
      <c r="L1620" s="1"/>
      <c r="M1620" s="1"/>
      <c r="P1620" s="2"/>
    </row>
    <row r="1621" spans="3:16" x14ac:dyDescent="0.2">
      <c r="C1621" s="1"/>
      <c r="D1621" s="1"/>
      <c r="E1621" s="1"/>
      <c r="F1621" s="1"/>
      <c r="G1621" s="1"/>
      <c r="H1621" s="1"/>
      <c r="I1621" s="1"/>
      <c r="J1621" s="1"/>
      <c r="K1621" s="1"/>
      <c r="L1621" s="1"/>
      <c r="M1621" s="1"/>
      <c r="P1621" s="2"/>
    </row>
    <row r="1622" spans="3:16" x14ac:dyDescent="0.2">
      <c r="C1622" s="1"/>
      <c r="D1622" s="1"/>
      <c r="E1622" s="1"/>
      <c r="F1622" s="1"/>
      <c r="G1622" s="1"/>
      <c r="H1622" s="1"/>
      <c r="I1622" s="1"/>
      <c r="J1622" s="1"/>
      <c r="K1622" s="1"/>
      <c r="L1622" s="1"/>
      <c r="M1622" s="1"/>
      <c r="P1622" s="2"/>
    </row>
    <row r="1623" spans="3:16" x14ac:dyDescent="0.2">
      <c r="C1623" s="1"/>
      <c r="D1623" s="1"/>
      <c r="E1623" s="1"/>
      <c r="F1623" s="1"/>
      <c r="G1623" s="1"/>
      <c r="H1623" s="1"/>
      <c r="I1623" s="1"/>
      <c r="J1623" s="1"/>
      <c r="K1623" s="1"/>
      <c r="L1623" s="1"/>
      <c r="M1623" s="1"/>
      <c r="P1623" s="2"/>
    </row>
    <row r="1624" spans="3:16" x14ac:dyDescent="0.2">
      <c r="C1624" s="1"/>
      <c r="D1624" s="1"/>
      <c r="E1624" s="1"/>
      <c r="F1624" s="1"/>
      <c r="G1624" s="1"/>
      <c r="H1624" s="1"/>
      <c r="I1624" s="1"/>
      <c r="J1624" s="1"/>
      <c r="K1624" s="1"/>
      <c r="L1624" s="1"/>
      <c r="M1624" s="1"/>
      <c r="P1624" s="2"/>
    </row>
    <row r="1625" spans="3:16" x14ac:dyDescent="0.2">
      <c r="C1625" s="1"/>
      <c r="D1625" s="1"/>
      <c r="E1625" s="1"/>
      <c r="F1625" s="1"/>
      <c r="G1625" s="1"/>
      <c r="H1625" s="1"/>
      <c r="I1625" s="1"/>
      <c r="J1625" s="1"/>
      <c r="K1625" s="1"/>
      <c r="L1625" s="1"/>
      <c r="M1625" s="1"/>
      <c r="P1625" s="2"/>
    </row>
    <row r="1626" spans="3:16" x14ac:dyDescent="0.2">
      <c r="C1626" s="1"/>
      <c r="D1626" s="1"/>
      <c r="E1626" s="1"/>
      <c r="F1626" s="1"/>
      <c r="G1626" s="1"/>
      <c r="H1626" s="1"/>
      <c r="I1626" s="1"/>
      <c r="J1626" s="1"/>
      <c r="K1626" s="1"/>
      <c r="L1626" s="1"/>
      <c r="M1626" s="1"/>
      <c r="P1626" s="2"/>
    </row>
    <row r="1627" spans="3:16" x14ac:dyDescent="0.2">
      <c r="C1627" s="1"/>
      <c r="D1627" s="1"/>
      <c r="E1627" s="1"/>
      <c r="F1627" s="1"/>
      <c r="G1627" s="1"/>
      <c r="H1627" s="1"/>
      <c r="I1627" s="1"/>
      <c r="J1627" s="1"/>
      <c r="K1627" s="1"/>
      <c r="L1627" s="1"/>
      <c r="M1627" s="1"/>
      <c r="P1627" s="2"/>
    </row>
    <row r="1628" spans="3:16" x14ac:dyDescent="0.2">
      <c r="C1628" s="1"/>
      <c r="D1628" s="1"/>
      <c r="E1628" s="1"/>
      <c r="F1628" s="1"/>
      <c r="G1628" s="1"/>
      <c r="H1628" s="1"/>
      <c r="I1628" s="1"/>
      <c r="J1628" s="1"/>
      <c r="K1628" s="1"/>
      <c r="L1628" s="1"/>
      <c r="M1628" s="1"/>
      <c r="P1628" s="2"/>
    </row>
    <row r="1629" spans="3:16" x14ac:dyDescent="0.2">
      <c r="C1629" s="1"/>
      <c r="D1629" s="1"/>
      <c r="E1629" s="1"/>
      <c r="F1629" s="1"/>
      <c r="G1629" s="1"/>
      <c r="H1629" s="1"/>
      <c r="I1629" s="1"/>
      <c r="J1629" s="1"/>
      <c r="K1629" s="1"/>
      <c r="L1629" s="1"/>
      <c r="M1629" s="1"/>
      <c r="P1629" s="2"/>
    </row>
    <row r="1630" spans="3:16" x14ac:dyDescent="0.2">
      <c r="C1630" s="1"/>
      <c r="D1630" s="1"/>
      <c r="E1630" s="1"/>
      <c r="F1630" s="1"/>
      <c r="G1630" s="1"/>
      <c r="H1630" s="1"/>
      <c r="I1630" s="1"/>
      <c r="J1630" s="1"/>
      <c r="K1630" s="1"/>
      <c r="L1630" s="1"/>
      <c r="M1630" s="1"/>
      <c r="P1630" s="2"/>
    </row>
    <row r="1631" spans="3:16" x14ac:dyDescent="0.2">
      <c r="C1631" s="1"/>
      <c r="D1631" s="1"/>
      <c r="E1631" s="1"/>
      <c r="F1631" s="1"/>
      <c r="G1631" s="1"/>
      <c r="H1631" s="1"/>
      <c r="I1631" s="1"/>
      <c r="J1631" s="1"/>
      <c r="K1631" s="1"/>
      <c r="L1631" s="1"/>
      <c r="M1631" s="1"/>
      <c r="P1631" s="2"/>
    </row>
    <row r="1632" spans="3:16" x14ac:dyDescent="0.2">
      <c r="C1632" s="1"/>
      <c r="D1632" s="1"/>
      <c r="E1632" s="1"/>
      <c r="F1632" s="1"/>
      <c r="G1632" s="1"/>
      <c r="H1632" s="1"/>
      <c r="I1632" s="1"/>
      <c r="J1632" s="1"/>
      <c r="K1632" s="1"/>
      <c r="L1632" s="1"/>
      <c r="M1632" s="1"/>
      <c r="P1632" s="2"/>
    </row>
    <row r="1633" spans="3:16" x14ac:dyDescent="0.2">
      <c r="C1633" s="1"/>
      <c r="D1633" s="1"/>
      <c r="E1633" s="1"/>
      <c r="F1633" s="1"/>
      <c r="G1633" s="1"/>
      <c r="H1633" s="1"/>
      <c r="I1633" s="1"/>
      <c r="J1633" s="1"/>
      <c r="K1633" s="1"/>
      <c r="L1633" s="1"/>
      <c r="M1633" s="1"/>
      <c r="P1633" s="2"/>
    </row>
    <row r="1634" spans="3:16" x14ac:dyDescent="0.2">
      <c r="C1634" s="1"/>
      <c r="D1634" s="1"/>
      <c r="E1634" s="1"/>
      <c r="F1634" s="1"/>
      <c r="G1634" s="1"/>
      <c r="H1634" s="1"/>
      <c r="I1634" s="1"/>
      <c r="J1634" s="1"/>
      <c r="K1634" s="1"/>
      <c r="L1634" s="1"/>
      <c r="M1634" s="1"/>
      <c r="P1634" s="2"/>
    </row>
    <row r="1635" spans="3:16" x14ac:dyDescent="0.2">
      <c r="C1635" s="1"/>
      <c r="D1635" s="1"/>
      <c r="E1635" s="1"/>
      <c r="F1635" s="1"/>
      <c r="G1635" s="1"/>
      <c r="H1635" s="1"/>
      <c r="I1635" s="1"/>
      <c r="J1635" s="1"/>
      <c r="K1635" s="1"/>
      <c r="L1635" s="1"/>
      <c r="M1635" s="1"/>
      <c r="P1635" s="2"/>
    </row>
    <row r="1636" spans="3:16" x14ac:dyDescent="0.2">
      <c r="C1636" s="1"/>
      <c r="D1636" s="1"/>
      <c r="E1636" s="1"/>
      <c r="F1636" s="1"/>
      <c r="G1636" s="1"/>
      <c r="H1636" s="1"/>
      <c r="I1636" s="1"/>
      <c r="J1636" s="1"/>
      <c r="K1636" s="1"/>
      <c r="L1636" s="1"/>
      <c r="M1636" s="1"/>
      <c r="P1636" s="2"/>
    </row>
    <row r="1637" spans="3:16" x14ac:dyDescent="0.2">
      <c r="C1637" s="1"/>
      <c r="D1637" s="1"/>
      <c r="E1637" s="1"/>
      <c r="F1637" s="1"/>
      <c r="G1637" s="1"/>
      <c r="H1637" s="1"/>
      <c r="I1637" s="1"/>
      <c r="J1637" s="1"/>
      <c r="K1637" s="1"/>
      <c r="L1637" s="1"/>
      <c r="M1637" s="1"/>
      <c r="P1637" s="2"/>
    </row>
    <row r="1638" spans="3:16" x14ac:dyDescent="0.2">
      <c r="C1638" s="1"/>
      <c r="D1638" s="1"/>
      <c r="E1638" s="1"/>
      <c r="F1638" s="1"/>
      <c r="G1638" s="1"/>
      <c r="H1638" s="1"/>
      <c r="I1638" s="1"/>
      <c r="J1638" s="1"/>
      <c r="K1638" s="1"/>
      <c r="L1638" s="1"/>
      <c r="M1638" s="1"/>
      <c r="P1638" s="2"/>
    </row>
    <row r="1639" spans="3:16" x14ac:dyDescent="0.2">
      <c r="C1639" s="1"/>
      <c r="D1639" s="1"/>
      <c r="E1639" s="1"/>
      <c r="F1639" s="1"/>
      <c r="G1639" s="1"/>
      <c r="H1639" s="1"/>
      <c r="I1639" s="1"/>
      <c r="J1639" s="1"/>
      <c r="K1639" s="1"/>
      <c r="L1639" s="1"/>
      <c r="M1639" s="1"/>
      <c r="P1639" s="2"/>
    </row>
    <row r="1640" spans="3:16" x14ac:dyDescent="0.2">
      <c r="C1640" s="1"/>
      <c r="D1640" s="1"/>
      <c r="E1640" s="1"/>
      <c r="F1640" s="1"/>
      <c r="G1640" s="1"/>
      <c r="H1640" s="1"/>
      <c r="I1640" s="1"/>
      <c r="J1640" s="1"/>
      <c r="K1640" s="1"/>
      <c r="L1640" s="1"/>
      <c r="M1640" s="1"/>
      <c r="P1640" s="2"/>
    </row>
    <row r="1641" spans="3:16" x14ac:dyDescent="0.2">
      <c r="C1641" s="1"/>
      <c r="D1641" s="1"/>
      <c r="E1641" s="1"/>
      <c r="F1641" s="1"/>
      <c r="G1641" s="1"/>
      <c r="H1641" s="1"/>
      <c r="I1641" s="1"/>
      <c r="J1641" s="1"/>
      <c r="K1641" s="1"/>
      <c r="L1641" s="1"/>
      <c r="M1641" s="1"/>
      <c r="P1641" s="2"/>
    </row>
    <row r="1642" spans="3:16" x14ac:dyDescent="0.2">
      <c r="C1642" s="1"/>
      <c r="D1642" s="1"/>
      <c r="E1642" s="1"/>
      <c r="F1642" s="1"/>
      <c r="G1642" s="1"/>
      <c r="H1642" s="1"/>
      <c r="I1642" s="1"/>
      <c r="J1642" s="1"/>
      <c r="K1642" s="1"/>
      <c r="L1642" s="1"/>
      <c r="M1642" s="1"/>
      <c r="P1642" s="2"/>
    </row>
    <row r="1643" spans="3:16" x14ac:dyDescent="0.2">
      <c r="C1643" s="1"/>
      <c r="D1643" s="1"/>
      <c r="E1643" s="1"/>
      <c r="F1643" s="1"/>
      <c r="G1643" s="1"/>
      <c r="H1643" s="1"/>
      <c r="I1643" s="1"/>
      <c r="J1643" s="1"/>
      <c r="K1643" s="1"/>
      <c r="L1643" s="1"/>
      <c r="M1643" s="1"/>
      <c r="P1643" s="2"/>
    </row>
    <row r="1644" spans="3:16" x14ac:dyDescent="0.2">
      <c r="C1644" s="1"/>
      <c r="D1644" s="1"/>
      <c r="E1644" s="1"/>
      <c r="F1644" s="1"/>
      <c r="G1644" s="1"/>
      <c r="H1644" s="1"/>
      <c r="I1644" s="1"/>
      <c r="J1644" s="1"/>
      <c r="K1644" s="1"/>
      <c r="L1644" s="1"/>
      <c r="M1644" s="1"/>
      <c r="P1644" s="2"/>
    </row>
    <row r="1645" spans="3:16" x14ac:dyDescent="0.2">
      <c r="C1645" s="1"/>
      <c r="D1645" s="1"/>
      <c r="E1645" s="1"/>
      <c r="F1645" s="1"/>
      <c r="G1645" s="1"/>
      <c r="H1645" s="1"/>
      <c r="I1645" s="1"/>
      <c r="J1645" s="1"/>
      <c r="K1645" s="1"/>
      <c r="L1645" s="1"/>
      <c r="M1645" s="1"/>
      <c r="P1645" s="2"/>
    </row>
    <row r="1646" spans="3:16" x14ac:dyDescent="0.2">
      <c r="C1646" s="1"/>
      <c r="D1646" s="1"/>
      <c r="E1646" s="1"/>
      <c r="F1646" s="1"/>
      <c r="G1646" s="1"/>
      <c r="H1646" s="1"/>
      <c r="I1646" s="1"/>
      <c r="J1646" s="1"/>
      <c r="K1646" s="1"/>
      <c r="L1646" s="1"/>
      <c r="M1646" s="1"/>
      <c r="P1646" s="2"/>
    </row>
    <row r="1647" spans="3:16" x14ac:dyDescent="0.2">
      <c r="C1647" s="1"/>
      <c r="D1647" s="1"/>
      <c r="E1647" s="1"/>
      <c r="F1647" s="1"/>
      <c r="G1647" s="1"/>
      <c r="H1647" s="1"/>
      <c r="I1647" s="1"/>
      <c r="J1647" s="1"/>
      <c r="K1647" s="1"/>
      <c r="L1647" s="1"/>
      <c r="M1647" s="1"/>
      <c r="P1647" s="2"/>
    </row>
    <row r="1648" spans="3:16" x14ac:dyDescent="0.2">
      <c r="C1648" s="1"/>
      <c r="D1648" s="1"/>
      <c r="E1648" s="1"/>
      <c r="F1648" s="1"/>
      <c r="G1648" s="1"/>
      <c r="H1648" s="1"/>
      <c r="I1648" s="1"/>
      <c r="J1648" s="1"/>
      <c r="K1648" s="1"/>
      <c r="L1648" s="1"/>
      <c r="M1648" s="1"/>
      <c r="P1648" s="2"/>
    </row>
    <row r="1649" spans="3:16" x14ac:dyDescent="0.2">
      <c r="C1649" s="1"/>
      <c r="D1649" s="1"/>
      <c r="E1649" s="1"/>
      <c r="F1649" s="1"/>
      <c r="G1649" s="1"/>
      <c r="H1649" s="1"/>
      <c r="I1649" s="1"/>
      <c r="J1649" s="1"/>
      <c r="K1649" s="1"/>
      <c r="L1649" s="1"/>
      <c r="M1649" s="1"/>
      <c r="P1649" s="2"/>
    </row>
    <row r="1650" spans="3:16" x14ac:dyDescent="0.2">
      <c r="C1650" s="1"/>
      <c r="D1650" s="1"/>
      <c r="E1650" s="1"/>
      <c r="F1650" s="1"/>
      <c r="G1650" s="1"/>
      <c r="H1650" s="1"/>
      <c r="I1650" s="1"/>
      <c r="J1650" s="1"/>
      <c r="K1650" s="1"/>
      <c r="L1650" s="1"/>
      <c r="M1650" s="1"/>
      <c r="P1650" s="2"/>
    </row>
    <row r="1651" spans="3:16" x14ac:dyDescent="0.2">
      <c r="C1651" s="1"/>
      <c r="D1651" s="1"/>
      <c r="E1651" s="1"/>
      <c r="F1651" s="1"/>
      <c r="G1651" s="1"/>
      <c r="H1651" s="1"/>
      <c r="I1651" s="1"/>
      <c r="J1651" s="1"/>
      <c r="K1651" s="1"/>
      <c r="L1651" s="1"/>
      <c r="M1651" s="1"/>
      <c r="P1651" s="2"/>
    </row>
    <row r="1652" spans="3:16" x14ac:dyDescent="0.2">
      <c r="C1652" s="1"/>
      <c r="D1652" s="1"/>
      <c r="E1652" s="1"/>
      <c r="F1652" s="1"/>
      <c r="G1652" s="1"/>
      <c r="H1652" s="1"/>
      <c r="I1652" s="1"/>
      <c r="J1652" s="1"/>
      <c r="K1652" s="1"/>
      <c r="L1652" s="1"/>
      <c r="M1652" s="1"/>
      <c r="P1652" s="2"/>
    </row>
    <row r="1653" spans="3:16" x14ac:dyDescent="0.2">
      <c r="C1653" s="1"/>
      <c r="D1653" s="1"/>
      <c r="E1653" s="1"/>
      <c r="F1653" s="1"/>
      <c r="G1653" s="1"/>
      <c r="H1653" s="1"/>
      <c r="I1653" s="1"/>
      <c r="J1653" s="1"/>
      <c r="K1653" s="1"/>
      <c r="L1653" s="1"/>
      <c r="M1653" s="1"/>
      <c r="P1653" s="2"/>
    </row>
    <row r="1654" spans="3:16" x14ac:dyDescent="0.2">
      <c r="C1654" s="1"/>
      <c r="D1654" s="1"/>
      <c r="E1654" s="1"/>
      <c r="F1654" s="1"/>
      <c r="G1654" s="1"/>
      <c r="H1654" s="1"/>
      <c r="I1654" s="1"/>
      <c r="J1654" s="1"/>
      <c r="K1654" s="1"/>
      <c r="L1654" s="1"/>
      <c r="M1654" s="1"/>
      <c r="P1654" s="2"/>
    </row>
    <row r="1655" spans="3:16" x14ac:dyDescent="0.2">
      <c r="C1655" s="1"/>
      <c r="D1655" s="1"/>
      <c r="E1655" s="1"/>
      <c r="F1655" s="1"/>
      <c r="G1655" s="1"/>
      <c r="H1655" s="1"/>
      <c r="I1655" s="1"/>
      <c r="J1655" s="1"/>
      <c r="K1655" s="1"/>
      <c r="L1655" s="1"/>
      <c r="M1655" s="1"/>
      <c r="P1655" s="2"/>
    </row>
    <row r="1656" spans="3:16" x14ac:dyDescent="0.2">
      <c r="C1656" s="1"/>
      <c r="D1656" s="1"/>
      <c r="E1656" s="1"/>
      <c r="F1656" s="1"/>
      <c r="G1656" s="1"/>
      <c r="H1656" s="1"/>
      <c r="I1656" s="1"/>
      <c r="J1656" s="1"/>
      <c r="K1656" s="1"/>
      <c r="L1656" s="1"/>
      <c r="M1656" s="1"/>
      <c r="P1656" s="2"/>
    </row>
    <row r="1657" spans="3:16" x14ac:dyDescent="0.2">
      <c r="C1657" s="1"/>
      <c r="D1657" s="1"/>
      <c r="E1657" s="1"/>
      <c r="F1657" s="1"/>
      <c r="G1657" s="1"/>
      <c r="H1657" s="1"/>
      <c r="I1657" s="1"/>
      <c r="J1657" s="1"/>
      <c r="K1657" s="1"/>
      <c r="L1657" s="1"/>
      <c r="M1657" s="1"/>
      <c r="P1657" s="2"/>
    </row>
    <row r="1658" spans="3:16" x14ac:dyDescent="0.2">
      <c r="C1658" s="1"/>
      <c r="D1658" s="1"/>
      <c r="E1658" s="1"/>
      <c r="F1658" s="1"/>
      <c r="G1658" s="1"/>
      <c r="H1658" s="1"/>
      <c r="I1658" s="1"/>
      <c r="J1658" s="1"/>
      <c r="K1658" s="1"/>
      <c r="L1658" s="1"/>
      <c r="M1658" s="1"/>
      <c r="P1658" s="2"/>
    </row>
    <row r="1659" spans="3:16" x14ac:dyDescent="0.2">
      <c r="C1659" s="1"/>
      <c r="D1659" s="1"/>
      <c r="E1659" s="1"/>
      <c r="F1659" s="1"/>
      <c r="G1659" s="1"/>
      <c r="H1659" s="1"/>
      <c r="I1659" s="1"/>
      <c r="J1659" s="1"/>
      <c r="K1659" s="1"/>
      <c r="L1659" s="1"/>
      <c r="M1659" s="1"/>
      <c r="P1659" s="2"/>
    </row>
    <row r="1660" spans="3:16" x14ac:dyDescent="0.2">
      <c r="C1660" s="1"/>
      <c r="D1660" s="1"/>
      <c r="E1660" s="1"/>
      <c r="F1660" s="1"/>
      <c r="G1660" s="1"/>
      <c r="H1660" s="1"/>
      <c r="I1660" s="1"/>
      <c r="J1660" s="1"/>
      <c r="K1660" s="1"/>
      <c r="L1660" s="1"/>
      <c r="M1660" s="1"/>
      <c r="P1660" s="2"/>
    </row>
    <row r="1661" spans="3:16" x14ac:dyDescent="0.2">
      <c r="C1661" s="1"/>
      <c r="D1661" s="1"/>
      <c r="E1661" s="1"/>
      <c r="F1661" s="1"/>
      <c r="G1661" s="1"/>
      <c r="H1661" s="1"/>
      <c r="I1661" s="1"/>
      <c r="J1661" s="1"/>
      <c r="K1661" s="1"/>
      <c r="L1661" s="1"/>
      <c r="M1661" s="1"/>
      <c r="P1661" s="2"/>
    </row>
    <row r="1662" spans="3:16" x14ac:dyDescent="0.2">
      <c r="C1662" s="1"/>
      <c r="D1662" s="1"/>
      <c r="E1662" s="1"/>
      <c r="F1662" s="1"/>
      <c r="G1662" s="1"/>
      <c r="H1662" s="1"/>
      <c r="I1662" s="1"/>
      <c r="J1662" s="1"/>
      <c r="K1662" s="1"/>
      <c r="L1662" s="1"/>
      <c r="M1662" s="1"/>
      <c r="P1662" s="2"/>
    </row>
    <row r="1663" spans="3:16" x14ac:dyDescent="0.2">
      <c r="C1663" s="1"/>
      <c r="D1663" s="1"/>
      <c r="E1663" s="1"/>
      <c r="F1663" s="1"/>
      <c r="G1663" s="1"/>
      <c r="H1663" s="1"/>
      <c r="I1663" s="1"/>
      <c r="J1663" s="1"/>
      <c r="K1663" s="1"/>
      <c r="L1663" s="1"/>
      <c r="M1663" s="1"/>
      <c r="P1663" s="2"/>
    </row>
    <row r="1664" spans="3:16" x14ac:dyDescent="0.2">
      <c r="C1664" s="1"/>
      <c r="D1664" s="1"/>
      <c r="E1664" s="1"/>
      <c r="F1664" s="1"/>
      <c r="G1664" s="1"/>
      <c r="H1664" s="1"/>
      <c r="I1664" s="1"/>
      <c r="J1664" s="1"/>
      <c r="K1664" s="1"/>
      <c r="L1664" s="1"/>
      <c r="M1664" s="1"/>
      <c r="P1664" s="2"/>
    </row>
    <row r="1665" spans="3:16" x14ac:dyDescent="0.2">
      <c r="C1665" s="1"/>
      <c r="D1665" s="1"/>
      <c r="E1665" s="1"/>
      <c r="F1665" s="1"/>
      <c r="G1665" s="1"/>
      <c r="H1665" s="1"/>
      <c r="I1665" s="1"/>
      <c r="J1665" s="1"/>
      <c r="K1665" s="1"/>
      <c r="L1665" s="1"/>
      <c r="M1665" s="1"/>
      <c r="P1665" s="2"/>
    </row>
    <row r="1666" spans="3:16" x14ac:dyDescent="0.2">
      <c r="C1666" s="1"/>
      <c r="D1666" s="1"/>
      <c r="E1666" s="1"/>
      <c r="F1666" s="1"/>
      <c r="G1666" s="1"/>
      <c r="H1666" s="1"/>
      <c r="I1666" s="1"/>
      <c r="J1666" s="1"/>
      <c r="K1666" s="1"/>
      <c r="L1666" s="1"/>
      <c r="M1666" s="1"/>
      <c r="P1666" s="2"/>
    </row>
    <row r="1667" spans="3:16" x14ac:dyDescent="0.2">
      <c r="C1667" s="1"/>
      <c r="D1667" s="1"/>
      <c r="E1667" s="1"/>
      <c r="F1667" s="1"/>
      <c r="G1667" s="1"/>
      <c r="H1667" s="1"/>
      <c r="I1667" s="1"/>
      <c r="J1667" s="1"/>
      <c r="K1667" s="1"/>
      <c r="L1667" s="1"/>
      <c r="M1667" s="1"/>
      <c r="P1667" s="2"/>
    </row>
    <row r="1668" spans="3:16" x14ac:dyDescent="0.2">
      <c r="C1668" s="1"/>
      <c r="D1668" s="1"/>
      <c r="E1668" s="1"/>
      <c r="F1668" s="1"/>
      <c r="G1668" s="1"/>
      <c r="H1668" s="1"/>
      <c r="I1668" s="1"/>
      <c r="J1668" s="1"/>
      <c r="K1668" s="1"/>
      <c r="L1668" s="1"/>
      <c r="M1668" s="1"/>
      <c r="P1668" s="2"/>
    </row>
    <row r="1669" spans="3:16" x14ac:dyDescent="0.2">
      <c r="C1669" s="1"/>
      <c r="D1669" s="1"/>
      <c r="E1669" s="1"/>
      <c r="F1669" s="1"/>
      <c r="G1669" s="1"/>
      <c r="H1669" s="1"/>
      <c r="I1669" s="1"/>
      <c r="J1669" s="1"/>
      <c r="K1669" s="1"/>
      <c r="L1669" s="1"/>
      <c r="M1669" s="1"/>
      <c r="P1669" s="2"/>
    </row>
    <row r="1670" spans="3:16" x14ac:dyDescent="0.2">
      <c r="C1670" s="1"/>
      <c r="D1670" s="1"/>
      <c r="E1670" s="1"/>
      <c r="F1670" s="1"/>
      <c r="G1670" s="1"/>
      <c r="H1670" s="1"/>
      <c r="I1670" s="1"/>
      <c r="J1670" s="1"/>
      <c r="K1670" s="1"/>
      <c r="L1670" s="1"/>
      <c r="M1670" s="1"/>
      <c r="P1670" s="2"/>
    </row>
    <row r="1671" spans="3:16" x14ac:dyDescent="0.2">
      <c r="C1671" s="1"/>
      <c r="D1671" s="1"/>
      <c r="E1671" s="1"/>
      <c r="F1671" s="1"/>
      <c r="G1671" s="1"/>
      <c r="H1671" s="1"/>
      <c r="I1671" s="1"/>
      <c r="J1671" s="1"/>
      <c r="K1671" s="1"/>
      <c r="L1671" s="1"/>
      <c r="M1671" s="1"/>
      <c r="P1671" s="2"/>
    </row>
    <row r="1672" spans="3:16" x14ac:dyDescent="0.2">
      <c r="C1672" s="1"/>
      <c r="D1672" s="1"/>
      <c r="E1672" s="1"/>
      <c r="F1672" s="1"/>
      <c r="G1672" s="1"/>
      <c r="H1672" s="1"/>
      <c r="I1672" s="1"/>
      <c r="J1672" s="1"/>
      <c r="K1672" s="1"/>
      <c r="L1672" s="1"/>
      <c r="M1672" s="1"/>
      <c r="P1672" s="2"/>
    </row>
    <row r="1673" spans="3:16" x14ac:dyDescent="0.2">
      <c r="C1673" s="1"/>
      <c r="D1673" s="1"/>
      <c r="E1673" s="1"/>
      <c r="F1673" s="1"/>
      <c r="G1673" s="1"/>
      <c r="H1673" s="1"/>
      <c r="I1673" s="1"/>
      <c r="J1673" s="1"/>
      <c r="K1673" s="1"/>
      <c r="L1673" s="1"/>
      <c r="M1673" s="1"/>
      <c r="P1673" s="2"/>
    </row>
    <row r="1674" spans="3:16" x14ac:dyDescent="0.2">
      <c r="C1674" s="1"/>
      <c r="D1674" s="1"/>
      <c r="E1674" s="1"/>
      <c r="F1674" s="1"/>
      <c r="G1674" s="1"/>
      <c r="H1674" s="1"/>
      <c r="I1674" s="1"/>
      <c r="J1674" s="1"/>
      <c r="K1674" s="1"/>
      <c r="L1674" s="1"/>
      <c r="M1674" s="1"/>
      <c r="P1674" s="2"/>
    </row>
    <row r="1675" spans="3:16" x14ac:dyDescent="0.2">
      <c r="C1675" s="1"/>
      <c r="D1675" s="1"/>
      <c r="E1675" s="1"/>
      <c r="F1675" s="1"/>
      <c r="G1675" s="1"/>
      <c r="H1675" s="1"/>
      <c r="I1675" s="1"/>
      <c r="J1675" s="1"/>
      <c r="K1675" s="1"/>
      <c r="L1675" s="1"/>
      <c r="M1675" s="1"/>
      <c r="P1675" s="2"/>
    </row>
    <row r="1676" spans="3:16" x14ac:dyDescent="0.2">
      <c r="C1676" s="1"/>
      <c r="D1676" s="1"/>
      <c r="E1676" s="1"/>
      <c r="F1676" s="1"/>
      <c r="G1676" s="1"/>
      <c r="H1676" s="1"/>
      <c r="I1676" s="1"/>
      <c r="J1676" s="1"/>
      <c r="K1676" s="1"/>
      <c r="L1676" s="1"/>
      <c r="M1676" s="1"/>
      <c r="P1676" s="2"/>
    </row>
    <row r="1677" spans="3:16" x14ac:dyDescent="0.2">
      <c r="C1677" s="1"/>
      <c r="D1677" s="1"/>
      <c r="E1677" s="1"/>
      <c r="F1677" s="1"/>
      <c r="G1677" s="1"/>
      <c r="H1677" s="1"/>
      <c r="I1677" s="1"/>
      <c r="J1677" s="1"/>
      <c r="K1677" s="1"/>
      <c r="L1677" s="1"/>
      <c r="M1677" s="1"/>
      <c r="P1677" s="2"/>
    </row>
    <row r="1678" spans="3:16" x14ac:dyDescent="0.2">
      <c r="C1678" s="1"/>
      <c r="D1678" s="1"/>
      <c r="E1678" s="1"/>
      <c r="F1678" s="1"/>
      <c r="G1678" s="1"/>
      <c r="H1678" s="1"/>
      <c r="I1678" s="1"/>
      <c r="J1678" s="1"/>
      <c r="K1678" s="1"/>
      <c r="L1678" s="1"/>
      <c r="M1678" s="1"/>
      <c r="P1678" s="2"/>
    </row>
    <row r="1679" spans="3:16" x14ac:dyDescent="0.2">
      <c r="C1679" s="1"/>
      <c r="D1679" s="1"/>
      <c r="E1679" s="1"/>
      <c r="F1679" s="1"/>
      <c r="G1679" s="1"/>
      <c r="H1679" s="1"/>
      <c r="I1679" s="1"/>
      <c r="J1679" s="1"/>
      <c r="K1679" s="1"/>
      <c r="L1679" s="1"/>
      <c r="M1679" s="1"/>
      <c r="P1679" s="2"/>
    </row>
    <row r="1680" spans="3:16" x14ac:dyDescent="0.2">
      <c r="C1680" s="1"/>
      <c r="D1680" s="1"/>
      <c r="E1680" s="1"/>
      <c r="F1680" s="1"/>
      <c r="G1680" s="1"/>
      <c r="H1680" s="1"/>
      <c r="I1680" s="1"/>
      <c r="J1680" s="1"/>
      <c r="K1680" s="1"/>
      <c r="L1680" s="1"/>
      <c r="M1680" s="1"/>
      <c r="P1680" s="2"/>
    </row>
    <row r="1681" spans="3:16" x14ac:dyDescent="0.2">
      <c r="C1681" s="1"/>
      <c r="D1681" s="1"/>
      <c r="E1681" s="1"/>
      <c r="F1681" s="1"/>
      <c r="G1681" s="1"/>
      <c r="H1681" s="1"/>
      <c r="I1681" s="1"/>
      <c r="J1681" s="1"/>
      <c r="K1681" s="1"/>
      <c r="L1681" s="1"/>
      <c r="M1681" s="1"/>
      <c r="P1681" s="2"/>
    </row>
    <row r="1682" spans="3:16" x14ac:dyDescent="0.2">
      <c r="C1682" s="1"/>
      <c r="D1682" s="1"/>
      <c r="E1682" s="1"/>
      <c r="F1682" s="1"/>
      <c r="G1682" s="1"/>
      <c r="H1682" s="1"/>
      <c r="I1682" s="1"/>
      <c r="J1682" s="1"/>
      <c r="K1682" s="1"/>
      <c r="L1682" s="1"/>
      <c r="M1682" s="1"/>
      <c r="P1682" s="2"/>
    </row>
    <row r="1683" spans="3:16" x14ac:dyDescent="0.2">
      <c r="C1683" s="1"/>
      <c r="D1683" s="1"/>
      <c r="E1683" s="1"/>
      <c r="F1683" s="1"/>
      <c r="G1683" s="1"/>
      <c r="H1683" s="1"/>
      <c r="I1683" s="1"/>
      <c r="J1683" s="1"/>
      <c r="K1683" s="1"/>
      <c r="L1683" s="1"/>
      <c r="M1683" s="1"/>
      <c r="P1683" s="2"/>
    </row>
    <row r="1684" spans="3:16" x14ac:dyDescent="0.2">
      <c r="C1684" s="1"/>
      <c r="D1684" s="1"/>
      <c r="E1684" s="1"/>
      <c r="F1684" s="1"/>
      <c r="G1684" s="1"/>
      <c r="H1684" s="1"/>
      <c r="I1684" s="1"/>
      <c r="J1684" s="1"/>
      <c r="K1684" s="1"/>
      <c r="L1684" s="1"/>
      <c r="M1684" s="1"/>
      <c r="P1684" s="2"/>
    </row>
    <row r="1685" spans="3:16" x14ac:dyDescent="0.2">
      <c r="C1685" s="1"/>
      <c r="D1685" s="1"/>
      <c r="E1685" s="1"/>
      <c r="F1685" s="1"/>
      <c r="G1685" s="1"/>
      <c r="H1685" s="1"/>
      <c r="I1685" s="1"/>
      <c r="J1685" s="1"/>
      <c r="K1685" s="1"/>
      <c r="L1685" s="1"/>
      <c r="M1685" s="1"/>
      <c r="P1685" s="2"/>
    </row>
    <row r="1686" spans="3:16" x14ac:dyDescent="0.2">
      <c r="C1686" s="1"/>
      <c r="D1686" s="1"/>
      <c r="E1686" s="1"/>
      <c r="F1686" s="1"/>
      <c r="G1686" s="1"/>
      <c r="H1686" s="1"/>
      <c r="I1686" s="1"/>
      <c r="J1686" s="1"/>
      <c r="K1686" s="1"/>
      <c r="L1686" s="1"/>
      <c r="M1686" s="1"/>
      <c r="P1686" s="2"/>
    </row>
    <row r="1687" spans="3:16" x14ac:dyDescent="0.2">
      <c r="C1687" s="1"/>
      <c r="D1687" s="1"/>
      <c r="E1687" s="1"/>
      <c r="F1687" s="1"/>
      <c r="G1687" s="1"/>
      <c r="H1687" s="1"/>
      <c r="I1687" s="1"/>
      <c r="J1687" s="1"/>
      <c r="K1687" s="1"/>
      <c r="L1687" s="1"/>
      <c r="M1687" s="1"/>
      <c r="P1687" s="2"/>
    </row>
    <row r="1688" spans="3:16" x14ac:dyDescent="0.2">
      <c r="C1688" s="1"/>
      <c r="D1688" s="1"/>
      <c r="E1688" s="1"/>
      <c r="F1688" s="1"/>
      <c r="G1688" s="1"/>
      <c r="H1688" s="1"/>
      <c r="I1688" s="1"/>
      <c r="J1688" s="1"/>
      <c r="K1688" s="1"/>
      <c r="L1688" s="1"/>
      <c r="M1688" s="1"/>
      <c r="P1688" s="2"/>
    </row>
    <row r="1689" spans="3:16" x14ac:dyDescent="0.2">
      <c r="C1689" s="1"/>
      <c r="D1689" s="1"/>
      <c r="E1689" s="1"/>
      <c r="F1689" s="1"/>
      <c r="G1689" s="1"/>
      <c r="H1689" s="1"/>
      <c r="I1689" s="1"/>
      <c r="J1689" s="1"/>
      <c r="K1689" s="1"/>
      <c r="L1689" s="1"/>
      <c r="M1689" s="1"/>
      <c r="P1689" s="2"/>
    </row>
    <row r="1690" spans="3:16" x14ac:dyDescent="0.2">
      <c r="C1690" s="1"/>
      <c r="D1690" s="1"/>
      <c r="E1690" s="1"/>
      <c r="F1690" s="1"/>
      <c r="G1690" s="1"/>
      <c r="H1690" s="1"/>
      <c r="I1690" s="1"/>
      <c r="J1690" s="1"/>
      <c r="K1690" s="1"/>
      <c r="L1690" s="1"/>
      <c r="M1690" s="1"/>
      <c r="P1690" s="2"/>
    </row>
    <row r="1691" spans="3:16" x14ac:dyDescent="0.2">
      <c r="C1691" s="1"/>
      <c r="D1691" s="1"/>
      <c r="E1691" s="1"/>
      <c r="F1691" s="1"/>
      <c r="G1691" s="1"/>
      <c r="H1691" s="1"/>
      <c r="I1691" s="1"/>
      <c r="J1691" s="1"/>
      <c r="K1691" s="1"/>
      <c r="L1691" s="1"/>
      <c r="M1691" s="1"/>
      <c r="P1691" s="2"/>
    </row>
    <row r="1692" spans="3:16" x14ac:dyDescent="0.2">
      <c r="C1692" s="1"/>
      <c r="D1692" s="1"/>
      <c r="E1692" s="1"/>
      <c r="F1692" s="1"/>
      <c r="G1692" s="1"/>
      <c r="H1692" s="1"/>
      <c r="I1692" s="1"/>
      <c r="J1692" s="1"/>
      <c r="K1692" s="1"/>
      <c r="L1692" s="1"/>
      <c r="M1692" s="1"/>
      <c r="P1692" s="2"/>
    </row>
    <row r="1693" spans="3:16" x14ac:dyDescent="0.2">
      <c r="C1693" s="1"/>
      <c r="D1693" s="1"/>
      <c r="E1693" s="1"/>
      <c r="F1693" s="1"/>
      <c r="G1693" s="1"/>
      <c r="H1693" s="1"/>
      <c r="I1693" s="1"/>
      <c r="J1693" s="1"/>
      <c r="K1693" s="1"/>
      <c r="L1693" s="1"/>
      <c r="M1693" s="1"/>
      <c r="P1693" s="2"/>
    </row>
    <row r="1694" spans="3:16" x14ac:dyDescent="0.2">
      <c r="C1694" s="1"/>
      <c r="D1694" s="1"/>
      <c r="E1694" s="1"/>
      <c r="F1694" s="1"/>
      <c r="G1694" s="1"/>
      <c r="H1694" s="1"/>
      <c r="I1694" s="1"/>
      <c r="J1694" s="1"/>
      <c r="K1694" s="1"/>
      <c r="L1694" s="1"/>
      <c r="M1694" s="1"/>
      <c r="P1694" s="2"/>
    </row>
    <row r="1695" spans="3:16" x14ac:dyDescent="0.2">
      <c r="C1695" s="1"/>
      <c r="D1695" s="1"/>
      <c r="E1695" s="1"/>
      <c r="F1695" s="1"/>
      <c r="G1695" s="1"/>
      <c r="H1695" s="1"/>
      <c r="I1695" s="1"/>
      <c r="J1695" s="1"/>
      <c r="K1695" s="1"/>
      <c r="L1695" s="1"/>
      <c r="M1695" s="1"/>
      <c r="P1695" s="2"/>
    </row>
    <row r="1696" spans="3:16" x14ac:dyDescent="0.2">
      <c r="C1696" s="1"/>
      <c r="D1696" s="1"/>
      <c r="E1696" s="1"/>
      <c r="F1696" s="1"/>
      <c r="G1696" s="1"/>
      <c r="H1696" s="1"/>
      <c r="I1696" s="1"/>
      <c r="J1696" s="1"/>
      <c r="K1696" s="1"/>
      <c r="L1696" s="1"/>
      <c r="M1696" s="1"/>
      <c r="P1696" s="2"/>
    </row>
    <row r="1697" spans="3:16" x14ac:dyDescent="0.2">
      <c r="C1697" s="1"/>
      <c r="D1697" s="1"/>
      <c r="E1697" s="1"/>
      <c r="F1697" s="1"/>
      <c r="G1697" s="1"/>
      <c r="H1697" s="1"/>
      <c r="I1697" s="1"/>
      <c r="J1697" s="1"/>
      <c r="K1697" s="1"/>
      <c r="L1697" s="1"/>
      <c r="M1697" s="1"/>
      <c r="P1697" s="2"/>
    </row>
    <row r="1698" spans="3:16" x14ac:dyDescent="0.2">
      <c r="C1698" s="1"/>
      <c r="D1698" s="1"/>
      <c r="E1698" s="1"/>
      <c r="F1698" s="1"/>
      <c r="G1698" s="1"/>
      <c r="H1698" s="1"/>
      <c r="I1698" s="1"/>
      <c r="J1698" s="1"/>
      <c r="K1698" s="1"/>
      <c r="L1698" s="1"/>
      <c r="M1698" s="1"/>
      <c r="P1698" s="2"/>
    </row>
    <row r="1699" spans="3:16" x14ac:dyDescent="0.2">
      <c r="C1699" s="1"/>
      <c r="D1699" s="1"/>
      <c r="E1699" s="1"/>
      <c r="F1699" s="1"/>
      <c r="G1699" s="1"/>
      <c r="H1699" s="1"/>
      <c r="I1699" s="1"/>
      <c r="J1699" s="1"/>
      <c r="K1699" s="1"/>
      <c r="L1699" s="1"/>
      <c r="M1699" s="1"/>
      <c r="P1699" s="2"/>
    </row>
    <row r="1700" spans="3:16" x14ac:dyDescent="0.2">
      <c r="C1700" s="1"/>
      <c r="D1700" s="1"/>
      <c r="E1700" s="1"/>
      <c r="F1700" s="1"/>
      <c r="G1700" s="1"/>
      <c r="H1700" s="1"/>
      <c r="I1700" s="1"/>
      <c r="J1700" s="1"/>
      <c r="K1700" s="1"/>
      <c r="L1700" s="1"/>
      <c r="M1700" s="1"/>
      <c r="P1700" s="2"/>
    </row>
    <row r="1701" spans="3:16" x14ac:dyDescent="0.2">
      <c r="C1701" s="1"/>
      <c r="D1701" s="1"/>
      <c r="E1701" s="1"/>
      <c r="F1701" s="1"/>
      <c r="G1701" s="1"/>
      <c r="H1701" s="1"/>
      <c r="I1701" s="1"/>
      <c r="J1701" s="1"/>
      <c r="K1701" s="1"/>
      <c r="L1701" s="1"/>
      <c r="M1701" s="1"/>
      <c r="P1701" s="2"/>
    </row>
    <row r="1702" spans="3:16" x14ac:dyDescent="0.2">
      <c r="C1702" s="1"/>
      <c r="D1702" s="1"/>
      <c r="E1702" s="1"/>
      <c r="F1702" s="1"/>
      <c r="G1702" s="1"/>
      <c r="H1702" s="1"/>
      <c r="I1702" s="1"/>
      <c r="J1702" s="1"/>
      <c r="K1702" s="1"/>
      <c r="L1702" s="1"/>
      <c r="M1702" s="1"/>
      <c r="P1702" s="2"/>
    </row>
    <row r="1703" spans="3:16" x14ac:dyDescent="0.2">
      <c r="C1703" s="1"/>
      <c r="D1703" s="1"/>
      <c r="E1703" s="1"/>
      <c r="F1703" s="1"/>
      <c r="G1703" s="1"/>
      <c r="H1703" s="1"/>
      <c r="I1703" s="1"/>
      <c r="J1703" s="1"/>
      <c r="K1703" s="1"/>
      <c r="L1703" s="1"/>
      <c r="M1703" s="1"/>
      <c r="P1703" s="2"/>
    </row>
    <row r="1704" spans="3:16" x14ac:dyDescent="0.2">
      <c r="C1704" s="1"/>
      <c r="D1704" s="1"/>
      <c r="E1704" s="1"/>
      <c r="F1704" s="1"/>
      <c r="G1704" s="1"/>
      <c r="H1704" s="1"/>
      <c r="I1704" s="1"/>
      <c r="J1704" s="1"/>
      <c r="K1704" s="1"/>
      <c r="L1704" s="1"/>
      <c r="M1704" s="1"/>
      <c r="P1704" s="2"/>
    </row>
    <row r="1705" spans="3:16" x14ac:dyDescent="0.2">
      <c r="C1705" s="1"/>
      <c r="D1705" s="1"/>
      <c r="E1705" s="1"/>
      <c r="F1705" s="1"/>
      <c r="G1705" s="1"/>
      <c r="H1705" s="1"/>
      <c r="I1705" s="1"/>
      <c r="J1705" s="1"/>
      <c r="K1705" s="1"/>
      <c r="L1705" s="1"/>
      <c r="M1705" s="1"/>
      <c r="P1705" s="2"/>
    </row>
    <row r="1706" spans="3:16" x14ac:dyDescent="0.2">
      <c r="C1706" s="1"/>
      <c r="D1706" s="1"/>
      <c r="E1706" s="1"/>
      <c r="F1706" s="1"/>
      <c r="G1706" s="1"/>
      <c r="H1706" s="1"/>
      <c r="I1706" s="1"/>
      <c r="J1706" s="1"/>
      <c r="K1706" s="1"/>
      <c r="L1706" s="1"/>
      <c r="M1706" s="1"/>
      <c r="P1706" s="2"/>
    </row>
    <row r="1707" spans="3:16" x14ac:dyDescent="0.2">
      <c r="C1707" s="1"/>
      <c r="D1707" s="1"/>
      <c r="E1707" s="1"/>
      <c r="F1707" s="1"/>
      <c r="G1707" s="1"/>
      <c r="H1707" s="1"/>
      <c r="I1707" s="1"/>
      <c r="J1707" s="1"/>
      <c r="K1707" s="1"/>
      <c r="L1707" s="1"/>
      <c r="M1707" s="1"/>
      <c r="P1707" s="2"/>
    </row>
    <row r="1708" spans="3:16" x14ac:dyDescent="0.2">
      <c r="C1708" s="1"/>
      <c r="D1708" s="1"/>
      <c r="E1708" s="1"/>
      <c r="F1708" s="1"/>
      <c r="G1708" s="1"/>
      <c r="H1708" s="1"/>
      <c r="I1708" s="1"/>
      <c r="J1708" s="1"/>
      <c r="K1708" s="1"/>
      <c r="L1708" s="1"/>
      <c r="M1708" s="1"/>
      <c r="P1708" s="2"/>
    </row>
    <row r="1709" spans="3:16" x14ac:dyDescent="0.2">
      <c r="C1709" s="1"/>
      <c r="D1709" s="1"/>
      <c r="E1709" s="1"/>
      <c r="F1709" s="1"/>
      <c r="G1709" s="1"/>
      <c r="H1709" s="1"/>
      <c r="I1709" s="1"/>
      <c r="J1709" s="1"/>
      <c r="K1709" s="1"/>
      <c r="L1709" s="1"/>
      <c r="M1709" s="1"/>
      <c r="P1709" s="2"/>
    </row>
    <row r="1710" spans="3:16" x14ac:dyDescent="0.2">
      <c r="C1710" s="1"/>
      <c r="D1710" s="1"/>
      <c r="E1710" s="1"/>
      <c r="F1710" s="1"/>
      <c r="G1710" s="1"/>
      <c r="H1710" s="1"/>
      <c r="I1710" s="1"/>
      <c r="J1710" s="1"/>
      <c r="K1710" s="1"/>
      <c r="L1710" s="1"/>
      <c r="M1710" s="1"/>
      <c r="P1710" s="2"/>
    </row>
    <row r="1711" spans="3:16" x14ac:dyDescent="0.2">
      <c r="C1711" s="1"/>
      <c r="D1711" s="1"/>
      <c r="E1711" s="1"/>
      <c r="F1711" s="1"/>
      <c r="G1711" s="1"/>
      <c r="H1711" s="1"/>
      <c r="I1711" s="1"/>
      <c r="J1711" s="1"/>
      <c r="K1711" s="1"/>
      <c r="L1711" s="1"/>
      <c r="M1711" s="1"/>
      <c r="P1711" s="2"/>
    </row>
    <row r="1712" spans="3:16" x14ac:dyDescent="0.2">
      <c r="C1712" s="1"/>
      <c r="D1712" s="1"/>
      <c r="E1712" s="1"/>
      <c r="F1712" s="1"/>
      <c r="G1712" s="1"/>
      <c r="H1712" s="1"/>
      <c r="I1712" s="1"/>
      <c r="J1712" s="1"/>
      <c r="K1712" s="1"/>
      <c r="L1712" s="1"/>
      <c r="M1712" s="1"/>
      <c r="P1712" s="2"/>
    </row>
    <row r="1713" spans="3:16" x14ac:dyDescent="0.2">
      <c r="C1713" s="1"/>
      <c r="D1713" s="1"/>
      <c r="E1713" s="1"/>
      <c r="F1713" s="1"/>
      <c r="G1713" s="1"/>
      <c r="H1713" s="1"/>
      <c r="I1713" s="1"/>
      <c r="J1713" s="1"/>
      <c r="K1713" s="1"/>
      <c r="L1713" s="1"/>
      <c r="M1713" s="1"/>
      <c r="P1713" s="2"/>
    </row>
    <row r="1714" spans="3:16" x14ac:dyDescent="0.2">
      <c r="C1714" s="1"/>
      <c r="D1714" s="1"/>
      <c r="E1714" s="1"/>
      <c r="F1714" s="1"/>
      <c r="G1714" s="1"/>
      <c r="H1714" s="1"/>
      <c r="I1714" s="1"/>
      <c r="J1714" s="1"/>
      <c r="K1714" s="1"/>
      <c r="L1714" s="1"/>
      <c r="M1714" s="1"/>
      <c r="P1714" s="2"/>
    </row>
    <row r="1715" spans="3:16" x14ac:dyDescent="0.2">
      <c r="C1715" s="1"/>
      <c r="D1715" s="1"/>
      <c r="E1715" s="1"/>
      <c r="F1715" s="1"/>
      <c r="G1715" s="1"/>
      <c r="H1715" s="1"/>
      <c r="I1715" s="1"/>
      <c r="J1715" s="1"/>
      <c r="K1715" s="1"/>
      <c r="L1715" s="1"/>
      <c r="M1715" s="1"/>
      <c r="P1715" s="2"/>
    </row>
    <row r="1716" spans="3:16" x14ac:dyDescent="0.2">
      <c r="C1716" s="1"/>
      <c r="D1716" s="1"/>
      <c r="E1716" s="1"/>
      <c r="F1716" s="1"/>
      <c r="G1716" s="1"/>
      <c r="H1716" s="1"/>
      <c r="I1716" s="1"/>
      <c r="J1716" s="1"/>
      <c r="K1716" s="1"/>
      <c r="L1716" s="1"/>
      <c r="M1716" s="1"/>
      <c r="P1716" s="2"/>
    </row>
    <row r="1717" spans="3:16" x14ac:dyDescent="0.2">
      <c r="C1717" s="1"/>
      <c r="D1717" s="1"/>
      <c r="E1717" s="1"/>
      <c r="F1717" s="1"/>
      <c r="G1717" s="1"/>
      <c r="H1717" s="1"/>
      <c r="I1717" s="1"/>
      <c r="J1717" s="1"/>
      <c r="K1717" s="1"/>
      <c r="L1717" s="1"/>
      <c r="M1717" s="1"/>
      <c r="P1717" s="2"/>
    </row>
    <row r="1718" spans="3:16" x14ac:dyDescent="0.2">
      <c r="C1718" s="1"/>
      <c r="D1718" s="1"/>
      <c r="E1718" s="1"/>
      <c r="F1718" s="1"/>
      <c r="G1718" s="1"/>
      <c r="H1718" s="1"/>
      <c r="I1718" s="1"/>
      <c r="J1718" s="1"/>
      <c r="K1718" s="1"/>
      <c r="L1718" s="1"/>
      <c r="M1718" s="1"/>
      <c r="P1718" s="2"/>
    </row>
    <row r="1719" spans="3:16" x14ac:dyDescent="0.2">
      <c r="C1719" s="1"/>
      <c r="D1719" s="1"/>
      <c r="E1719" s="1"/>
      <c r="F1719" s="1"/>
      <c r="G1719" s="1"/>
      <c r="H1719" s="1"/>
      <c r="I1719" s="1"/>
      <c r="J1719" s="1"/>
      <c r="K1719" s="1"/>
      <c r="L1719" s="1"/>
      <c r="M1719" s="1"/>
      <c r="P1719" s="2"/>
    </row>
    <row r="1720" spans="3:16" x14ac:dyDescent="0.2">
      <c r="C1720" s="1"/>
      <c r="D1720" s="1"/>
      <c r="E1720" s="1"/>
      <c r="F1720" s="1"/>
      <c r="G1720" s="1"/>
      <c r="H1720" s="1"/>
      <c r="I1720" s="1"/>
      <c r="J1720" s="1"/>
      <c r="K1720" s="1"/>
      <c r="L1720" s="1"/>
      <c r="M1720" s="1"/>
      <c r="P1720" s="2"/>
    </row>
    <row r="1721" spans="3:16" x14ac:dyDescent="0.2">
      <c r="C1721" s="1"/>
      <c r="D1721" s="1"/>
      <c r="E1721" s="1"/>
      <c r="F1721" s="1"/>
      <c r="G1721" s="1"/>
      <c r="H1721" s="1"/>
      <c r="I1721" s="1"/>
      <c r="J1721" s="1"/>
      <c r="K1721" s="1"/>
      <c r="L1721" s="1"/>
      <c r="M1721" s="1"/>
      <c r="P1721" s="2"/>
    </row>
    <row r="1722" spans="3:16" x14ac:dyDescent="0.2">
      <c r="C1722" s="1"/>
      <c r="D1722" s="1"/>
      <c r="E1722" s="1"/>
      <c r="F1722" s="1"/>
      <c r="G1722" s="1"/>
      <c r="H1722" s="1"/>
      <c r="I1722" s="1"/>
      <c r="J1722" s="1"/>
      <c r="K1722" s="1"/>
      <c r="L1722" s="1"/>
      <c r="M1722" s="1"/>
      <c r="P1722" s="2"/>
    </row>
    <row r="1723" spans="3:16" x14ac:dyDescent="0.2">
      <c r="C1723" s="1"/>
      <c r="D1723" s="1"/>
      <c r="E1723" s="1"/>
      <c r="F1723" s="1"/>
      <c r="G1723" s="1"/>
      <c r="H1723" s="1"/>
      <c r="I1723" s="1"/>
      <c r="J1723" s="1"/>
      <c r="K1723" s="1"/>
      <c r="L1723" s="1"/>
      <c r="M1723" s="1"/>
      <c r="P1723" s="2"/>
    </row>
    <row r="1724" spans="3:16" x14ac:dyDescent="0.2">
      <c r="C1724" s="1"/>
      <c r="D1724" s="1"/>
      <c r="E1724" s="1"/>
      <c r="F1724" s="1"/>
      <c r="G1724" s="1"/>
      <c r="H1724" s="1"/>
      <c r="I1724" s="1"/>
      <c r="J1724" s="1"/>
      <c r="K1724" s="1"/>
      <c r="L1724" s="1"/>
      <c r="M1724" s="1"/>
      <c r="P1724" s="2"/>
    </row>
    <row r="1725" spans="3:16" x14ac:dyDescent="0.2">
      <c r="C1725" s="1"/>
      <c r="D1725" s="1"/>
      <c r="E1725" s="1"/>
      <c r="F1725" s="1"/>
      <c r="G1725" s="1"/>
      <c r="H1725" s="1"/>
      <c r="I1725" s="1"/>
      <c r="J1725" s="1"/>
      <c r="K1725" s="1"/>
      <c r="L1725" s="1"/>
      <c r="M1725" s="1"/>
      <c r="P1725" s="2"/>
    </row>
    <row r="1726" spans="3:16" x14ac:dyDescent="0.2">
      <c r="C1726" s="1"/>
      <c r="D1726" s="1"/>
      <c r="E1726" s="1"/>
      <c r="F1726" s="1"/>
      <c r="G1726" s="1"/>
      <c r="H1726" s="1"/>
      <c r="I1726" s="1"/>
      <c r="J1726" s="1"/>
      <c r="K1726" s="1"/>
      <c r="L1726" s="1"/>
      <c r="M1726" s="1"/>
      <c r="P1726" s="2"/>
    </row>
    <row r="1727" spans="3:16" x14ac:dyDescent="0.2">
      <c r="C1727" s="1"/>
      <c r="D1727" s="1"/>
      <c r="E1727" s="1"/>
      <c r="F1727" s="1"/>
      <c r="G1727" s="1"/>
      <c r="H1727" s="1"/>
      <c r="I1727" s="1"/>
      <c r="J1727" s="1"/>
      <c r="K1727" s="1"/>
      <c r="L1727" s="1"/>
      <c r="M1727" s="1"/>
      <c r="P1727" s="2"/>
    </row>
    <row r="1728" spans="3:16" x14ac:dyDescent="0.2">
      <c r="C1728" s="1"/>
      <c r="D1728" s="1"/>
      <c r="E1728" s="1"/>
      <c r="F1728" s="1"/>
      <c r="G1728" s="1"/>
      <c r="H1728" s="1"/>
      <c r="I1728" s="1"/>
      <c r="J1728" s="1"/>
      <c r="K1728" s="1"/>
      <c r="L1728" s="1"/>
      <c r="M1728" s="1"/>
      <c r="P1728" s="2"/>
    </row>
    <row r="1729" spans="3:16" x14ac:dyDescent="0.2">
      <c r="C1729" s="1"/>
      <c r="D1729" s="1"/>
      <c r="E1729" s="1"/>
      <c r="F1729" s="1"/>
      <c r="G1729" s="1"/>
      <c r="H1729" s="1"/>
      <c r="I1729" s="1"/>
      <c r="J1729" s="1"/>
      <c r="K1729" s="1"/>
      <c r="L1729" s="1"/>
      <c r="M1729" s="1"/>
      <c r="P1729" s="2"/>
    </row>
    <row r="1730" spans="3:16" x14ac:dyDescent="0.2">
      <c r="C1730" s="1"/>
      <c r="D1730" s="1"/>
      <c r="E1730" s="1"/>
      <c r="F1730" s="1"/>
      <c r="G1730" s="1"/>
      <c r="H1730" s="1"/>
      <c r="I1730" s="1"/>
      <c r="J1730" s="1"/>
      <c r="K1730" s="1"/>
      <c r="L1730" s="1"/>
      <c r="M1730" s="1"/>
      <c r="P1730" s="2"/>
    </row>
    <row r="1731" spans="3:16" x14ac:dyDescent="0.2">
      <c r="C1731" s="1"/>
      <c r="D1731" s="1"/>
      <c r="E1731" s="1"/>
      <c r="F1731" s="1"/>
      <c r="G1731" s="1"/>
      <c r="H1731" s="1"/>
      <c r="I1731" s="1"/>
      <c r="J1731" s="1"/>
      <c r="K1731" s="1"/>
      <c r="L1731" s="1"/>
      <c r="M1731" s="1"/>
      <c r="P1731" s="2"/>
    </row>
    <row r="1732" spans="3:16" x14ac:dyDescent="0.2">
      <c r="C1732" s="1"/>
      <c r="D1732" s="1"/>
      <c r="E1732" s="1"/>
      <c r="F1732" s="1"/>
      <c r="G1732" s="1"/>
      <c r="H1732" s="1"/>
      <c r="I1732" s="1"/>
      <c r="J1732" s="1"/>
      <c r="K1732" s="1"/>
      <c r="L1732" s="1"/>
      <c r="M1732" s="1"/>
      <c r="P1732" s="2"/>
    </row>
    <row r="1733" spans="3:16" x14ac:dyDescent="0.2">
      <c r="C1733" s="1"/>
      <c r="D1733" s="1"/>
      <c r="E1733" s="1"/>
      <c r="F1733" s="1"/>
      <c r="G1733" s="1"/>
      <c r="H1733" s="1"/>
      <c r="I1733" s="1"/>
      <c r="J1733" s="1"/>
      <c r="K1733" s="1"/>
      <c r="L1733" s="1"/>
      <c r="M1733" s="1"/>
      <c r="P1733" s="2"/>
    </row>
    <row r="1734" spans="3:16" x14ac:dyDescent="0.2">
      <c r="C1734" s="1"/>
      <c r="D1734" s="1"/>
      <c r="E1734" s="1"/>
      <c r="F1734" s="1"/>
      <c r="G1734" s="1"/>
      <c r="H1734" s="1"/>
      <c r="I1734" s="1"/>
      <c r="J1734" s="1"/>
      <c r="K1734" s="1"/>
      <c r="L1734" s="1"/>
      <c r="M1734" s="1"/>
      <c r="P1734" s="2"/>
    </row>
    <row r="1735" spans="3:16" x14ac:dyDescent="0.2">
      <c r="C1735" s="1"/>
      <c r="D1735" s="1"/>
      <c r="E1735" s="1"/>
      <c r="F1735" s="1"/>
      <c r="G1735" s="1"/>
      <c r="H1735" s="1"/>
      <c r="I1735" s="1"/>
      <c r="J1735" s="1"/>
      <c r="K1735" s="1"/>
      <c r="L1735" s="1"/>
      <c r="M1735" s="1"/>
      <c r="P1735" s="2"/>
    </row>
    <row r="1736" spans="3:16" x14ac:dyDescent="0.2">
      <c r="C1736" s="1"/>
      <c r="D1736" s="1"/>
      <c r="E1736" s="1"/>
      <c r="F1736" s="1"/>
      <c r="G1736" s="1"/>
      <c r="H1736" s="1"/>
      <c r="I1736" s="1"/>
      <c r="J1736" s="1"/>
      <c r="K1736" s="1"/>
      <c r="L1736" s="1"/>
      <c r="M1736" s="1"/>
      <c r="P1736" s="2"/>
    </row>
    <row r="1737" spans="3:16" x14ac:dyDescent="0.2">
      <c r="C1737" s="1"/>
      <c r="D1737" s="1"/>
      <c r="E1737" s="1"/>
      <c r="F1737" s="1"/>
      <c r="G1737" s="1"/>
      <c r="H1737" s="1"/>
      <c r="I1737" s="1"/>
      <c r="J1737" s="1"/>
      <c r="K1737" s="1"/>
      <c r="L1737" s="1"/>
      <c r="M1737" s="1"/>
      <c r="P1737" s="2"/>
    </row>
    <row r="1738" spans="3:16" x14ac:dyDescent="0.2">
      <c r="C1738" s="1"/>
      <c r="D1738" s="1"/>
      <c r="E1738" s="1"/>
      <c r="F1738" s="1"/>
      <c r="G1738" s="1"/>
      <c r="H1738" s="1"/>
      <c r="I1738" s="1"/>
      <c r="J1738" s="1"/>
      <c r="K1738" s="1"/>
      <c r="L1738" s="1"/>
      <c r="M1738" s="1"/>
      <c r="P1738" s="2"/>
    </row>
    <row r="1739" spans="3:16" x14ac:dyDescent="0.2">
      <c r="C1739" s="1"/>
      <c r="D1739" s="1"/>
      <c r="E1739" s="1"/>
      <c r="F1739" s="1"/>
      <c r="G1739" s="1"/>
      <c r="H1739" s="1"/>
      <c r="I1739" s="1"/>
      <c r="J1739" s="1"/>
      <c r="K1739" s="1"/>
      <c r="L1739" s="1"/>
      <c r="M1739" s="1"/>
      <c r="P1739" s="2"/>
    </row>
    <row r="1740" spans="3:16" x14ac:dyDescent="0.2">
      <c r="C1740" s="1"/>
      <c r="D1740" s="1"/>
      <c r="E1740" s="1"/>
      <c r="F1740" s="1"/>
      <c r="G1740" s="1"/>
      <c r="H1740" s="1"/>
      <c r="I1740" s="1"/>
      <c r="J1740" s="1"/>
      <c r="K1740" s="1"/>
      <c r="L1740" s="1"/>
      <c r="M1740" s="1"/>
      <c r="P1740" s="2"/>
    </row>
    <row r="1741" spans="3:16" x14ac:dyDescent="0.2">
      <c r="C1741" s="1"/>
      <c r="D1741" s="1"/>
      <c r="E1741" s="1"/>
      <c r="F1741" s="1"/>
      <c r="G1741" s="1"/>
      <c r="H1741" s="1"/>
      <c r="I1741" s="1"/>
      <c r="J1741" s="1"/>
      <c r="K1741" s="1"/>
      <c r="L1741" s="1"/>
      <c r="M1741" s="1"/>
      <c r="P1741" s="2"/>
    </row>
    <row r="1742" spans="3:16" x14ac:dyDescent="0.2">
      <c r="C1742" s="1"/>
      <c r="D1742" s="1"/>
      <c r="E1742" s="1"/>
      <c r="F1742" s="1"/>
      <c r="G1742" s="1"/>
      <c r="H1742" s="1"/>
      <c r="I1742" s="1"/>
      <c r="J1742" s="1"/>
      <c r="K1742" s="1"/>
      <c r="L1742" s="1"/>
      <c r="M1742" s="1"/>
      <c r="P1742" s="2"/>
    </row>
    <row r="1743" spans="3:16" x14ac:dyDescent="0.2">
      <c r="C1743" s="1"/>
      <c r="D1743" s="1"/>
      <c r="E1743" s="1"/>
      <c r="F1743" s="1"/>
      <c r="G1743" s="1"/>
      <c r="H1743" s="1"/>
      <c r="I1743" s="1"/>
      <c r="J1743" s="1"/>
      <c r="K1743" s="1"/>
      <c r="L1743" s="1"/>
      <c r="M1743" s="1"/>
      <c r="P1743" s="2"/>
    </row>
    <row r="1744" spans="3:16" x14ac:dyDescent="0.2">
      <c r="C1744" s="1"/>
      <c r="D1744" s="1"/>
      <c r="E1744" s="1"/>
      <c r="F1744" s="1"/>
      <c r="G1744" s="1"/>
      <c r="H1744" s="1"/>
      <c r="I1744" s="1"/>
      <c r="J1744" s="1"/>
      <c r="K1744" s="1"/>
      <c r="L1744" s="1"/>
      <c r="M1744" s="1"/>
      <c r="P1744" s="2"/>
    </row>
    <row r="1745" spans="3:16" x14ac:dyDescent="0.2">
      <c r="C1745" s="1"/>
      <c r="D1745" s="1"/>
      <c r="E1745" s="1"/>
      <c r="F1745" s="1"/>
      <c r="G1745" s="1"/>
      <c r="H1745" s="1"/>
      <c r="I1745" s="1"/>
      <c r="J1745" s="1"/>
      <c r="K1745" s="1"/>
      <c r="L1745" s="1"/>
      <c r="M1745" s="1"/>
      <c r="P1745" s="2"/>
    </row>
    <row r="1746" spans="3:16" x14ac:dyDescent="0.2">
      <c r="C1746" s="1"/>
      <c r="D1746" s="1"/>
      <c r="E1746" s="1"/>
      <c r="F1746" s="1"/>
      <c r="G1746" s="1"/>
      <c r="H1746" s="1"/>
      <c r="I1746" s="1"/>
      <c r="J1746" s="1"/>
      <c r="K1746" s="1"/>
      <c r="L1746" s="1"/>
      <c r="M1746" s="1"/>
      <c r="P1746" s="2"/>
    </row>
  </sheetData>
  <mergeCells count="1">
    <mergeCell ref="E14:H14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Mariano Tomas Fernandez</dc:creator>
  <cp:lastModifiedBy>Mariano Tomas Fernandez</cp:lastModifiedBy>
  <dcterms:created xsi:type="dcterms:W3CDTF">2023-03-07T11:24:51Z</dcterms:created>
  <dcterms:modified xsi:type="dcterms:W3CDTF">2023-03-29T15:35:21Z</dcterms:modified>
</cp:coreProperties>
</file>